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omtorgza.sharepoint.com/sites/Common/OMT Common/Common/Fund - Higher Ed/Programmes/AI project/"/>
    </mc:Choice>
  </mc:AlternateContent>
  <xr:revisionPtr revIDLastSave="5850" documentId="6_{F1239FAC-77A2-4F0F-9D45-44F2CE021770}" xr6:coauthVersionLast="47" xr6:coauthVersionMax="47" xr10:uidLastSave="{630B32A8-0C15-40D9-97FD-18625D7E81DC}"/>
  <bookViews>
    <workbookView xWindow="-108" yWindow="-108" windowWidth="23256" windowHeight="12456" activeTab="1" xr2:uid="{00000000-000D-0000-FFFF-FFFF00000000}"/>
  </bookViews>
  <sheets>
    <sheet name="Stats " sheetId="2" r:id="rId1"/>
    <sheet name="August 2025 call" sheetId="1" r:id="rId2"/>
    <sheet name="Shortlist" sheetId="5" state="hidden" r:id="rId3"/>
    <sheet name="Review" sheetId="4" state="hidden" r:id="rId4"/>
  </sheets>
  <definedNames>
    <definedName name="_xlnm._FilterDatabase" localSheetId="1" hidden="1">'August 2025 call'!$A$2:$W$953</definedName>
    <definedName name="_xlnm._FilterDatabase" localSheetId="3" hidden="1">Review!$A$1:$AJ$670</definedName>
  </definedNames>
  <calcPr calcId="191029"/>
  <pivotCaches>
    <pivotCache cacheId="11" r:id="rId5"/>
    <pivotCache cacheId="6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5" l="1"/>
  <c r="AL496" i="4"/>
  <c r="AK496" i="4"/>
  <c r="AL123" i="4"/>
  <c r="AM2" i="4"/>
  <c r="AM3" i="4"/>
  <c r="AM4" i="4"/>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7" i="4"/>
  <c r="AM88" i="4"/>
  <c r="AM89" i="4"/>
  <c r="AM90" i="4"/>
  <c r="AM91" i="4"/>
  <c r="AM92" i="4"/>
  <c r="AM93" i="4"/>
  <c r="AM94" i="4"/>
  <c r="AM95" i="4"/>
  <c r="AM96" i="4"/>
  <c r="AM97" i="4"/>
  <c r="AM98" i="4"/>
  <c r="AM99" i="4"/>
  <c r="AM100" i="4"/>
  <c r="AM101" i="4"/>
  <c r="AM102" i="4"/>
  <c r="AM103" i="4"/>
  <c r="AM104" i="4"/>
  <c r="AM105" i="4"/>
  <c r="AM106" i="4"/>
  <c r="AM107" i="4"/>
  <c r="AM108" i="4"/>
  <c r="AM109" i="4"/>
  <c r="AM110" i="4"/>
  <c r="AM111" i="4"/>
  <c r="AM112" i="4"/>
  <c r="AM113" i="4"/>
  <c r="AM114" i="4"/>
  <c r="AM115" i="4"/>
  <c r="AM116" i="4"/>
  <c r="AM117" i="4"/>
  <c r="AM118" i="4"/>
  <c r="AM119" i="4"/>
  <c r="AM120" i="4"/>
  <c r="AM121" i="4"/>
  <c r="AM122" i="4"/>
  <c r="AM124"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M196" i="4"/>
  <c r="AM197" i="4"/>
  <c r="AM198" i="4"/>
  <c r="AM199" i="4"/>
  <c r="AM200" i="4"/>
  <c r="AM201" i="4"/>
  <c r="AM202" i="4"/>
  <c r="AM203" i="4"/>
  <c r="AM204" i="4"/>
  <c r="AM205" i="4"/>
  <c r="AM206" i="4"/>
  <c r="AM207" i="4"/>
  <c r="AM208" i="4"/>
  <c r="AM209" i="4"/>
  <c r="AM210" i="4"/>
  <c r="AM211" i="4"/>
  <c r="AM212" i="4"/>
  <c r="AM213" i="4"/>
  <c r="AM214" i="4"/>
  <c r="AM215" i="4"/>
  <c r="AM216" i="4"/>
  <c r="AM217" i="4"/>
  <c r="AM218" i="4"/>
  <c r="AM219" i="4"/>
  <c r="AM220" i="4"/>
  <c r="AM221" i="4"/>
  <c r="AM223" i="4"/>
  <c r="AM224" i="4"/>
  <c r="AM225" i="4"/>
  <c r="AM226" i="4"/>
  <c r="AM228" i="4"/>
  <c r="AM229" i="4"/>
  <c r="AM230" i="4"/>
  <c r="AM231" i="4"/>
  <c r="AM232" i="4"/>
  <c r="AM233" i="4"/>
  <c r="AM234" i="4"/>
  <c r="AM235" i="4"/>
  <c r="AM236" i="4"/>
  <c r="AM237" i="4"/>
  <c r="AM238" i="4"/>
  <c r="AM239" i="4"/>
  <c r="AM240" i="4"/>
  <c r="AM241" i="4"/>
  <c r="AM242" i="4"/>
  <c r="AM243" i="4"/>
  <c r="AM244" i="4"/>
  <c r="AM245" i="4"/>
  <c r="AM246" i="4"/>
  <c r="AM247" i="4"/>
  <c r="AM248" i="4"/>
  <c r="AM249" i="4"/>
  <c r="AM250" i="4"/>
  <c r="AM251" i="4"/>
  <c r="AM252" i="4"/>
  <c r="AM253" i="4"/>
  <c r="AM254" i="4"/>
  <c r="AM255" i="4"/>
  <c r="AM256" i="4"/>
  <c r="AM257" i="4"/>
  <c r="AM258" i="4"/>
  <c r="AM259" i="4"/>
  <c r="AM260" i="4"/>
  <c r="AM261" i="4"/>
  <c r="AM262" i="4"/>
  <c r="AM263" i="4"/>
  <c r="AM264" i="4"/>
  <c r="AM265" i="4"/>
  <c r="AM266" i="4"/>
  <c r="AM267" i="4"/>
  <c r="AM268" i="4"/>
  <c r="AM269" i="4"/>
  <c r="AM270" i="4"/>
  <c r="AM271" i="4"/>
  <c r="AM272" i="4"/>
  <c r="AM273" i="4"/>
  <c r="AM274" i="4"/>
  <c r="AM275" i="4"/>
  <c r="AM276" i="4"/>
  <c r="AM277" i="4"/>
  <c r="AM278" i="4"/>
  <c r="AM279" i="4"/>
  <c r="AM280" i="4"/>
  <c r="AM281" i="4"/>
  <c r="AM282" i="4"/>
  <c r="AM283" i="4"/>
  <c r="AM284" i="4"/>
  <c r="AM285" i="4"/>
  <c r="AM286" i="4"/>
  <c r="AM287" i="4"/>
  <c r="AM288" i="4"/>
  <c r="AM289" i="4"/>
  <c r="AM290" i="4"/>
  <c r="AM291" i="4"/>
  <c r="AM292" i="4"/>
  <c r="AM293" i="4"/>
  <c r="AM294" i="4"/>
  <c r="AM295" i="4"/>
  <c r="AM296" i="4"/>
  <c r="AM297" i="4"/>
  <c r="AM298" i="4"/>
  <c r="AM299" i="4"/>
  <c r="AM300" i="4"/>
  <c r="AM301" i="4"/>
  <c r="AM302" i="4"/>
  <c r="AM303" i="4"/>
  <c r="AM304" i="4"/>
  <c r="AM305" i="4"/>
  <c r="AM306" i="4"/>
  <c r="AM307" i="4"/>
  <c r="AM308" i="4"/>
  <c r="AM309" i="4"/>
  <c r="AM310" i="4"/>
  <c r="AM311" i="4"/>
  <c r="AM312" i="4"/>
  <c r="AM313" i="4"/>
  <c r="AM314" i="4"/>
  <c r="AM315" i="4"/>
  <c r="AM316" i="4"/>
  <c r="AM317" i="4"/>
  <c r="AM318" i="4"/>
  <c r="AM319" i="4"/>
  <c r="AM320" i="4"/>
  <c r="AM321" i="4"/>
  <c r="AM322" i="4"/>
  <c r="AM323" i="4"/>
  <c r="AM324" i="4"/>
  <c r="AM325" i="4"/>
  <c r="AM326" i="4"/>
  <c r="AM327" i="4"/>
  <c r="AM328" i="4"/>
  <c r="AM329" i="4"/>
  <c r="AM330" i="4"/>
  <c r="AM331" i="4"/>
  <c r="AM332" i="4"/>
  <c r="AM333" i="4"/>
  <c r="AM334" i="4"/>
  <c r="AM335" i="4"/>
  <c r="AM336" i="4"/>
  <c r="AM337" i="4"/>
  <c r="AM338" i="4"/>
  <c r="AM339" i="4"/>
  <c r="AM340" i="4"/>
  <c r="AM341" i="4"/>
  <c r="AM342" i="4"/>
  <c r="AM343" i="4"/>
  <c r="AM344" i="4"/>
  <c r="AM345" i="4"/>
  <c r="AM346" i="4"/>
  <c r="AM347" i="4"/>
  <c r="AM348" i="4"/>
  <c r="AM349" i="4"/>
  <c r="AM350" i="4"/>
  <c r="AM351" i="4"/>
  <c r="AM352" i="4"/>
  <c r="AM353" i="4"/>
  <c r="AM354" i="4"/>
  <c r="AM355" i="4"/>
  <c r="AM356" i="4"/>
  <c r="AM357" i="4"/>
  <c r="AM358" i="4"/>
  <c r="AM359" i="4"/>
  <c r="AM361" i="4"/>
  <c r="AM362" i="4"/>
  <c r="AM363" i="4"/>
  <c r="AM364" i="4"/>
  <c r="AM365" i="4"/>
  <c r="AM366" i="4"/>
  <c r="AM367" i="4"/>
  <c r="AM368" i="4"/>
  <c r="AM369" i="4"/>
  <c r="AM370" i="4"/>
  <c r="AM371" i="4"/>
  <c r="AM372" i="4"/>
  <c r="AM373" i="4"/>
  <c r="AM374" i="4"/>
  <c r="AM375" i="4"/>
  <c r="AM376" i="4"/>
  <c r="AM377" i="4"/>
  <c r="AM378" i="4"/>
  <c r="AM379" i="4"/>
  <c r="AM380" i="4"/>
  <c r="AM381" i="4"/>
  <c r="AM382" i="4"/>
  <c r="AM383" i="4"/>
  <c r="AM384" i="4"/>
  <c r="AM385" i="4"/>
  <c r="AM386" i="4"/>
  <c r="AM387" i="4"/>
  <c r="AM388" i="4"/>
  <c r="AM389" i="4"/>
  <c r="AM390" i="4"/>
  <c r="AM391" i="4"/>
  <c r="AM392" i="4"/>
  <c r="AM393" i="4"/>
  <c r="AM394" i="4"/>
  <c r="AM395" i="4"/>
  <c r="AM396" i="4"/>
  <c r="AM397" i="4"/>
  <c r="AM398" i="4"/>
  <c r="AM399" i="4"/>
  <c r="AM400" i="4"/>
  <c r="AM401" i="4"/>
  <c r="AM402" i="4"/>
  <c r="AM403" i="4"/>
  <c r="AM404" i="4"/>
  <c r="AM405" i="4"/>
  <c r="AM406" i="4"/>
  <c r="AM407" i="4"/>
  <c r="AM408" i="4"/>
  <c r="AM411" i="4"/>
  <c r="AM412" i="4"/>
  <c r="AM413" i="4"/>
  <c r="AM414" i="4"/>
  <c r="AM415" i="4"/>
  <c r="AM416" i="4"/>
  <c r="AM417" i="4"/>
  <c r="AM418" i="4"/>
  <c r="AM419" i="4"/>
  <c r="AM420" i="4"/>
  <c r="AM421" i="4"/>
  <c r="AM422" i="4"/>
  <c r="AM423" i="4"/>
  <c r="AM424" i="4"/>
  <c r="AM425" i="4"/>
  <c r="AM426" i="4"/>
  <c r="AM427" i="4"/>
  <c r="AM428" i="4"/>
  <c r="AM429" i="4"/>
  <c r="AM430" i="4"/>
  <c r="AM431" i="4"/>
  <c r="AM432" i="4"/>
  <c r="AM433" i="4"/>
  <c r="AM434" i="4"/>
  <c r="AM435" i="4"/>
  <c r="AM436" i="4"/>
  <c r="AM437" i="4"/>
  <c r="AM438" i="4"/>
  <c r="AM439" i="4"/>
  <c r="AM440" i="4"/>
  <c r="AM441" i="4"/>
  <c r="AM442" i="4"/>
  <c r="AM443" i="4"/>
  <c r="AM444" i="4"/>
  <c r="AM445" i="4"/>
  <c r="AM446" i="4"/>
  <c r="AM447" i="4"/>
  <c r="AM448" i="4"/>
  <c r="AM449" i="4"/>
  <c r="AM450" i="4"/>
  <c r="AM451" i="4"/>
  <c r="AM452" i="4"/>
  <c r="AM453" i="4"/>
  <c r="AM454" i="4"/>
  <c r="AM455" i="4"/>
  <c r="AM456" i="4"/>
  <c r="AM457" i="4"/>
  <c r="AM458" i="4"/>
  <c r="AM459" i="4"/>
  <c r="AM460" i="4"/>
  <c r="AM461" i="4"/>
  <c r="AM462" i="4"/>
  <c r="AM463" i="4"/>
  <c r="AM464" i="4"/>
  <c r="AM465" i="4"/>
  <c r="AM466" i="4"/>
  <c r="AM467" i="4"/>
  <c r="AM468" i="4"/>
  <c r="AM469" i="4"/>
  <c r="AM470" i="4"/>
  <c r="AM471" i="4"/>
  <c r="AM472" i="4"/>
  <c r="AM473" i="4"/>
  <c r="AM474" i="4"/>
  <c r="AM475" i="4"/>
  <c r="AM476" i="4"/>
  <c r="AM477" i="4"/>
  <c r="AM478" i="4"/>
  <c r="AM479" i="4"/>
  <c r="AM480" i="4"/>
  <c r="AM481" i="4"/>
  <c r="AM482" i="4"/>
  <c r="AM483" i="4"/>
  <c r="AM484" i="4"/>
  <c r="AM485" i="4"/>
  <c r="AM486" i="4"/>
  <c r="AM487" i="4"/>
  <c r="AM488" i="4"/>
  <c r="AM489" i="4"/>
  <c r="AM490" i="4"/>
  <c r="AM491" i="4"/>
  <c r="AM492" i="4"/>
  <c r="AM493" i="4"/>
  <c r="AM494" i="4"/>
  <c r="AM495" i="4"/>
  <c r="AM497" i="4"/>
  <c r="AM498" i="4"/>
  <c r="AM499" i="4"/>
  <c r="AM500" i="4"/>
  <c r="AM501" i="4"/>
  <c r="AM502" i="4"/>
  <c r="AM503" i="4"/>
  <c r="AM504" i="4"/>
  <c r="AM505" i="4"/>
  <c r="AM506" i="4"/>
  <c r="AM507" i="4"/>
  <c r="AM508" i="4"/>
  <c r="AM509" i="4"/>
  <c r="AM510" i="4"/>
  <c r="AM511" i="4"/>
  <c r="AM512" i="4"/>
  <c r="AM513" i="4"/>
  <c r="AM514" i="4"/>
  <c r="AM515" i="4"/>
  <c r="AM516" i="4"/>
  <c r="AM517" i="4"/>
  <c r="AM518" i="4"/>
  <c r="AM519" i="4"/>
  <c r="AM520" i="4"/>
  <c r="AM522" i="4"/>
  <c r="AM523" i="4"/>
  <c r="AM524" i="4"/>
  <c r="AM525" i="4"/>
  <c r="AM526" i="4"/>
  <c r="AM528" i="4"/>
  <c r="AM529" i="4"/>
  <c r="AM530" i="4"/>
  <c r="AM531" i="4"/>
  <c r="AM532" i="4"/>
  <c r="AM533" i="4"/>
  <c r="AM534" i="4"/>
  <c r="AM535" i="4"/>
  <c r="AM536" i="4"/>
  <c r="AM537" i="4"/>
  <c r="AM538" i="4"/>
  <c r="AM539" i="4"/>
  <c r="AM540" i="4"/>
  <c r="AM541" i="4"/>
  <c r="AM542" i="4"/>
  <c r="AM543" i="4"/>
  <c r="AM544" i="4"/>
  <c r="AM545" i="4"/>
  <c r="AM547" i="4"/>
  <c r="AM548" i="4"/>
  <c r="AM549" i="4"/>
  <c r="AM550" i="4"/>
  <c r="AM551" i="4"/>
  <c r="AM552" i="4"/>
  <c r="AM553" i="4"/>
  <c r="AM554" i="4"/>
  <c r="AM555" i="4"/>
  <c r="AM556" i="4"/>
  <c r="AM557" i="4"/>
  <c r="AM558" i="4"/>
  <c r="AM559" i="4"/>
  <c r="AM560" i="4"/>
  <c r="AM561" i="4"/>
  <c r="AM562" i="4"/>
  <c r="AM563" i="4"/>
  <c r="AM564" i="4"/>
  <c r="AM565" i="4"/>
  <c r="AM566" i="4"/>
  <c r="AM567" i="4"/>
  <c r="AM568" i="4"/>
  <c r="AM569" i="4"/>
  <c r="AM570" i="4"/>
  <c r="AM571" i="4"/>
  <c r="AM572" i="4"/>
  <c r="AM573" i="4"/>
  <c r="AM574" i="4"/>
  <c r="AM575" i="4"/>
  <c r="AM576" i="4"/>
  <c r="AM577" i="4"/>
  <c r="AM578" i="4"/>
  <c r="AM579" i="4"/>
  <c r="AM580" i="4"/>
  <c r="AM581" i="4"/>
  <c r="AM582" i="4"/>
  <c r="AM583" i="4"/>
  <c r="AM584" i="4"/>
  <c r="AM585" i="4"/>
  <c r="AM586" i="4"/>
  <c r="AM587" i="4"/>
  <c r="AM588" i="4"/>
  <c r="AM589" i="4"/>
  <c r="AM590" i="4"/>
  <c r="AM591" i="4"/>
  <c r="AM592" i="4"/>
  <c r="AM593" i="4"/>
  <c r="AM594" i="4"/>
  <c r="AM595" i="4"/>
  <c r="AM596" i="4"/>
  <c r="AM597" i="4"/>
  <c r="AM598" i="4"/>
  <c r="AM600" i="4"/>
  <c r="AM601" i="4"/>
  <c r="AM602" i="4"/>
  <c r="AM603" i="4"/>
  <c r="AM604" i="4"/>
  <c r="AM605" i="4"/>
  <c r="AM606" i="4"/>
  <c r="AM607" i="4"/>
  <c r="AM608" i="4"/>
  <c r="AM609" i="4"/>
  <c r="AM610" i="4"/>
  <c r="AM611" i="4"/>
  <c r="AM612" i="4"/>
  <c r="AM613" i="4"/>
  <c r="AM614" i="4"/>
  <c r="AM615" i="4"/>
  <c r="AM616" i="4"/>
  <c r="AM617" i="4"/>
  <c r="AM618" i="4"/>
  <c r="AM620" i="4"/>
  <c r="AM621" i="4"/>
  <c r="AM622" i="4"/>
  <c r="AM623" i="4"/>
  <c r="AM624" i="4"/>
  <c r="AM625" i="4"/>
  <c r="AM626" i="4"/>
  <c r="AM627" i="4"/>
  <c r="AM628" i="4"/>
  <c r="AM629" i="4"/>
  <c r="AM630" i="4"/>
  <c r="AM631" i="4"/>
  <c r="AM632" i="4"/>
  <c r="AM633" i="4"/>
  <c r="AM634" i="4"/>
  <c r="AM635" i="4"/>
  <c r="AM636" i="4"/>
  <c r="AM637" i="4"/>
  <c r="AM638" i="4"/>
  <c r="AM639" i="4"/>
  <c r="AM640" i="4"/>
  <c r="AM641" i="4"/>
  <c r="AM642" i="4"/>
  <c r="AM643" i="4"/>
  <c r="AM644" i="4"/>
  <c r="AM645" i="4"/>
  <c r="AM646" i="4"/>
  <c r="AM647" i="4"/>
  <c r="AM648" i="4"/>
  <c r="AM649" i="4"/>
  <c r="AM650" i="4"/>
  <c r="AM651" i="4"/>
  <c r="AM652" i="4"/>
  <c r="AM653" i="4"/>
  <c r="AM654" i="4"/>
  <c r="AM655" i="4"/>
  <c r="AM656" i="4"/>
  <c r="AM657" i="4"/>
  <c r="AM658" i="4"/>
  <c r="AM659" i="4"/>
  <c r="AM660" i="4"/>
  <c r="AM661" i="4"/>
  <c r="AM662" i="4"/>
  <c r="AM663" i="4"/>
  <c r="AM664" i="4"/>
  <c r="AM665" i="4"/>
  <c r="AM666" i="4"/>
  <c r="AM667" i="4"/>
  <c r="AM668" i="4"/>
  <c r="AM669" i="4"/>
  <c r="AM670" i="4"/>
  <c r="AL2" i="4"/>
  <c r="AL3" i="4"/>
  <c r="AL4" i="4"/>
  <c r="AL5" i="4"/>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AL83" i="4"/>
  <c r="AL84" i="4"/>
  <c r="AL85" i="4"/>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120" i="4"/>
  <c r="AL121" i="4"/>
  <c r="AL122" i="4"/>
  <c r="AL124" i="4"/>
  <c r="AL126" i="4"/>
  <c r="AL127" i="4"/>
  <c r="AL128" i="4"/>
  <c r="AL129" i="4"/>
  <c r="AL130" i="4"/>
  <c r="AL131" i="4"/>
  <c r="AL132" i="4"/>
  <c r="AL133" i="4"/>
  <c r="AL134" i="4"/>
  <c r="AL136" i="4"/>
  <c r="AL137" i="4"/>
  <c r="AL138" i="4"/>
  <c r="AL139" i="4"/>
  <c r="AL140" i="4"/>
  <c r="AL141" i="4"/>
  <c r="AL142" i="4"/>
  <c r="AL144" i="4"/>
  <c r="AL145" i="4"/>
  <c r="AL146" i="4"/>
  <c r="AL147" i="4"/>
  <c r="AL148" i="4"/>
  <c r="AL149"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L196" i="4"/>
  <c r="AL197" i="4"/>
  <c r="AL199" i="4"/>
  <c r="AL200" i="4"/>
  <c r="AL201" i="4"/>
  <c r="AL202" i="4"/>
  <c r="AL203" i="4"/>
  <c r="AL204" i="4"/>
  <c r="AL205" i="4"/>
  <c r="AL206" i="4"/>
  <c r="AL207" i="4"/>
  <c r="AL208" i="4"/>
  <c r="AL209" i="4"/>
  <c r="AL210" i="4"/>
  <c r="AL211" i="4"/>
  <c r="AL212" i="4"/>
  <c r="AL213" i="4"/>
  <c r="AL214" i="4"/>
  <c r="AL215" i="4"/>
  <c r="AL216" i="4"/>
  <c r="AL217" i="4"/>
  <c r="AL218" i="4"/>
  <c r="AL219" i="4"/>
  <c r="AL221" i="4"/>
  <c r="AL223" i="4"/>
  <c r="AL224" i="4"/>
  <c r="AL225" i="4"/>
  <c r="AL226" i="4"/>
  <c r="AL228" i="4"/>
  <c r="AL229" i="4"/>
  <c r="AL230" i="4"/>
  <c r="AL231" i="4"/>
  <c r="AL232" i="4"/>
  <c r="AL233" i="4"/>
  <c r="AL234" i="4"/>
  <c r="AL235" i="4"/>
  <c r="AL236" i="4"/>
  <c r="AL237" i="4"/>
  <c r="AL238" i="4"/>
  <c r="AL239" i="4"/>
  <c r="AL240" i="4"/>
  <c r="AL241" i="4"/>
  <c r="AL242" i="4"/>
  <c r="AL243" i="4"/>
  <c r="AL244" i="4"/>
  <c r="AL245" i="4"/>
  <c r="AL247" i="4"/>
  <c r="AL248" i="4"/>
  <c r="AL249" i="4"/>
  <c r="AL250" i="4"/>
  <c r="AL251" i="4"/>
  <c r="AL252" i="4"/>
  <c r="AL253" i="4"/>
  <c r="AL254" i="4"/>
  <c r="AL255" i="4"/>
  <c r="AL256" i="4"/>
  <c r="AL258" i="4"/>
  <c r="AL259" i="4"/>
  <c r="AL260" i="4"/>
  <c r="AL261" i="4"/>
  <c r="AL262" i="4"/>
  <c r="AL264" i="4"/>
  <c r="AL265" i="4"/>
  <c r="AL266" i="4"/>
  <c r="AL267" i="4"/>
  <c r="AL268" i="4"/>
  <c r="AL269" i="4"/>
  <c r="AL270" i="4"/>
  <c r="AL271" i="4"/>
  <c r="AL272" i="4"/>
  <c r="AL273" i="4"/>
  <c r="AL274" i="4"/>
  <c r="AL275" i="4"/>
  <c r="AL276" i="4"/>
  <c r="AL277" i="4"/>
  <c r="AL278" i="4"/>
  <c r="AL279" i="4"/>
  <c r="AL280" i="4"/>
  <c r="AL281" i="4"/>
  <c r="AL282" i="4"/>
  <c r="AL283" i="4"/>
  <c r="AL284" i="4"/>
  <c r="AL285" i="4"/>
  <c r="AL286" i="4"/>
  <c r="AL287" i="4"/>
  <c r="AL288" i="4"/>
  <c r="AL289" i="4"/>
  <c r="AL290" i="4"/>
  <c r="AL291" i="4"/>
  <c r="AL292" i="4"/>
  <c r="AL293" i="4"/>
  <c r="AL294" i="4"/>
  <c r="AL295" i="4"/>
  <c r="AL296" i="4"/>
  <c r="AL297" i="4"/>
  <c r="AL298" i="4"/>
  <c r="AL299" i="4"/>
  <c r="AL300" i="4"/>
  <c r="AL301" i="4"/>
  <c r="AL302" i="4"/>
  <c r="AL303" i="4"/>
  <c r="AL304" i="4"/>
  <c r="AL305" i="4"/>
  <c r="AL306" i="4"/>
  <c r="AL307" i="4"/>
  <c r="AL308" i="4"/>
  <c r="AL309" i="4"/>
  <c r="AL310" i="4"/>
  <c r="AL312" i="4"/>
  <c r="AL313" i="4"/>
  <c r="AL314" i="4"/>
  <c r="AL315" i="4"/>
  <c r="AL316" i="4"/>
  <c r="AL317" i="4"/>
  <c r="AL318" i="4"/>
  <c r="AL319" i="4"/>
  <c r="AL320" i="4"/>
  <c r="AL321" i="4"/>
  <c r="AL322" i="4"/>
  <c r="AL323" i="4"/>
  <c r="AL324" i="4"/>
  <c r="AL325" i="4"/>
  <c r="AL326" i="4"/>
  <c r="AL327" i="4"/>
  <c r="AL328" i="4"/>
  <c r="AL329" i="4"/>
  <c r="AL330" i="4"/>
  <c r="AL331" i="4"/>
  <c r="AL332" i="4"/>
  <c r="AL333" i="4"/>
  <c r="AL334" i="4"/>
  <c r="AL335" i="4"/>
  <c r="AL336" i="4"/>
  <c r="AL337" i="4"/>
  <c r="AL338" i="4"/>
  <c r="AL339" i="4"/>
  <c r="AL340" i="4"/>
  <c r="AL341" i="4"/>
  <c r="AL342" i="4"/>
  <c r="AL343" i="4"/>
  <c r="AL344" i="4"/>
  <c r="AL345" i="4"/>
  <c r="AL346" i="4"/>
  <c r="AL347" i="4"/>
  <c r="AL348" i="4"/>
  <c r="AL349" i="4"/>
  <c r="AL350" i="4"/>
  <c r="AL351" i="4"/>
  <c r="AL352" i="4"/>
  <c r="AL353" i="4"/>
  <c r="AL354" i="4"/>
  <c r="AL355" i="4"/>
  <c r="AL356" i="4"/>
  <c r="AL357" i="4"/>
  <c r="AL359" i="4"/>
  <c r="AL361" i="4"/>
  <c r="AL362" i="4"/>
  <c r="AL363" i="4"/>
  <c r="AL364" i="4"/>
  <c r="AL365" i="4"/>
  <c r="AL366" i="4"/>
  <c r="AL367" i="4"/>
  <c r="AL368" i="4"/>
  <c r="AL369" i="4"/>
  <c r="AL370" i="4"/>
  <c r="AL371" i="4"/>
  <c r="AL372" i="4"/>
  <c r="AL373" i="4"/>
  <c r="AL374" i="4"/>
  <c r="AL376" i="4"/>
  <c r="AL377" i="4"/>
  <c r="AL378" i="4"/>
  <c r="AL379" i="4"/>
  <c r="AL380" i="4"/>
  <c r="AL381" i="4"/>
  <c r="AL382" i="4"/>
  <c r="AL383" i="4"/>
  <c r="AL384" i="4"/>
  <c r="AL385" i="4"/>
  <c r="AL386" i="4"/>
  <c r="AL387" i="4"/>
  <c r="AL388" i="4"/>
  <c r="AL389" i="4"/>
  <c r="AL390" i="4"/>
  <c r="AL391" i="4"/>
  <c r="AL392" i="4"/>
  <c r="AL393" i="4"/>
  <c r="AL394" i="4"/>
  <c r="AL395" i="4"/>
  <c r="AL396" i="4"/>
  <c r="AL397" i="4"/>
  <c r="AL398" i="4"/>
  <c r="AL399" i="4"/>
  <c r="AL400" i="4"/>
  <c r="AL401" i="4"/>
  <c r="AL402" i="4"/>
  <c r="AL403" i="4"/>
  <c r="AL404" i="4"/>
  <c r="AL405" i="4"/>
  <c r="AL406" i="4"/>
  <c r="AL407" i="4"/>
  <c r="AL408" i="4"/>
  <c r="AL411" i="4"/>
  <c r="AL412" i="4"/>
  <c r="AL413" i="4"/>
  <c r="AL414" i="4"/>
  <c r="AL415" i="4"/>
  <c r="AL416" i="4"/>
  <c r="AL417" i="4"/>
  <c r="AL418" i="4"/>
  <c r="AL419" i="4"/>
  <c r="AL420" i="4"/>
  <c r="AL421" i="4"/>
  <c r="AL422" i="4"/>
  <c r="AL423" i="4"/>
  <c r="AL424" i="4"/>
  <c r="AL425" i="4"/>
  <c r="AL426" i="4"/>
  <c r="AL427" i="4"/>
  <c r="AL428" i="4"/>
  <c r="AL429" i="4"/>
  <c r="AL430" i="4"/>
  <c r="AL431" i="4"/>
  <c r="AL432" i="4"/>
  <c r="AL433" i="4"/>
  <c r="AL434" i="4"/>
  <c r="AL435" i="4"/>
  <c r="AL436" i="4"/>
  <c r="AL437" i="4"/>
  <c r="AL439" i="4"/>
  <c r="AL440" i="4"/>
  <c r="AL441" i="4"/>
  <c r="AL442" i="4"/>
  <c r="AL443" i="4"/>
  <c r="AL444" i="4"/>
  <c r="AL445" i="4"/>
  <c r="AL446" i="4"/>
  <c r="AL447" i="4"/>
  <c r="AL448" i="4"/>
  <c r="AL449" i="4"/>
  <c r="AL450" i="4"/>
  <c r="AL451" i="4"/>
  <c r="AL452" i="4"/>
  <c r="AL453" i="4"/>
  <c r="AL454" i="4"/>
  <c r="AL455" i="4"/>
  <c r="AL456" i="4"/>
  <c r="AL457" i="4"/>
  <c r="AL458" i="4"/>
  <c r="AL459" i="4"/>
  <c r="AL460" i="4"/>
  <c r="AL461" i="4"/>
  <c r="AL462" i="4"/>
  <c r="AL463" i="4"/>
  <c r="AL464" i="4"/>
  <c r="AL465" i="4"/>
  <c r="AL466" i="4"/>
  <c r="AL467" i="4"/>
  <c r="AL468" i="4"/>
  <c r="AL469" i="4"/>
  <c r="AL470" i="4"/>
  <c r="AL471" i="4"/>
  <c r="AL472" i="4"/>
  <c r="AL473" i="4"/>
  <c r="AL474" i="4"/>
  <c r="AL475" i="4"/>
  <c r="AL476" i="4"/>
  <c r="AL477" i="4"/>
  <c r="AL478" i="4"/>
  <c r="AL479" i="4"/>
  <c r="AL480" i="4"/>
  <c r="AL481" i="4"/>
  <c r="AL482" i="4"/>
  <c r="AL483" i="4"/>
  <c r="AL484" i="4"/>
  <c r="AL485" i="4"/>
  <c r="AL486" i="4"/>
  <c r="AL487" i="4"/>
  <c r="AL488" i="4"/>
  <c r="AL489" i="4"/>
  <c r="AL490" i="4"/>
  <c r="AL491" i="4"/>
  <c r="AL492" i="4"/>
  <c r="AL493" i="4"/>
  <c r="AL494" i="4"/>
  <c r="AL495" i="4"/>
  <c r="AL497" i="4"/>
  <c r="AL498" i="4"/>
  <c r="AL499" i="4"/>
  <c r="AL500" i="4"/>
  <c r="AL501" i="4"/>
  <c r="AL502" i="4"/>
  <c r="AL503" i="4"/>
  <c r="AL504" i="4"/>
  <c r="AL505" i="4"/>
  <c r="AL506" i="4"/>
  <c r="AL507" i="4"/>
  <c r="AL508" i="4"/>
  <c r="AL509" i="4"/>
  <c r="AL510" i="4"/>
  <c r="AL511" i="4"/>
  <c r="AL512" i="4"/>
  <c r="AL513" i="4"/>
  <c r="AL514" i="4"/>
  <c r="AL516" i="4"/>
  <c r="AL517" i="4"/>
  <c r="AL518" i="4"/>
  <c r="AL519" i="4"/>
  <c r="AL520" i="4"/>
  <c r="AL522" i="4"/>
  <c r="AL523" i="4"/>
  <c r="AL524" i="4"/>
  <c r="AL525" i="4"/>
  <c r="AL526" i="4"/>
  <c r="AL528" i="4"/>
  <c r="AL529" i="4"/>
  <c r="AL530" i="4"/>
  <c r="AL531" i="4"/>
  <c r="AL532" i="4"/>
  <c r="AL534" i="4"/>
  <c r="AL535" i="4"/>
  <c r="AL536" i="4"/>
  <c r="AL537" i="4"/>
  <c r="AL538" i="4"/>
  <c r="AL539" i="4"/>
  <c r="AL540" i="4"/>
  <c r="AL541" i="4"/>
  <c r="AL542" i="4"/>
  <c r="AL543" i="4"/>
  <c r="AL544" i="4"/>
  <c r="AL545" i="4"/>
  <c r="AL547" i="4"/>
  <c r="AL548" i="4"/>
  <c r="AL549" i="4"/>
  <c r="AL551" i="4"/>
  <c r="AL552" i="4"/>
  <c r="AL553" i="4"/>
  <c r="AL554" i="4"/>
  <c r="AL555" i="4"/>
  <c r="AL556" i="4"/>
  <c r="AL557" i="4"/>
  <c r="AL558" i="4"/>
  <c r="AL559" i="4"/>
  <c r="AL560" i="4"/>
  <c r="AL561" i="4"/>
  <c r="AL562" i="4"/>
  <c r="AL563" i="4"/>
  <c r="AL564" i="4"/>
  <c r="AL565" i="4"/>
  <c r="AL566" i="4"/>
  <c r="AL567" i="4"/>
  <c r="AL568" i="4"/>
  <c r="AL569" i="4"/>
  <c r="AL570" i="4"/>
  <c r="AL571" i="4"/>
  <c r="AL572" i="4"/>
  <c r="AL573" i="4"/>
  <c r="AL574" i="4"/>
  <c r="AL575" i="4"/>
  <c r="AL576" i="4"/>
  <c r="AL577" i="4"/>
  <c r="AL578" i="4"/>
  <c r="AL579" i="4"/>
  <c r="AL580" i="4"/>
  <c r="AL581" i="4"/>
  <c r="AL582" i="4"/>
  <c r="AL583" i="4"/>
  <c r="AL584" i="4"/>
  <c r="AL585" i="4"/>
  <c r="AL586" i="4"/>
  <c r="AL588" i="4"/>
  <c r="AL589" i="4"/>
  <c r="AL590" i="4"/>
  <c r="AL591" i="4"/>
  <c r="AL592" i="4"/>
  <c r="AL593" i="4"/>
  <c r="AL594" i="4"/>
  <c r="AL595" i="4"/>
  <c r="AL596" i="4"/>
  <c r="AL597" i="4"/>
  <c r="AL598" i="4"/>
  <c r="AL600" i="4"/>
  <c r="AL601" i="4"/>
  <c r="AL602" i="4"/>
  <c r="AL603" i="4"/>
  <c r="AL604" i="4"/>
  <c r="AL605" i="4"/>
  <c r="AL606" i="4"/>
  <c r="AL607" i="4"/>
  <c r="AL608" i="4"/>
  <c r="AL609" i="4"/>
  <c r="AL610" i="4"/>
  <c r="AL611" i="4"/>
  <c r="AL612" i="4"/>
  <c r="AL613" i="4"/>
  <c r="AL614" i="4"/>
  <c r="AL615" i="4"/>
  <c r="AL616" i="4"/>
  <c r="AL617" i="4"/>
  <c r="AL618" i="4"/>
  <c r="AL620" i="4"/>
  <c r="AL621" i="4"/>
  <c r="AL622" i="4"/>
  <c r="AL623" i="4"/>
  <c r="AL624" i="4"/>
  <c r="AL625" i="4"/>
  <c r="AL626" i="4"/>
  <c r="AL627" i="4"/>
  <c r="AL628" i="4"/>
  <c r="AL629" i="4"/>
  <c r="AL630" i="4"/>
  <c r="AL631" i="4"/>
  <c r="AL632" i="4"/>
  <c r="AL633" i="4"/>
  <c r="AL634" i="4"/>
  <c r="AL635" i="4"/>
  <c r="AL636" i="4"/>
  <c r="AL637" i="4"/>
  <c r="AL638" i="4"/>
  <c r="AL639" i="4"/>
  <c r="AL640" i="4"/>
  <c r="AL641" i="4"/>
  <c r="AL642" i="4"/>
  <c r="AL643" i="4"/>
  <c r="AL645" i="4"/>
  <c r="AL646" i="4"/>
  <c r="AL647" i="4"/>
  <c r="AL648" i="4"/>
  <c r="AL649" i="4"/>
  <c r="AL650" i="4"/>
  <c r="AL651" i="4"/>
  <c r="AL652" i="4"/>
  <c r="AL653" i="4"/>
  <c r="AL654" i="4"/>
  <c r="AL655" i="4"/>
  <c r="AL656" i="4"/>
  <c r="AL657" i="4"/>
  <c r="AL658" i="4"/>
  <c r="AL659" i="4"/>
  <c r="AL660" i="4"/>
  <c r="AL661" i="4"/>
  <c r="AL662" i="4"/>
  <c r="AL663" i="4"/>
  <c r="AL664" i="4"/>
  <c r="AL665" i="4"/>
  <c r="AL666" i="4"/>
  <c r="AL667" i="4"/>
  <c r="AL668" i="4"/>
  <c r="AL669" i="4"/>
  <c r="AL670" i="4"/>
  <c r="AK2" i="4"/>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1" i="4"/>
  <c r="AK52" i="4"/>
  <c r="AK53" i="4"/>
  <c r="AK54" i="4"/>
  <c r="AK55"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4" i="4"/>
  <c r="AK126" i="4"/>
  <c r="AK127" i="4"/>
  <c r="AK128" i="4"/>
  <c r="AK129" i="4"/>
  <c r="AK130" i="4"/>
  <c r="AK131" i="4"/>
  <c r="AK132" i="4"/>
  <c r="AK133" i="4"/>
  <c r="AK134" i="4"/>
  <c r="AK136" i="4"/>
  <c r="AK137" i="4"/>
  <c r="AK138" i="4"/>
  <c r="AK139" i="4"/>
  <c r="AK140" i="4"/>
  <c r="AK141" i="4"/>
  <c r="AK142"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8" i="4"/>
  <c r="AK179" i="4"/>
  <c r="AK180" i="4"/>
  <c r="AK181" i="4"/>
  <c r="AK182" i="4"/>
  <c r="AK184" i="4"/>
  <c r="AK185" i="4"/>
  <c r="AK186" i="4"/>
  <c r="AK187" i="4"/>
  <c r="AK188" i="4"/>
  <c r="AK189" i="4"/>
  <c r="AK190" i="4"/>
  <c r="AK191" i="4"/>
  <c r="AK192" i="4"/>
  <c r="AK193" i="4"/>
  <c r="AK194" i="4"/>
  <c r="AK195" i="4"/>
  <c r="AK196" i="4"/>
  <c r="AK197" i="4"/>
  <c r="AK199" i="4"/>
  <c r="AK200" i="4"/>
  <c r="AK201" i="4"/>
  <c r="AK202" i="4"/>
  <c r="AK203" i="4"/>
  <c r="AK204" i="4"/>
  <c r="AK205" i="4"/>
  <c r="AK206" i="4"/>
  <c r="AK207" i="4"/>
  <c r="AK208" i="4"/>
  <c r="AK209" i="4"/>
  <c r="AK210" i="4"/>
  <c r="AK211" i="4"/>
  <c r="AK212" i="4"/>
  <c r="AK213" i="4"/>
  <c r="AK214" i="4"/>
  <c r="AK216" i="4"/>
  <c r="AK217" i="4"/>
  <c r="AK218" i="4"/>
  <c r="AK219" i="4"/>
  <c r="AK221" i="4"/>
  <c r="AK223" i="4"/>
  <c r="AK224" i="4"/>
  <c r="AK225" i="4"/>
  <c r="AK226" i="4"/>
  <c r="AK228" i="4"/>
  <c r="AK229" i="4"/>
  <c r="AK230" i="4"/>
  <c r="AK231" i="4"/>
  <c r="AK232" i="4"/>
  <c r="AK233" i="4"/>
  <c r="AK234" i="4"/>
  <c r="AK235" i="4"/>
  <c r="AK236" i="4"/>
  <c r="AK237" i="4"/>
  <c r="AK238" i="4"/>
  <c r="AK239" i="4"/>
  <c r="AK240" i="4"/>
  <c r="AK241" i="4"/>
  <c r="AK242" i="4"/>
  <c r="AK243" i="4"/>
  <c r="AK244" i="4"/>
  <c r="AK245" i="4"/>
  <c r="AK247" i="4"/>
  <c r="AK248" i="4"/>
  <c r="AK249" i="4"/>
  <c r="AK250" i="4"/>
  <c r="AK251" i="4"/>
  <c r="AK252" i="4"/>
  <c r="AK253" i="4"/>
  <c r="AK254" i="4"/>
  <c r="AK255" i="4"/>
  <c r="AK256" i="4"/>
  <c r="AK258" i="4"/>
  <c r="AK259" i="4"/>
  <c r="AK260" i="4"/>
  <c r="AK261" i="4"/>
  <c r="AK262" i="4"/>
  <c r="AK263" i="4"/>
  <c r="AK264" i="4"/>
  <c r="AK265" i="4"/>
  <c r="AK266" i="4"/>
  <c r="AK268" i="4"/>
  <c r="AK269" i="4"/>
  <c r="AK270" i="4"/>
  <c r="AK271" i="4"/>
  <c r="AK272" i="4"/>
  <c r="AK273" i="4"/>
  <c r="AK274" i="4"/>
  <c r="AK275" i="4"/>
  <c r="AK276" i="4"/>
  <c r="AK277" i="4"/>
  <c r="AK278" i="4"/>
  <c r="AK279" i="4"/>
  <c r="AK280" i="4"/>
  <c r="AK281" i="4"/>
  <c r="AK282" i="4"/>
  <c r="AK283" i="4"/>
  <c r="AK284" i="4"/>
  <c r="AK285" i="4"/>
  <c r="AK286" i="4"/>
  <c r="AK287" i="4"/>
  <c r="AK288" i="4"/>
  <c r="AK289" i="4"/>
  <c r="AK290" i="4"/>
  <c r="AK291" i="4"/>
  <c r="AK292" i="4"/>
  <c r="AK293" i="4"/>
  <c r="AK295" i="4"/>
  <c r="AK296" i="4"/>
  <c r="AK297" i="4"/>
  <c r="AK298" i="4"/>
  <c r="AK299" i="4"/>
  <c r="AK300" i="4"/>
  <c r="AK301" i="4"/>
  <c r="AK302" i="4"/>
  <c r="AK303" i="4"/>
  <c r="AK304" i="4"/>
  <c r="AK305" i="4"/>
  <c r="AK306" i="4"/>
  <c r="AK307" i="4"/>
  <c r="AK308" i="4"/>
  <c r="AK309" i="4"/>
  <c r="AK310" i="4"/>
  <c r="AK313" i="4"/>
  <c r="AK314" i="4"/>
  <c r="AK316" i="4"/>
  <c r="AK317" i="4"/>
  <c r="AK318" i="4"/>
  <c r="AK319" i="4"/>
  <c r="AK320" i="4"/>
  <c r="AK321" i="4"/>
  <c r="AK322" i="4"/>
  <c r="AK323" i="4"/>
  <c r="AK324" i="4"/>
  <c r="AK325" i="4"/>
  <c r="AK326" i="4"/>
  <c r="AK327" i="4"/>
  <c r="AK328" i="4"/>
  <c r="AK329" i="4"/>
  <c r="AK330" i="4"/>
  <c r="AK331" i="4"/>
  <c r="AK332" i="4"/>
  <c r="AK333" i="4"/>
  <c r="AK335" i="4"/>
  <c r="AK336" i="4"/>
  <c r="AK337" i="4"/>
  <c r="AK338" i="4"/>
  <c r="AK339" i="4"/>
  <c r="AK340" i="4"/>
  <c r="AK341" i="4"/>
  <c r="AK342" i="4"/>
  <c r="AK343" i="4"/>
  <c r="AK344" i="4"/>
  <c r="AK345" i="4"/>
  <c r="AK346" i="4"/>
  <c r="AK347" i="4"/>
  <c r="AK348" i="4"/>
  <c r="AK349" i="4"/>
  <c r="AK350" i="4"/>
  <c r="AK351" i="4"/>
  <c r="AK352" i="4"/>
  <c r="AK353" i="4"/>
  <c r="AK354" i="4"/>
  <c r="AK355" i="4"/>
  <c r="AK356" i="4"/>
  <c r="AK359" i="4"/>
  <c r="AK361" i="4"/>
  <c r="AK362" i="4"/>
  <c r="AK363" i="4"/>
  <c r="AK364" i="4"/>
  <c r="AK365" i="4"/>
  <c r="AK366" i="4"/>
  <c r="AK367" i="4"/>
  <c r="AK368" i="4"/>
  <c r="AK369" i="4"/>
  <c r="AK370" i="4"/>
  <c r="AK372" i="4"/>
  <c r="AK373" i="4"/>
  <c r="AK374" i="4"/>
  <c r="AK376" i="4"/>
  <c r="AK377" i="4"/>
  <c r="AK378" i="4"/>
  <c r="AK379" i="4"/>
  <c r="AK380" i="4"/>
  <c r="AK381" i="4"/>
  <c r="AK382" i="4"/>
  <c r="AK383" i="4"/>
  <c r="AK384" i="4"/>
  <c r="AK385" i="4"/>
  <c r="AK387" i="4"/>
  <c r="AK388" i="4"/>
  <c r="AK389" i="4"/>
  <c r="AK390" i="4"/>
  <c r="AK391" i="4"/>
  <c r="AK392" i="4"/>
  <c r="AK393" i="4"/>
  <c r="AK394" i="4"/>
  <c r="AK395" i="4"/>
  <c r="AK396" i="4"/>
  <c r="AK397" i="4"/>
  <c r="AK398" i="4"/>
  <c r="AK399" i="4"/>
  <c r="AK400" i="4"/>
  <c r="AK401" i="4"/>
  <c r="AK402" i="4"/>
  <c r="AK403" i="4"/>
  <c r="AK404" i="4"/>
  <c r="AK405" i="4"/>
  <c r="AK406" i="4"/>
  <c r="AK407" i="4"/>
  <c r="AK408" i="4"/>
  <c r="AK411" i="4"/>
  <c r="AK412" i="4"/>
  <c r="AK413" i="4"/>
  <c r="AK414" i="4"/>
  <c r="AK416" i="4"/>
  <c r="AK417" i="4"/>
  <c r="AK418" i="4"/>
  <c r="AK419" i="4"/>
  <c r="AK420" i="4"/>
  <c r="AK421" i="4"/>
  <c r="AK422" i="4"/>
  <c r="AK423" i="4"/>
  <c r="AK424" i="4"/>
  <c r="AK425" i="4"/>
  <c r="AK426" i="4"/>
  <c r="AK427" i="4"/>
  <c r="AK428" i="4"/>
  <c r="AK429" i="4"/>
  <c r="AK430" i="4"/>
  <c r="AK431" i="4"/>
  <c r="AK432" i="4"/>
  <c r="AK433" i="4"/>
  <c r="AK434" i="4"/>
  <c r="AK435" i="4"/>
  <c r="AK436" i="4"/>
  <c r="AK437" i="4"/>
  <c r="AK439" i="4"/>
  <c r="AK440" i="4"/>
  <c r="AK441" i="4"/>
  <c r="AK442" i="4"/>
  <c r="AK443" i="4"/>
  <c r="AK444" i="4"/>
  <c r="AK445"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7" i="4"/>
  <c r="AK498" i="4"/>
  <c r="AK499" i="4"/>
  <c r="AK500" i="4"/>
  <c r="AK501" i="4"/>
  <c r="AK502" i="4"/>
  <c r="AK503" i="4"/>
  <c r="AK504" i="4"/>
  <c r="AK505" i="4"/>
  <c r="AK506" i="4"/>
  <c r="AK507" i="4"/>
  <c r="AK508" i="4"/>
  <c r="AK509" i="4"/>
  <c r="AK510" i="4"/>
  <c r="AK511" i="4"/>
  <c r="AK512" i="4"/>
  <c r="AK516" i="4"/>
  <c r="AK517" i="4"/>
  <c r="AK518" i="4"/>
  <c r="AK519" i="4"/>
  <c r="AK522" i="4"/>
  <c r="AK524" i="4"/>
  <c r="AK525" i="4"/>
  <c r="AK526" i="4"/>
  <c r="AK529" i="4"/>
  <c r="AK530" i="4"/>
  <c r="AK531" i="4"/>
  <c r="AK532" i="4"/>
  <c r="AK534" i="4"/>
  <c r="AK535" i="4"/>
  <c r="AK536" i="4"/>
  <c r="AK537" i="4"/>
  <c r="AK538" i="4"/>
  <c r="AK539" i="4"/>
  <c r="AK540" i="4"/>
  <c r="AK541" i="4"/>
  <c r="AK542" i="4"/>
  <c r="AK543" i="4"/>
  <c r="AK544" i="4"/>
  <c r="AK545" i="4"/>
  <c r="AK547" i="4"/>
  <c r="AK548" i="4"/>
  <c r="AK549"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600" i="4"/>
  <c r="AK601" i="4"/>
  <c r="AK602" i="4"/>
  <c r="AK603" i="4"/>
  <c r="AK604" i="4"/>
  <c r="AK605" i="4"/>
  <c r="AK606" i="4"/>
  <c r="AK608" i="4"/>
  <c r="AK609" i="4"/>
  <c r="AK610" i="4"/>
  <c r="AK611" i="4"/>
  <c r="AK612" i="4"/>
  <c r="AK614" i="4"/>
  <c r="AK616" i="4"/>
  <c r="AK617" i="4"/>
  <c r="AK618"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5" i="4"/>
  <c r="AK646" i="4"/>
  <c r="AK647" i="4"/>
  <c r="AK648" i="4"/>
  <c r="AK649" i="4"/>
  <c r="AK650" i="4"/>
  <c r="AK651" i="4"/>
  <c r="AK652" i="4"/>
  <c r="AK653" i="4"/>
  <c r="AK654" i="4"/>
  <c r="AK655" i="4"/>
  <c r="AK657" i="4"/>
  <c r="AK658" i="4"/>
  <c r="AK659" i="4"/>
  <c r="AK660" i="4"/>
  <c r="AK661" i="4"/>
  <c r="AK662" i="4"/>
  <c r="AK663" i="4"/>
  <c r="AK664" i="4"/>
  <c r="AK665" i="4"/>
  <c r="AK666" i="4"/>
  <c r="AK667" i="4"/>
  <c r="AK668" i="4"/>
  <c r="AK669" i="4"/>
  <c r="AK670" i="4"/>
  <c r="L81" i="5"/>
  <c r="L79" i="5"/>
  <c r="C41" i="5"/>
  <c r="L78" i="5"/>
  <c r="C26" i="5"/>
  <c r="L82" i="5"/>
  <c r="C23" i="5"/>
  <c r="L76" i="5"/>
  <c r="C30" i="5"/>
  <c r="D38" i="5"/>
  <c r="C52" i="5"/>
  <c r="C45" i="5"/>
  <c r="C38" i="5"/>
  <c r="L83" i="5"/>
  <c r="C34" i="5"/>
  <c r="L77" i="5"/>
  <c r="D84" i="2"/>
  <c r="C49" i="5"/>
  <c r="AA643" i="4" l="1"/>
  <c r="AB643" i="4" s="1"/>
  <c r="AA626" i="4"/>
  <c r="AB626" i="4" s="1"/>
  <c r="AA611" i="4"/>
  <c r="AB611" i="4" s="1"/>
  <c r="AA586" i="4"/>
  <c r="AB586" i="4" s="1"/>
  <c r="AA576" i="4"/>
  <c r="AB576" i="4" s="1"/>
  <c r="AA564" i="4"/>
  <c r="AB564" i="4" s="1"/>
  <c r="AA497" i="4"/>
  <c r="AB497" i="4" s="1"/>
  <c r="AA438" i="4"/>
  <c r="AB438" i="4" s="1"/>
  <c r="AA420" i="4"/>
  <c r="AB420" i="4" s="1"/>
  <c r="AA387" i="4"/>
  <c r="AB387" i="4" s="1"/>
  <c r="AA383" i="4"/>
  <c r="AB383" i="4" s="1"/>
  <c r="AA379" i="4"/>
  <c r="AB379" i="4" s="1"/>
  <c r="AA362" i="4"/>
  <c r="AB362" i="4" s="1"/>
  <c r="AA360" i="4"/>
  <c r="AB360" i="4" s="1"/>
  <c r="AA353" i="4"/>
  <c r="AB353" i="4" s="1"/>
  <c r="AA337" i="4"/>
  <c r="AB337" i="4" s="1"/>
  <c r="AA315" i="4"/>
  <c r="AB315" i="4" s="1"/>
  <c r="AA283" i="4"/>
  <c r="AB283" i="4" s="1"/>
  <c r="AA260" i="4"/>
  <c r="AB260" i="4" s="1"/>
  <c r="AA256" i="4"/>
  <c r="AB256" i="4" s="1"/>
  <c r="AA241" i="4"/>
  <c r="AB241" i="4" s="1"/>
  <c r="AA240" i="4"/>
  <c r="AB240" i="4" s="1"/>
  <c r="AA225" i="4"/>
  <c r="AB225" i="4" s="1"/>
  <c r="AA214" i="4"/>
  <c r="AB214" i="4" s="1"/>
  <c r="AA207" i="4"/>
  <c r="AB207" i="4" s="1"/>
  <c r="AA148" i="4"/>
  <c r="AB148" i="4" s="1"/>
  <c r="AA137" i="4"/>
  <c r="AB137" i="4" s="1"/>
  <c r="AA128" i="4"/>
  <c r="AB128" i="4" s="1"/>
  <c r="AA115" i="4"/>
  <c r="AB115" i="4" s="1"/>
  <c r="AA99" i="4"/>
  <c r="AB99" i="4" s="1"/>
  <c r="AA50" i="4"/>
  <c r="AB50" i="4" s="1"/>
  <c r="X643" i="4"/>
  <c r="Y643" i="4" s="1"/>
  <c r="X626" i="4"/>
  <c r="Y626" i="4" s="1"/>
  <c r="X611" i="4"/>
  <c r="Y611" i="4" s="1"/>
  <c r="X586" i="4"/>
  <c r="Y586" i="4" s="1"/>
  <c r="X576" i="4"/>
  <c r="Y576" i="4" s="1"/>
  <c r="X564" i="4"/>
  <c r="Y564" i="4" s="1"/>
  <c r="X497" i="4"/>
  <c r="Y497" i="4" s="1"/>
  <c r="X438" i="4"/>
  <c r="Y438" i="4" s="1"/>
  <c r="X420" i="4"/>
  <c r="Y420" i="4" s="1"/>
  <c r="X387" i="4"/>
  <c r="Y387" i="4" s="1"/>
  <c r="X383" i="4"/>
  <c r="Y383" i="4" s="1"/>
  <c r="X379" i="4"/>
  <c r="Y379" i="4" s="1"/>
  <c r="X362" i="4"/>
  <c r="Y362" i="4" s="1"/>
  <c r="X360" i="4"/>
  <c r="Y360" i="4" s="1"/>
  <c r="X353" i="4"/>
  <c r="Y353" i="4" s="1"/>
  <c r="X337" i="4"/>
  <c r="Y337" i="4" s="1"/>
  <c r="X315" i="4"/>
  <c r="Y315" i="4" s="1"/>
  <c r="X283" i="4"/>
  <c r="Y283" i="4" s="1"/>
  <c r="X260" i="4"/>
  <c r="Y260" i="4" s="1"/>
  <c r="X256" i="4"/>
  <c r="Y256" i="4" s="1"/>
  <c r="X241" i="4"/>
  <c r="Y241" i="4" s="1"/>
  <c r="X240" i="4"/>
  <c r="Y240" i="4" s="1"/>
  <c r="X225" i="4"/>
  <c r="Y225" i="4" s="1"/>
  <c r="X214" i="4"/>
  <c r="Y214" i="4" s="1"/>
  <c r="X207" i="4"/>
  <c r="Y207" i="4" s="1"/>
  <c r="X148" i="4"/>
  <c r="Y148" i="4" s="1"/>
  <c r="X137" i="4"/>
  <c r="Y137" i="4" s="1"/>
  <c r="X128" i="4"/>
  <c r="Y128" i="4" s="1"/>
  <c r="X115" i="4"/>
  <c r="Y115" i="4" s="1"/>
  <c r="X99" i="4"/>
  <c r="Y99" i="4" s="1"/>
  <c r="X50" i="4"/>
  <c r="Y50" i="4" s="1"/>
  <c r="Z638" i="4"/>
  <c r="AB638" i="4" s="1"/>
  <c r="Z599" i="4"/>
  <c r="AB599" i="4" s="1"/>
  <c r="Z570" i="4"/>
  <c r="AB570" i="4" s="1"/>
  <c r="Z537" i="4"/>
  <c r="AB537" i="4" s="1"/>
  <c r="Z491" i="4"/>
  <c r="AB491" i="4" s="1"/>
  <c r="Z462" i="4"/>
  <c r="AB462" i="4" s="1"/>
  <c r="Z442" i="4"/>
  <c r="AB442" i="4" s="1"/>
  <c r="Z393" i="4"/>
  <c r="AB393" i="4" s="1"/>
  <c r="Z386" i="4"/>
  <c r="AB386" i="4" s="1"/>
  <c r="Z375" i="4"/>
  <c r="AB375" i="4" s="1"/>
  <c r="Z293" i="4"/>
  <c r="AB293" i="4" s="1"/>
  <c r="Z135" i="4"/>
  <c r="AB135" i="4" s="1"/>
  <c r="Z100" i="4"/>
  <c r="AB100" i="4" s="1"/>
  <c r="Z61" i="4"/>
  <c r="AB61" i="4" s="1"/>
  <c r="Z36" i="4"/>
  <c r="AB36" i="4" s="1"/>
  <c r="W638" i="4"/>
  <c r="Y638" i="4" s="1"/>
  <c r="AD638" i="4" s="1"/>
  <c r="W599" i="4"/>
  <c r="Y599" i="4" s="1"/>
  <c r="W570" i="4"/>
  <c r="Y570" i="4" s="1"/>
  <c r="W537" i="4"/>
  <c r="Y537" i="4" s="1"/>
  <c r="W491" i="4"/>
  <c r="Y491" i="4" s="1"/>
  <c r="W462" i="4"/>
  <c r="Y462" i="4" s="1"/>
  <c r="W442" i="4"/>
  <c r="Y442" i="4" s="1"/>
  <c r="W393" i="4"/>
  <c r="Y393" i="4" s="1"/>
  <c r="W386" i="4"/>
  <c r="Y386" i="4" s="1"/>
  <c r="W375" i="4"/>
  <c r="Y375" i="4" s="1"/>
  <c r="W293" i="4"/>
  <c r="Y293" i="4" s="1"/>
  <c r="W135" i="4"/>
  <c r="Y135" i="4" s="1"/>
  <c r="W100" i="4"/>
  <c r="Y100" i="4" s="1"/>
  <c r="AD100" i="4" s="1"/>
  <c r="W61" i="4"/>
  <c r="Y61" i="4" s="1"/>
  <c r="W36" i="4"/>
  <c r="Y36" i="4" s="1"/>
  <c r="AB2" i="4"/>
  <c r="AB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7" i="4"/>
  <c r="AB38" i="4"/>
  <c r="AB39" i="4"/>
  <c r="AB40" i="4"/>
  <c r="AB41" i="4"/>
  <c r="AB42" i="4"/>
  <c r="AB43" i="4"/>
  <c r="AB44" i="4"/>
  <c r="AB45" i="4"/>
  <c r="AB46" i="4"/>
  <c r="AB47" i="4"/>
  <c r="AB48" i="4"/>
  <c r="AB49" i="4"/>
  <c r="AB51" i="4"/>
  <c r="AB52" i="4"/>
  <c r="AB53" i="4"/>
  <c r="AB54" i="4"/>
  <c r="AB55" i="4"/>
  <c r="AB56" i="4"/>
  <c r="AB57" i="4"/>
  <c r="AB58" i="4"/>
  <c r="AB59" i="4"/>
  <c r="AB60"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101" i="4"/>
  <c r="AB102" i="4"/>
  <c r="AB103" i="4"/>
  <c r="AB104" i="4"/>
  <c r="AB105" i="4"/>
  <c r="AB106" i="4"/>
  <c r="AB107" i="4"/>
  <c r="AB108" i="4"/>
  <c r="AB109" i="4"/>
  <c r="AB110" i="4"/>
  <c r="AB111" i="4"/>
  <c r="AB112" i="4"/>
  <c r="AB113" i="4"/>
  <c r="AB114" i="4"/>
  <c r="AB116" i="4"/>
  <c r="AB117" i="4"/>
  <c r="AB118" i="4"/>
  <c r="AB119" i="4"/>
  <c r="AB120" i="4"/>
  <c r="AB121" i="4"/>
  <c r="AB122" i="4"/>
  <c r="AB123" i="4"/>
  <c r="AB124" i="4"/>
  <c r="AB125" i="4"/>
  <c r="AB126" i="4"/>
  <c r="AB127" i="4"/>
  <c r="AB129" i="4"/>
  <c r="AB130" i="4"/>
  <c r="AB131" i="4"/>
  <c r="AB132" i="4"/>
  <c r="AB133" i="4"/>
  <c r="AB134" i="4"/>
  <c r="AB136" i="4"/>
  <c r="AB138" i="4"/>
  <c r="AB139" i="4"/>
  <c r="AB140" i="4"/>
  <c r="AB141" i="4"/>
  <c r="AB142" i="4"/>
  <c r="AB143" i="4"/>
  <c r="AB144" i="4"/>
  <c r="AB145" i="4"/>
  <c r="AB146" i="4"/>
  <c r="AB147" i="4"/>
  <c r="AB149" i="4"/>
  <c r="AB150" i="4"/>
  <c r="AB151" i="4"/>
  <c r="AB152" i="4"/>
  <c r="AB153" i="4"/>
  <c r="AB154" i="4"/>
  <c r="AB155" i="4"/>
  <c r="AB156" i="4"/>
  <c r="AB157" i="4"/>
  <c r="AB158" i="4"/>
  <c r="AB159" i="4"/>
  <c r="AB160" i="4"/>
  <c r="AB161" i="4"/>
  <c r="AB162" i="4"/>
  <c r="AB163" i="4"/>
  <c r="AB164" i="4"/>
  <c r="AB165" i="4"/>
  <c r="AB166" i="4"/>
  <c r="AB167" i="4"/>
  <c r="AB168" i="4"/>
  <c r="AB169" i="4"/>
  <c r="AB170" i="4"/>
  <c r="AB171" i="4"/>
  <c r="AB172" i="4"/>
  <c r="AB173" i="4"/>
  <c r="AB174" i="4"/>
  <c r="AB175" i="4"/>
  <c r="AB176" i="4"/>
  <c r="AB177" i="4"/>
  <c r="AB178" i="4"/>
  <c r="AB179" i="4"/>
  <c r="AB180" i="4"/>
  <c r="AB181" i="4"/>
  <c r="AB182" i="4"/>
  <c r="AB183" i="4"/>
  <c r="AB184" i="4"/>
  <c r="AB185" i="4"/>
  <c r="AB186" i="4"/>
  <c r="AB187" i="4"/>
  <c r="AB188" i="4"/>
  <c r="AB189" i="4"/>
  <c r="AB190" i="4"/>
  <c r="AB191" i="4"/>
  <c r="AB192" i="4"/>
  <c r="AB193" i="4"/>
  <c r="AB194" i="4"/>
  <c r="AB195" i="4"/>
  <c r="AB196" i="4"/>
  <c r="AB197" i="4"/>
  <c r="AB198" i="4"/>
  <c r="AB199" i="4"/>
  <c r="AB200" i="4"/>
  <c r="AB201" i="4"/>
  <c r="AB202" i="4"/>
  <c r="AB203" i="4"/>
  <c r="AB204" i="4"/>
  <c r="AB205" i="4"/>
  <c r="AB206" i="4"/>
  <c r="AB208" i="4"/>
  <c r="AB209" i="4"/>
  <c r="AB210" i="4"/>
  <c r="AB211" i="4"/>
  <c r="AB212" i="4"/>
  <c r="AB213" i="4"/>
  <c r="AB215" i="4"/>
  <c r="AB216" i="4"/>
  <c r="AB217" i="4"/>
  <c r="AB218" i="4"/>
  <c r="AB219" i="4"/>
  <c r="AB220" i="4"/>
  <c r="AB221" i="4"/>
  <c r="AB222" i="4"/>
  <c r="AB223" i="4"/>
  <c r="AB224" i="4"/>
  <c r="AB226" i="4"/>
  <c r="AB227" i="4"/>
  <c r="AB228" i="4"/>
  <c r="AB229" i="4"/>
  <c r="AB230" i="4"/>
  <c r="AB231" i="4"/>
  <c r="AB232" i="4"/>
  <c r="AB233" i="4"/>
  <c r="AB234" i="4"/>
  <c r="AB235" i="4"/>
  <c r="AB236" i="4"/>
  <c r="AB237" i="4"/>
  <c r="AB238" i="4"/>
  <c r="AB239" i="4"/>
  <c r="AB242" i="4"/>
  <c r="AB243" i="4"/>
  <c r="AB244" i="4"/>
  <c r="AB245" i="4"/>
  <c r="AB246" i="4"/>
  <c r="AB247" i="4"/>
  <c r="AB248" i="4"/>
  <c r="AB249" i="4"/>
  <c r="AB250" i="4"/>
  <c r="AB251" i="4"/>
  <c r="AB252" i="4"/>
  <c r="AB253" i="4"/>
  <c r="AB254" i="4"/>
  <c r="AB255" i="4"/>
  <c r="AB257" i="4"/>
  <c r="AB258" i="4"/>
  <c r="AB259" i="4"/>
  <c r="AB261" i="4"/>
  <c r="AB262" i="4"/>
  <c r="AB263" i="4"/>
  <c r="AB264" i="4"/>
  <c r="AB265" i="4"/>
  <c r="AB266" i="4"/>
  <c r="AB267" i="4"/>
  <c r="AB268" i="4"/>
  <c r="AB269" i="4"/>
  <c r="AB270" i="4"/>
  <c r="AB271" i="4"/>
  <c r="AB272" i="4"/>
  <c r="AB273" i="4"/>
  <c r="AB274" i="4"/>
  <c r="AB275" i="4"/>
  <c r="AB276" i="4"/>
  <c r="AB277" i="4"/>
  <c r="AB278" i="4"/>
  <c r="AB279" i="4"/>
  <c r="AB280" i="4"/>
  <c r="AB281" i="4"/>
  <c r="AB282" i="4"/>
  <c r="AB284" i="4"/>
  <c r="AB285" i="4"/>
  <c r="AB286" i="4"/>
  <c r="AB287" i="4"/>
  <c r="AB288" i="4"/>
  <c r="AB289" i="4"/>
  <c r="AB290" i="4"/>
  <c r="AB291" i="4"/>
  <c r="AB292" i="4"/>
  <c r="AB294" i="4"/>
  <c r="AB295" i="4"/>
  <c r="AB296" i="4"/>
  <c r="AB297" i="4"/>
  <c r="AB298" i="4"/>
  <c r="AB299" i="4"/>
  <c r="AB300" i="4"/>
  <c r="AB301" i="4"/>
  <c r="AB302" i="4"/>
  <c r="AB303" i="4"/>
  <c r="AB304" i="4"/>
  <c r="AB305" i="4"/>
  <c r="AB306" i="4"/>
  <c r="AB307" i="4"/>
  <c r="AB308" i="4"/>
  <c r="AB309" i="4"/>
  <c r="AB310" i="4"/>
  <c r="AB311" i="4"/>
  <c r="AB312" i="4"/>
  <c r="AB313" i="4"/>
  <c r="AB314" i="4"/>
  <c r="AB316" i="4"/>
  <c r="AB317" i="4"/>
  <c r="AB318" i="4"/>
  <c r="AB319" i="4"/>
  <c r="AB320" i="4"/>
  <c r="AB321" i="4"/>
  <c r="AB322" i="4"/>
  <c r="AB323" i="4"/>
  <c r="AB324" i="4"/>
  <c r="AB325" i="4"/>
  <c r="AB326" i="4"/>
  <c r="AB327" i="4"/>
  <c r="AB328" i="4"/>
  <c r="AB329" i="4"/>
  <c r="AB330" i="4"/>
  <c r="AB331" i="4"/>
  <c r="AB332" i="4"/>
  <c r="AB333" i="4"/>
  <c r="AB334" i="4"/>
  <c r="AB335" i="4"/>
  <c r="AB336" i="4"/>
  <c r="AB338" i="4"/>
  <c r="AB339" i="4"/>
  <c r="AB340" i="4"/>
  <c r="AB341" i="4"/>
  <c r="AB342" i="4"/>
  <c r="AB343" i="4"/>
  <c r="AB344" i="4"/>
  <c r="AB345" i="4"/>
  <c r="AB346" i="4"/>
  <c r="AB347" i="4"/>
  <c r="AB348" i="4"/>
  <c r="AB349" i="4"/>
  <c r="AB350" i="4"/>
  <c r="AB351" i="4"/>
  <c r="AB352" i="4"/>
  <c r="AB354" i="4"/>
  <c r="AB355" i="4"/>
  <c r="AB356" i="4"/>
  <c r="AB357" i="4"/>
  <c r="AB358" i="4"/>
  <c r="AB359" i="4"/>
  <c r="AB361" i="4"/>
  <c r="AB363" i="4"/>
  <c r="AB364" i="4"/>
  <c r="AB365" i="4"/>
  <c r="AB366" i="4"/>
  <c r="AB367" i="4"/>
  <c r="AB368" i="4"/>
  <c r="AB369" i="4"/>
  <c r="AB370" i="4"/>
  <c r="AB371" i="4"/>
  <c r="AB372" i="4"/>
  <c r="AB373" i="4"/>
  <c r="AB374" i="4"/>
  <c r="AB376" i="4"/>
  <c r="AB377" i="4"/>
  <c r="AB378" i="4"/>
  <c r="AB380" i="4"/>
  <c r="AB381" i="4"/>
  <c r="AB382" i="4"/>
  <c r="AB384" i="4"/>
  <c r="AB385" i="4"/>
  <c r="AB388" i="4"/>
  <c r="AB389" i="4"/>
  <c r="AB390" i="4"/>
  <c r="AB391" i="4"/>
  <c r="AB392" i="4"/>
  <c r="AB394" i="4"/>
  <c r="AB395" i="4"/>
  <c r="AB396" i="4"/>
  <c r="AB397" i="4"/>
  <c r="AB398" i="4"/>
  <c r="AB399" i="4"/>
  <c r="AB400" i="4"/>
  <c r="AB401" i="4"/>
  <c r="AB402" i="4"/>
  <c r="AB403" i="4"/>
  <c r="AB404" i="4"/>
  <c r="AB405" i="4"/>
  <c r="AB406" i="4"/>
  <c r="AB407" i="4"/>
  <c r="AB408" i="4"/>
  <c r="AB409" i="4"/>
  <c r="AB410" i="4"/>
  <c r="AB411" i="4"/>
  <c r="AB412" i="4"/>
  <c r="AB413" i="4"/>
  <c r="AB414" i="4"/>
  <c r="AB415" i="4"/>
  <c r="AB416" i="4"/>
  <c r="AB417" i="4"/>
  <c r="AB418" i="4"/>
  <c r="AB419" i="4"/>
  <c r="AB421" i="4"/>
  <c r="AB422" i="4"/>
  <c r="AB423" i="4"/>
  <c r="AB424" i="4"/>
  <c r="AB425" i="4"/>
  <c r="AB426" i="4"/>
  <c r="AB427" i="4"/>
  <c r="AB428" i="4"/>
  <c r="AB429" i="4"/>
  <c r="AB430" i="4"/>
  <c r="AB431" i="4"/>
  <c r="AB432" i="4"/>
  <c r="AB433" i="4"/>
  <c r="AB434" i="4"/>
  <c r="AB435" i="4"/>
  <c r="AB436" i="4"/>
  <c r="AB437" i="4"/>
  <c r="AB439" i="4"/>
  <c r="AB440" i="4"/>
  <c r="AB441" i="4"/>
  <c r="AB443" i="4"/>
  <c r="AB444" i="4"/>
  <c r="AB445" i="4"/>
  <c r="AB446" i="4"/>
  <c r="AB447" i="4"/>
  <c r="AB448" i="4"/>
  <c r="AB449" i="4"/>
  <c r="AB450" i="4"/>
  <c r="AB451" i="4"/>
  <c r="AB452" i="4"/>
  <c r="AB453" i="4"/>
  <c r="AB454" i="4"/>
  <c r="AB455" i="4"/>
  <c r="AB456" i="4"/>
  <c r="AB457" i="4"/>
  <c r="AB458" i="4"/>
  <c r="AB459" i="4"/>
  <c r="AB460" i="4"/>
  <c r="AB461" i="4"/>
  <c r="AB463" i="4"/>
  <c r="AB464" i="4"/>
  <c r="AB465" i="4"/>
  <c r="AB466" i="4"/>
  <c r="AB467" i="4"/>
  <c r="AB468" i="4"/>
  <c r="AB469" i="4"/>
  <c r="AB470" i="4"/>
  <c r="AB471" i="4"/>
  <c r="AB472" i="4"/>
  <c r="AB473" i="4"/>
  <c r="AB474" i="4"/>
  <c r="AB475" i="4"/>
  <c r="AB476" i="4"/>
  <c r="AB477" i="4"/>
  <c r="AB478" i="4"/>
  <c r="AB479" i="4"/>
  <c r="AB480" i="4"/>
  <c r="AB481" i="4"/>
  <c r="AB482" i="4"/>
  <c r="AB483" i="4"/>
  <c r="AB484" i="4"/>
  <c r="AB485" i="4"/>
  <c r="AB486" i="4"/>
  <c r="AB487" i="4"/>
  <c r="AB488" i="4"/>
  <c r="AB489" i="4"/>
  <c r="AB490" i="4"/>
  <c r="AB492" i="4"/>
  <c r="AB493" i="4"/>
  <c r="AB494" i="4"/>
  <c r="AB495" i="4"/>
  <c r="AB496" i="4"/>
  <c r="AB498" i="4"/>
  <c r="AB499" i="4"/>
  <c r="AB500" i="4"/>
  <c r="AB501" i="4"/>
  <c r="AB502" i="4"/>
  <c r="AB503" i="4"/>
  <c r="AB504" i="4"/>
  <c r="AB505" i="4"/>
  <c r="AB506" i="4"/>
  <c r="AB507" i="4"/>
  <c r="AB508" i="4"/>
  <c r="AB509" i="4"/>
  <c r="AB510" i="4"/>
  <c r="AB511" i="4"/>
  <c r="AB512" i="4"/>
  <c r="AB513" i="4"/>
  <c r="AB514" i="4"/>
  <c r="AB515" i="4"/>
  <c r="AB516" i="4"/>
  <c r="AB517" i="4"/>
  <c r="AB518" i="4"/>
  <c r="AB519" i="4"/>
  <c r="AB520" i="4"/>
  <c r="AB521" i="4"/>
  <c r="AB522" i="4"/>
  <c r="AB523" i="4"/>
  <c r="AB524" i="4"/>
  <c r="AB525" i="4"/>
  <c r="AB526" i="4"/>
  <c r="AB527" i="4"/>
  <c r="AB528" i="4"/>
  <c r="AB529" i="4"/>
  <c r="AB530" i="4"/>
  <c r="AB531" i="4"/>
  <c r="AB532" i="4"/>
  <c r="AB533" i="4"/>
  <c r="AB534" i="4"/>
  <c r="AB535" i="4"/>
  <c r="AB536" i="4"/>
  <c r="AB538" i="4"/>
  <c r="AB539" i="4"/>
  <c r="AB540" i="4"/>
  <c r="AB541" i="4"/>
  <c r="AB542" i="4"/>
  <c r="AB543" i="4"/>
  <c r="AB544" i="4"/>
  <c r="AB545" i="4"/>
  <c r="AB546" i="4"/>
  <c r="AB547" i="4"/>
  <c r="AB548" i="4"/>
  <c r="AB549" i="4"/>
  <c r="AB550" i="4"/>
  <c r="AB551" i="4"/>
  <c r="AB552" i="4"/>
  <c r="AB553" i="4"/>
  <c r="AB554" i="4"/>
  <c r="AB555" i="4"/>
  <c r="AB556" i="4"/>
  <c r="AB557" i="4"/>
  <c r="AB558" i="4"/>
  <c r="AB559" i="4"/>
  <c r="AB560" i="4"/>
  <c r="AB561" i="4"/>
  <c r="AB562" i="4"/>
  <c r="AB563" i="4"/>
  <c r="AB565" i="4"/>
  <c r="AB566" i="4"/>
  <c r="AB567" i="4"/>
  <c r="AB568" i="4"/>
  <c r="AB569" i="4"/>
  <c r="AB571" i="4"/>
  <c r="AB572" i="4"/>
  <c r="AB573" i="4"/>
  <c r="AB574" i="4"/>
  <c r="AB575" i="4"/>
  <c r="AB577" i="4"/>
  <c r="AB578" i="4"/>
  <c r="AB579" i="4"/>
  <c r="AB580" i="4"/>
  <c r="AB581" i="4"/>
  <c r="AB582" i="4"/>
  <c r="AB583" i="4"/>
  <c r="AB584" i="4"/>
  <c r="AB585" i="4"/>
  <c r="AB587" i="4"/>
  <c r="AB588" i="4"/>
  <c r="AB589" i="4"/>
  <c r="AB590" i="4"/>
  <c r="AB591" i="4"/>
  <c r="AB592" i="4"/>
  <c r="AB593" i="4"/>
  <c r="AB594" i="4"/>
  <c r="AB595" i="4"/>
  <c r="AB596" i="4"/>
  <c r="AB597" i="4"/>
  <c r="AB598" i="4"/>
  <c r="AB600" i="4"/>
  <c r="AB601" i="4"/>
  <c r="AB602" i="4"/>
  <c r="AB603" i="4"/>
  <c r="AB604" i="4"/>
  <c r="AB605" i="4"/>
  <c r="AB606" i="4"/>
  <c r="AB607" i="4"/>
  <c r="AB608" i="4"/>
  <c r="AB609" i="4"/>
  <c r="AB610" i="4"/>
  <c r="AB612" i="4"/>
  <c r="AB613" i="4"/>
  <c r="AB614" i="4"/>
  <c r="AB615" i="4"/>
  <c r="AB616" i="4"/>
  <c r="AB617" i="4"/>
  <c r="AB618" i="4"/>
  <c r="AB619" i="4"/>
  <c r="AB620" i="4"/>
  <c r="AB621" i="4"/>
  <c r="AB622" i="4"/>
  <c r="AB623" i="4"/>
  <c r="AB624" i="4"/>
  <c r="AB625" i="4"/>
  <c r="AB627" i="4"/>
  <c r="AB628" i="4"/>
  <c r="AB629" i="4"/>
  <c r="AB630" i="4"/>
  <c r="AB631" i="4"/>
  <c r="AB632" i="4"/>
  <c r="AB633" i="4"/>
  <c r="AB634" i="4"/>
  <c r="AB635" i="4"/>
  <c r="AB636" i="4"/>
  <c r="AB637" i="4"/>
  <c r="AB639" i="4"/>
  <c r="AB640" i="4"/>
  <c r="AB641" i="4"/>
  <c r="AB642" i="4"/>
  <c r="AB644" i="4"/>
  <c r="AB645" i="4"/>
  <c r="AB646" i="4"/>
  <c r="AB647" i="4"/>
  <c r="AB648" i="4"/>
  <c r="AB649" i="4"/>
  <c r="AB650" i="4"/>
  <c r="AB651" i="4"/>
  <c r="AB652" i="4"/>
  <c r="AB653" i="4"/>
  <c r="AB654" i="4"/>
  <c r="AB655" i="4"/>
  <c r="AB656" i="4"/>
  <c r="AB657" i="4"/>
  <c r="AB658" i="4"/>
  <c r="AB659" i="4"/>
  <c r="AB660" i="4"/>
  <c r="AB661" i="4"/>
  <c r="AB662" i="4"/>
  <c r="AB663" i="4"/>
  <c r="AB664" i="4"/>
  <c r="AB665" i="4"/>
  <c r="AB666" i="4"/>
  <c r="AB667" i="4"/>
  <c r="AB668" i="4"/>
  <c r="AB669" i="4"/>
  <c r="AB670" i="4"/>
  <c r="Y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7" i="4"/>
  <c r="Y38" i="4"/>
  <c r="Y39" i="4"/>
  <c r="Y40" i="4"/>
  <c r="Y41" i="4"/>
  <c r="Y42" i="4"/>
  <c r="Y43" i="4"/>
  <c r="Y44" i="4"/>
  <c r="Y45" i="4"/>
  <c r="Y46" i="4"/>
  <c r="Y47" i="4"/>
  <c r="Y48" i="4"/>
  <c r="Y49" i="4"/>
  <c r="Y51" i="4"/>
  <c r="Y52" i="4"/>
  <c r="Y53" i="4"/>
  <c r="Y54" i="4"/>
  <c r="Y55" i="4"/>
  <c r="Y56" i="4"/>
  <c r="Y57" i="4"/>
  <c r="Y58" i="4"/>
  <c r="Y59" i="4"/>
  <c r="Y60"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101" i="4"/>
  <c r="Y102" i="4"/>
  <c r="Y103" i="4"/>
  <c r="Y104" i="4"/>
  <c r="Y105" i="4"/>
  <c r="Y106" i="4"/>
  <c r="Y107" i="4"/>
  <c r="Y108" i="4"/>
  <c r="Y109" i="4"/>
  <c r="Y110" i="4"/>
  <c r="Y111" i="4"/>
  <c r="Y112" i="4"/>
  <c r="Y113" i="4"/>
  <c r="Y114" i="4"/>
  <c r="Y116" i="4"/>
  <c r="Y117" i="4"/>
  <c r="Y118" i="4"/>
  <c r="Y119" i="4"/>
  <c r="Y120" i="4"/>
  <c r="Y121" i="4"/>
  <c r="Y122" i="4"/>
  <c r="Y123" i="4"/>
  <c r="Y124" i="4"/>
  <c r="Y125" i="4"/>
  <c r="Y126" i="4"/>
  <c r="Y127" i="4"/>
  <c r="Y129" i="4"/>
  <c r="Y130" i="4"/>
  <c r="Y131" i="4"/>
  <c r="Y132" i="4"/>
  <c r="Y133" i="4"/>
  <c r="Y134" i="4"/>
  <c r="Y136" i="4"/>
  <c r="Y138" i="4"/>
  <c r="Y139" i="4"/>
  <c r="Y140" i="4"/>
  <c r="Y141" i="4"/>
  <c r="Y142" i="4"/>
  <c r="Y143" i="4"/>
  <c r="Y144" i="4"/>
  <c r="Y145" i="4"/>
  <c r="Y146" i="4"/>
  <c r="Y147"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8" i="4"/>
  <c r="Y209" i="4"/>
  <c r="Y210" i="4"/>
  <c r="Y211" i="4"/>
  <c r="Y212" i="4"/>
  <c r="Y213" i="4"/>
  <c r="Y215" i="4"/>
  <c r="Y216" i="4"/>
  <c r="Y217" i="4"/>
  <c r="Y218" i="4"/>
  <c r="Y219" i="4"/>
  <c r="Y220" i="4"/>
  <c r="Y221" i="4"/>
  <c r="Y222" i="4"/>
  <c r="Y223" i="4"/>
  <c r="Y224" i="4"/>
  <c r="Y226" i="4"/>
  <c r="Y227" i="4"/>
  <c r="Y228" i="4"/>
  <c r="Y229" i="4"/>
  <c r="Y230" i="4"/>
  <c r="Y231" i="4"/>
  <c r="Y232" i="4"/>
  <c r="Y233" i="4"/>
  <c r="Y234" i="4"/>
  <c r="Y235" i="4"/>
  <c r="Y236" i="4"/>
  <c r="Y237" i="4"/>
  <c r="Y238" i="4"/>
  <c r="Y239" i="4"/>
  <c r="Y242" i="4"/>
  <c r="Y243" i="4"/>
  <c r="Y244" i="4"/>
  <c r="Y245" i="4"/>
  <c r="Y246" i="4"/>
  <c r="Y247" i="4"/>
  <c r="Y248" i="4"/>
  <c r="Y249" i="4"/>
  <c r="Y250" i="4"/>
  <c r="Y251" i="4"/>
  <c r="Y252" i="4"/>
  <c r="Y253" i="4"/>
  <c r="Y254" i="4"/>
  <c r="Y255" i="4"/>
  <c r="Y257" i="4"/>
  <c r="Y258" i="4"/>
  <c r="Y259" i="4"/>
  <c r="Y261" i="4"/>
  <c r="Y262" i="4"/>
  <c r="Y263" i="4"/>
  <c r="Y264" i="4"/>
  <c r="Y265" i="4"/>
  <c r="Y266" i="4"/>
  <c r="Y267" i="4"/>
  <c r="Y268" i="4"/>
  <c r="Y269" i="4"/>
  <c r="Y270" i="4"/>
  <c r="Y271" i="4"/>
  <c r="Y272" i="4"/>
  <c r="Y273" i="4"/>
  <c r="Y274" i="4"/>
  <c r="Y275" i="4"/>
  <c r="Y276" i="4"/>
  <c r="Y277" i="4"/>
  <c r="Y278" i="4"/>
  <c r="Y279" i="4"/>
  <c r="Y280" i="4"/>
  <c r="Y281" i="4"/>
  <c r="Y282" i="4"/>
  <c r="Y284" i="4"/>
  <c r="Y285" i="4"/>
  <c r="Y286" i="4"/>
  <c r="Y287" i="4"/>
  <c r="Y288" i="4"/>
  <c r="Y289" i="4"/>
  <c r="Y290" i="4"/>
  <c r="Y291" i="4"/>
  <c r="Y292" i="4"/>
  <c r="Y294" i="4"/>
  <c r="Y295" i="4"/>
  <c r="Y296" i="4"/>
  <c r="Y297" i="4"/>
  <c r="Y298" i="4"/>
  <c r="Y299" i="4"/>
  <c r="Y300" i="4"/>
  <c r="Y301" i="4"/>
  <c r="Y302" i="4"/>
  <c r="Y303" i="4"/>
  <c r="Y304" i="4"/>
  <c r="Y305" i="4"/>
  <c r="Y306" i="4"/>
  <c r="Y307" i="4"/>
  <c r="Y308" i="4"/>
  <c r="Y309" i="4"/>
  <c r="Y310" i="4"/>
  <c r="Y311" i="4"/>
  <c r="Y312" i="4"/>
  <c r="Y313" i="4"/>
  <c r="Y314" i="4"/>
  <c r="Y316" i="4"/>
  <c r="Y317" i="4"/>
  <c r="Y318" i="4"/>
  <c r="Y319" i="4"/>
  <c r="Y320" i="4"/>
  <c r="Y321" i="4"/>
  <c r="Y322" i="4"/>
  <c r="Y323" i="4"/>
  <c r="Y324" i="4"/>
  <c r="Y325" i="4"/>
  <c r="Y326" i="4"/>
  <c r="Y327" i="4"/>
  <c r="Y328" i="4"/>
  <c r="Y329" i="4"/>
  <c r="Y330" i="4"/>
  <c r="Y331" i="4"/>
  <c r="Y332" i="4"/>
  <c r="Y333" i="4"/>
  <c r="Y334" i="4"/>
  <c r="Y335" i="4"/>
  <c r="Y336" i="4"/>
  <c r="Y338" i="4"/>
  <c r="Y339" i="4"/>
  <c r="Y340" i="4"/>
  <c r="Y341" i="4"/>
  <c r="Y342" i="4"/>
  <c r="Y343" i="4"/>
  <c r="Y344" i="4"/>
  <c r="Y345" i="4"/>
  <c r="Y346" i="4"/>
  <c r="Y347" i="4"/>
  <c r="Y348" i="4"/>
  <c r="Y349" i="4"/>
  <c r="Y350" i="4"/>
  <c r="Y351" i="4"/>
  <c r="Y352" i="4"/>
  <c r="Y354" i="4"/>
  <c r="Y355" i="4"/>
  <c r="Y356" i="4"/>
  <c r="Y357" i="4"/>
  <c r="Y358" i="4"/>
  <c r="Y359" i="4"/>
  <c r="Y361" i="4"/>
  <c r="Y363" i="4"/>
  <c r="Y364" i="4"/>
  <c r="Y365" i="4"/>
  <c r="Y366" i="4"/>
  <c r="Y367" i="4"/>
  <c r="Y368" i="4"/>
  <c r="Y369" i="4"/>
  <c r="Y370" i="4"/>
  <c r="Y371" i="4"/>
  <c r="Y372" i="4"/>
  <c r="Y373" i="4"/>
  <c r="Y374" i="4"/>
  <c r="Y376" i="4"/>
  <c r="Y377" i="4"/>
  <c r="Y378" i="4"/>
  <c r="Y380" i="4"/>
  <c r="Y381" i="4"/>
  <c r="Y382" i="4"/>
  <c r="Y384" i="4"/>
  <c r="Y385" i="4"/>
  <c r="Y388" i="4"/>
  <c r="Y389" i="4"/>
  <c r="Y390" i="4"/>
  <c r="Y391" i="4"/>
  <c r="Y392"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1" i="4"/>
  <c r="Y422" i="4"/>
  <c r="Y423" i="4"/>
  <c r="Y424" i="4"/>
  <c r="Y425" i="4"/>
  <c r="Y426" i="4"/>
  <c r="Y427" i="4"/>
  <c r="Y428" i="4"/>
  <c r="Y429" i="4"/>
  <c r="Y430" i="4"/>
  <c r="Y431" i="4"/>
  <c r="Y432" i="4"/>
  <c r="Y433" i="4"/>
  <c r="Y434" i="4"/>
  <c r="Y435" i="4"/>
  <c r="Y436" i="4"/>
  <c r="Y437" i="4"/>
  <c r="Y439" i="4"/>
  <c r="Y440" i="4"/>
  <c r="Y441" i="4"/>
  <c r="Y443" i="4"/>
  <c r="Y444" i="4"/>
  <c r="Y445" i="4"/>
  <c r="Y446" i="4"/>
  <c r="Y447" i="4"/>
  <c r="Y448" i="4"/>
  <c r="Y449" i="4"/>
  <c r="Y450" i="4"/>
  <c r="Y451" i="4"/>
  <c r="Y452" i="4"/>
  <c r="Y453" i="4"/>
  <c r="Y454" i="4"/>
  <c r="Y455" i="4"/>
  <c r="Y456" i="4"/>
  <c r="Y457" i="4"/>
  <c r="Y458" i="4"/>
  <c r="Y459" i="4"/>
  <c r="Y460" i="4"/>
  <c r="Y461"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2" i="4"/>
  <c r="Y493" i="4"/>
  <c r="Y494" i="4"/>
  <c r="Y495" i="4"/>
  <c r="Y496"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5" i="4"/>
  <c r="Y566" i="4"/>
  <c r="Y567" i="4"/>
  <c r="Y568" i="4"/>
  <c r="Y569" i="4"/>
  <c r="Y571" i="4"/>
  <c r="Y572" i="4"/>
  <c r="Y573" i="4"/>
  <c r="Y574" i="4"/>
  <c r="Y575" i="4"/>
  <c r="Y577" i="4"/>
  <c r="Y578" i="4"/>
  <c r="Y579" i="4"/>
  <c r="Y580" i="4"/>
  <c r="Y581" i="4"/>
  <c r="Y582" i="4"/>
  <c r="Y583" i="4"/>
  <c r="Y584" i="4"/>
  <c r="Y585" i="4"/>
  <c r="Y587" i="4"/>
  <c r="Y588" i="4"/>
  <c r="Y589" i="4"/>
  <c r="Y590" i="4"/>
  <c r="Y591" i="4"/>
  <c r="Y592" i="4"/>
  <c r="Y593" i="4"/>
  <c r="Y594" i="4"/>
  <c r="Y595" i="4"/>
  <c r="Y596" i="4"/>
  <c r="Y597" i="4"/>
  <c r="Y598" i="4"/>
  <c r="Y600" i="4"/>
  <c r="Y601" i="4"/>
  <c r="Y602" i="4"/>
  <c r="Y603" i="4"/>
  <c r="Y604" i="4"/>
  <c r="Y605" i="4"/>
  <c r="Y606" i="4"/>
  <c r="Y607" i="4"/>
  <c r="Y608" i="4"/>
  <c r="Y609" i="4"/>
  <c r="Y610" i="4"/>
  <c r="Y612" i="4"/>
  <c r="Y613" i="4"/>
  <c r="Y614" i="4"/>
  <c r="Y615" i="4"/>
  <c r="Y616" i="4"/>
  <c r="Y617" i="4"/>
  <c r="Y618" i="4"/>
  <c r="Y619" i="4"/>
  <c r="Y620" i="4"/>
  <c r="Y621" i="4"/>
  <c r="Y622" i="4"/>
  <c r="Y623" i="4"/>
  <c r="Y624" i="4"/>
  <c r="Y625" i="4"/>
  <c r="Y627" i="4"/>
  <c r="Y628" i="4"/>
  <c r="Y629" i="4"/>
  <c r="Y630" i="4"/>
  <c r="Y631" i="4"/>
  <c r="Y632" i="4"/>
  <c r="Y633" i="4"/>
  <c r="Y634" i="4"/>
  <c r="Y635" i="4"/>
  <c r="Y636" i="4"/>
  <c r="Y637" i="4"/>
  <c r="Y639" i="4"/>
  <c r="Y640" i="4"/>
  <c r="Y641" i="4"/>
  <c r="Y642"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AD662" i="4" l="1"/>
  <c r="AD571" i="4"/>
  <c r="AD520" i="4"/>
  <c r="AD482" i="4"/>
  <c r="AD445" i="4"/>
  <c r="AD406" i="4"/>
  <c r="AD364" i="4"/>
  <c r="AD336" i="4"/>
  <c r="AD299" i="4"/>
  <c r="AD261" i="4"/>
  <c r="AD220" i="4"/>
  <c r="AD182" i="4"/>
  <c r="AD158" i="4"/>
  <c r="AD118" i="4"/>
  <c r="AD91" i="4"/>
  <c r="AD54" i="4"/>
  <c r="AD28" i="4"/>
  <c r="AD623" i="4"/>
  <c r="AD584" i="4"/>
  <c r="AD545" i="4"/>
  <c r="AD508" i="4"/>
  <c r="AD470" i="4"/>
  <c r="AD418" i="4"/>
  <c r="AD377" i="4"/>
  <c r="AD324" i="4"/>
  <c r="AD286" i="4"/>
  <c r="AD247" i="4"/>
  <c r="AD206" i="4"/>
  <c r="AD170" i="4"/>
  <c r="AD131" i="4"/>
  <c r="AD79" i="4"/>
  <c r="AD4" i="4"/>
  <c r="AD225" i="4"/>
  <c r="AD375" i="4"/>
  <c r="AD650" i="4"/>
  <c r="AD597" i="4"/>
  <c r="AD557" i="4"/>
  <c r="AD532" i="4"/>
  <c r="AD495" i="4"/>
  <c r="AD457" i="4"/>
  <c r="AD431" i="4"/>
  <c r="AD394" i="4"/>
  <c r="AD349" i="4"/>
  <c r="AD311" i="4"/>
  <c r="AD273" i="4"/>
  <c r="AD233" i="4"/>
  <c r="AD194" i="4"/>
  <c r="AD145" i="4"/>
  <c r="AD105" i="4"/>
  <c r="AD67" i="4"/>
  <c r="AD41" i="4"/>
  <c r="AD16" i="4"/>
  <c r="AD383" i="4"/>
  <c r="AD386" i="4"/>
  <c r="AD663" i="4"/>
  <c r="AD651" i="4"/>
  <c r="AD637" i="4"/>
  <c r="AD624" i="4"/>
  <c r="AD598" i="4"/>
  <c r="AD585" i="4"/>
  <c r="AD572" i="4"/>
  <c r="AD558" i="4"/>
  <c r="AD546" i="4"/>
  <c r="AD533" i="4"/>
  <c r="AD521" i="4"/>
  <c r="AD509" i="4"/>
  <c r="AD496" i="4"/>
  <c r="AD483" i="4"/>
  <c r="AD471" i="4"/>
  <c r="AD458" i="4"/>
  <c r="AD446" i="4"/>
  <c r="AD432" i="4"/>
  <c r="AD419" i="4"/>
  <c r="AD407" i="4"/>
  <c r="AD395" i="4"/>
  <c r="AD378" i="4"/>
  <c r="AD365" i="4"/>
  <c r="AD350" i="4"/>
  <c r="AD338" i="4"/>
  <c r="AD325" i="4"/>
  <c r="AD312" i="4"/>
  <c r="AD300" i="4"/>
  <c r="AD287" i="4"/>
  <c r="AD274" i="4"/>
  <c r="AD262" i="4"/>
  <c r="AD248" i="4"/>
  <c r="AD234" i="4"/>
  <c r="AD221" i="4"/>
  <c r="AD208" i="4"/>
  <c r="AD195" i="4"/>
  <c r="AD183" i="4"/>
  <c r="AD171" i="4"/>
  <c r="AD159" i="4"/>
  <c r="AD146" i="4"/>
  <c r="AD132" i="4"/>
  <c r="AD119" i="4"/>
  <c r="AD106" i="4"/>
  <c r="AD92" i="4"/>
  <c r="AD80" i="4"/>
  <c r="AD68" i="4"/>
  <c r="AD55" i="4"/>
  <c r="AD42" i="4"/>
  <c r="AD29" i="4"/>
  <c r="AD17" i="4"/>
  <c r="AD5" i="4"/>
  <c r="AD626" i="4"/>
  <c r="AD664" i="4"/>
  <c r="AD652" i="4"/>
  <c r="AD639" i="4"/>
  <c r="AD625" i="4"/>
  <c r="AD613" i="4"/>
  <c r="AD600" i="4"/>
  <c r="AD587" i="4"/>
  <c r="AD573" i="4"/>
  <c r="AD559" i="4"/>
  <c r="AD547" i="4"/>
  <c r="AD534" i="4"/>
  <c r="AD522" i="4"/>
  <c r="AD510" i="4"/>
  <c r="AD498" i="4"/>
  <c r="AD484" i="4"/>
  <c r="AD472" i="4"/>
  <c r="AD459" i="4"/>
  <c r="AD447" i="4"/>
  <c r="AD433" i="4"/>
  <c r="AD408" i="4"/>
  <c r="AD396" i="4"/>
  <c r="AD380" i="4"/>
  <c r="AD366" i="4"/>
  <c r="AD351" i="4"/>
  <c r="AD339" i="4"/>
  <c r="AD326" i="4"/>
  <c r="AD313" i="4"/>
  <c r="AD301" i="4"/>
  <c r="AD288" i="4"/>
  <c r="AD275" i="4"/>
  <c r="AD263" i="4"/>
  <c r="AD249" i="4"/>
  <c r="AD235" i="4"/>
  <c r="AD222" i="4"/>
  <c r="AD209" i="4"/>
  <c r="AD196" i="4"/>
  <c r="AD184" i="4"/>
  <c r="AD172" i="4"/>
  <c r="AD160" i="4"/>
  <c r="AD147" i="4"/>
  <c r="AD133" i="4"/>
  <c r="AD120" i="4"/>
  <c r="AD107" i="4"/>
  <c r="AD93" i="4"/>
  <c r="AD81" i="4"/>
  <c r="AD69" i="4"/>
  <c r="AD56" i="4"/>
  <c r="AD43" i="4"/>
  <c r="AD30" i="4"/>
  <c r="AD18" i="4"/>
  <c r="AD6" i="4"/>
  <c r="AD635" i="4"/>
  <c r="AD583" i="4"/>
  <c r="AD556" i="4"/>
  <c r="AD531" i="4"/>
  <c r="AD481" i="4"/>
  <c r="AD444" i="4"/>
  <c r="AD634" i="4"/>
  <c r="AD633" i="4"/>
  <c r="AD670" i="4"/>
  <c r="AD632" i="4"/>
  <c r="AD669" i="4"/>
  <c r="AD387" i="4"/>
  <c r="AD630" i="4"/>
  <c r="AD614" i="4"/>
  <c r="AD588" i="4"/>
  <c r="AD560" i="4"/>
  <c r="AD535" i="4"/>
  <c r="AD523" i="4"/>
  <c r="AD511" i="4"/>
  <c r="AD499" i="4"/>
  <c r="AD485" i="4"/>
  <c r="AD473" i="4"/>
  <c r="AD460" i="4"/>
  <c r="AD448" i="4"/>
  <c r="AD434" i="4"/>
  <c r="AD422" i="4"/>
  <c r="AD409" i="4"/>
  <c r="AD397" i="4"/>
  <c r="AD381" i="4"/>
  <c r="AD367" i="4"/>
  <c r="AD352" i="4"/>
  <c r="AD340" i="4"/>
  <c r="AD327" i="4"/>
  <c r="AD314" i="4"/>
  <c r="AD302" i="4"/>
  <c r="AD289" i="4"/>
  <c r="AD276" i="4"/>
  <c r="AD264" i="4"/>
  <c r="AD250" i="4"/>
  <c r="AD236" i="4"/>
  <c r="AD223" i="4"/>
  <c r="AD210" i="4"/>
  <c r="AD197" i="4"/>
  <c r="AD185" i="4"/>
  <c r="AD173" i="4"/>
  <c r="AD161" i="4"/>
  <c r="AD149" i="4"/>
  <c r="AD134" i="4"/>
  <c r="AD121" i="4"/>
  <c r="AD108" i="4"/>
  <c r="AD94" i="4"/>
  <c r="AD82" i="4"/>
  <c r="AD70" i="4"/>
  <c r="AD57" i="4"/>
  <c r="AD44" i="4"/>
  <c r="AD31" i="4"/>
  <c r="AD19" i="4"/>
  <c r="AD7" i="4"/>
  <c r="AD393" i="4"/>
  <c r="AD649" i="4"/>
  <c r="AD609" i="4"/>
  <c r="AD544" i="4"/>
  <c r="AD494" i="4"/>
  <c r="AD648" i="4"/>
  <c r="AD659" i="4"/>
  <c r="AD658" i="4"/>
  <c r="AD657" i="4"/>
  <c r="AD661" i="4"/>
  <c r="AD622" i="4"/>
  <c r="AD596" i="4"/>
  <c r="AD569" i="4"/>
  <c r="AD519" i="4"/>
  <c r="AD507" i="4"/>
  <c r="AD456" i="4"/>
  <c r="AD660" i="4"/>
  <c r="AD647" i="4"/>
  <c r="AD631" i="4"/>
  <c r="AD240" i="4"/>
  <c r="AC611" i="4"/>
  <c r="AD595" i="4"/>
  <c r="AD297" i="4"/>
  <c r="AD231" i="4"/>
  <c r="AD180" i="4"/>
  <c r="AD143" i="4"/>
  <c r="AD103" i="4"/>
  <c r="AD77" i="4"/>
  <c r="AD26" i="4"/>
  <c r="AD581" i="4"/>
  <c r="AD390" i="4"/>
  <c r="AD333" i="4"/>
  <c r="AD270" i="4"/>
  <c r="AD217" i="4"/>
  <c r="AD179" i="4"/>
  <c r="AD127" i="4"/>
  <c r="AD51" i="4"/>
  <c r="AD541" i="4"/>
  <c r="AD490" i="4"/>
  <c r="AD440" i="4"/>
  <c r="AD372" i="4"/>
  <c r="AD307" i="4"/>
  <c r="AD216" i="4"/>
  <c r="AD126" i="4"/>
  <c r="AD87" i="4"/>
  <c r="AD592" i="4"/>
  <c r="AD239" i="4"/>
  <c r="AD34" i="4"/>
  <c r="AD420" i="4"/>
  <c r="AD399" i="4"/>
  <c r="AD369" i="4"/>
  <c r="AD304" i="4"/>
  <c r="AD238" i="4"/>
  <c r="AD199" i="4"/>
  <c r="AD123" i="4"/>
  <c r="AD84" i="4"/>
  <c r="AD46" i="4"/>
  <c r="AD491" i="4"/>
  <c r="AD582" i="4"/>
  <c r="AD258" i="4"/>
  <c r="AD192" i="4"/>
  <c r="AD129" i="4"/>
  <c r="AD39" i="4"/>
  <c r="AD607" i="4"/>
  <c r="AD373" i="4"/>
  <c r="AD308" i="4"/>
  <c r="AD230" i="4"/>
  <c r="AD155" i="4"/>
  <c r="AD88" i="4"/>
  <c r="AD25" i="4"/>
  <c r="AD553" i="4"/>
  <c r="AD478" i="4"/>
  <c r="AD427" i="4"/>
  <c r="AD358" i="4"/>
  <c r="AD295" i="4"/>
  <c r="AD166" i="4"/>
  <c r="AD101" i="4"/>
  <c r="AD279" i="4"/>
  <c r="AD85" i="4"/>
  <c r="AD10" i="4"/>
  <c r="AD241" i="4"/>
  <c r="AD424" i="4"/>
  <c r="AD342" i="4"/>
  <c r="AD291" i="4"/>
  <c r="AD212" i="4"/>
  <c r="AD151" i="4"/>
  <c r="AD72" i="4"/>
  <c r="AD524" i="4"/>
  <c r="AD500" i="4"/>
  <c r="AD486" i="4"/>
  <c r="AD474" i="4"/>
  <c r="AD461" i="4"/>
  <c r="AD449" i="4"/>
  <c r="AD435" i="4"/>
  <c r="AD423" i="4"/>
  <c r="AD410" i="4"/>
  <c r="AD398" i="4"/>
  <c r="AD382" i="4"/>
  <c r="AD368" i="4"/>
  <c r="AD354" i="4"/>
  <c r="AD341" i="4"/>
  <c r="AD328" i="4"/>
  <c r="AD316" i="4"/>
  <c r="AD303" i="4"/>
  <c r="AD290" i="4"/>
  <c r="AD277" i="4"/>
  <c r="AD265" i="4"/>
  <c r="AD251" i="4"/>
  <c r="AD237" i="4"/>
  <c r="AD224" i="4"/>
  <c r="AD211" i="4"/>
  <c r="AD198" i="4"/>
  <c r="AD186" i="4"/>
  <c r="AD174" i="4"/>
  <c r="AD162" i="4"/>
  <c r="AD150" i="4"/>
  <c r="AD136" i="4"/>
  <c r="AD122" i="4"/>
  <c r="AD109" i="4"/>
  <c r="AD83" i="4"/>
  <c r="AD71" i="4"/>
  <c r="AD58" i="4"/>
  <c r="AD45" i="4"/>
  <c r="AD32" i="4"/>
  <c r="AD20" i="4"/>
  <c r="AD8" i="4"/>
  <c r="AD50" i="4"/>
  <c r="AD260" i="4"/>
  <c r="AD497" i="4"/>
  <c r="AD621" i="4"/>
  <c r="AD443" i="4"/>
  <c r="AD271" i="4"/>
  <c r="AD204" i="4"/>
  <c r="AD116" i="4"/>
  <c r="AD52" i="4"/>
  <c r="AD415" i="4"/>
  <c r="AD321" i="4"/>
  <c r="AD257" i="4"/>
  <c r="AD167" i="4"/>
  <c r="AD102" i="4"/>
  <c r="AD13" i="4"/>
  <c r="AD619" i="4"/>
  <c r="AD504" i="4"/>
  <c r="AD414" i="4"/>
  <c r="AD345" i="4"/>
  <c r="AD229" i="4"/>
  <c r="AD154" i="4"/>
  <c r="AD75" i="4"/>
  <c r="AD618" i="4"/>
  <c r="AD139" i="4"/>
  <c r="AD73" i="4"/>
  <c r="AD411" i="4"/>
  <c r="AD329" i="4"/>
  <c r="AD252" i="4"/>
  <c r="AD187" i="4"/>
  <c r="AD110" i="4"/>
  <c r="AD9" i="4"/>
  <c r="AD256" i="4"/>
  <c r="AD283" i="4"/>
  <c r="AD564" i="4"/>
  <c r="AD568" i="4"/>
  <c r="AD455" i="4"/>
  <c r="AD309" i="4"/>
  <c r="AD245" i="4"/>
  <c r="AD168" i="4"/>
  <c r="AD89" i="4"/>
  <c r="AD2" i="4"/>
  <c r="AD567" i="4"/>
  <c r="AD428" i="4"/>
  <c r="AD359" i="4"/>
  <c r="AD282" i="4"/>
  <c r="AD203" i="4"/>
  <c r="AD114" i="4"/>
  <c r="AD64" i="4"/>
  <c r="AD528" i="4"/>
  <c r="AD453" i="4"/>
  <c r="AD389" i="4"/>
  <c r="AD320" i="4"/>
  <c r="AD190" i="4"/>
  <c r="AD63" i="4"/>
  <c r="AD200" i="4"/>
  <c r="AD124" i="4"/>
  <c r="AD47" i="4"/>
  <c r="AD436" i="4"/>
  <c r="AD355" i="4"/>
  <c r="AD278" i="4"/>
  <c r="AD175" i="4"/>
  <c r="AD59" i="4"/>
  <c r="AD608" i="4"/>
  <c r="AD284" i="4"/>
  <c r="AD218" i="4"/>
  <c r="AD156" i="4"/>
  <c r="AD65" i="4"/>
  <c r="AD14" i="4"/>
  <c r="AD620" i="4"/>
  <c r="AD403" i="4"/>
  <c r="AD346" i="4"/>
  <c r="AD296" i="4"/>
  <c r="AD244" i="4"/>
  <c r="AD191" i="4"/>
  <c r="AD142" i="4"/>
  <c r="AD76" i="4"/>
  <c r="AD38" i="4"/>
  <c r="AD516" i="4"/>
  <c r="AD466" i="4"/>
  <c r="AD402" i="4"/>
  <c r="AD332" i="4"/>
  <c r="AD113" i="4"/>
  <c r="AD49" i="4"/>
  <c r="AD605" i="4"/>
  <c r="AD617" i="4"/>
  <c r="AD267" i="4"/>
  <c r="AD111" i="4"/>
  <c r="AD60" i="4"/>
  <c r="AD384" i="4"/>
  <c r="AD317" i="4"/>
  <c r="AD266" i="4"/>
  <c r="AD226" i="4"/>
  <c r="AD138" i="4"/>
  <c r="AD33" i="4"/>
  <c r="AD438" i="4"/>
  <c r="AD462" i="4"/>
  <c r="AC561" i="4"/>
  <c r="AD561" i="4"/>
  <c r="AC213" i="4"/>
  <c r="AD213" i="4"/>
  <c r="AC164" i="4"/>
  <c r="AD164" i="4"/>
  <c r="AC97" i="4"/>
  <c r="AD97" i="4"/>
  <c r="AC95" i="4"/>
  <c r="AD95" i="4"/>
  <c r="AC469" i="4"/>
  <c r="AD469" i="4"/>
  <c r="AD99" i="4"/>
  <c r="AC543" i="4"/>
  <c r="AD543" i="4"/>
  <c r="AC480" i="4"/>
  <c r="AD480" i="4"/>
  <c r="AC417" i="4"/>
  <c r="AD417" i="4"/>
  <c r="AC348" i="4"/>
  <c r="AD348" i="4"/>
  <c r="AC285" i="4"/>
  <c r="AD285" i="4"/>
  <c r="AD576" i="4"/>
  <c r="AC556" i="4"/>
  <c r="AC645" i="4"/>
  <c r="AD645" i="4"/>
  <c r="AC606" i="4"/>
  <c r="AD606" i="4"/>
  <c r="AC593" i="4"/>
  <c r="AD593" i="4"/>
  <c r="AC580" i="4"/>
  <c r="AD580" i="4"/>
  <c r="AC566" i="4"/>
  <c r="AD566" i="4"/>
  <c r="AC554" i="4"/>
  <c r="AD554" i="4"/>
  <c r="AC542" i="4"/>
  <c r="AD542" i="4"/>
  <c r="AC529" i="4"/>
  <c r="AD529" i="4"/>
  <c r="AC517" i="4"/>
  <c r="AD517" i="4"/>
  <c r="AC505" i="4"/>
  <c r="AD505" i="4"/>
  <c r="AC492" i="4"/>
  <c r="AD492" i="4"/>
  <c r="AC479" i="4"/>
  <c r="AD479" i="4"/>
  <c r="AC467" i="4"/>
  <c r="AD467" i="4"/>
  <c r="AC454" i="4"/>
  <c r="AD454" i="4"/>
  <c r="AC441" i="4"/>
  <c r="AD441" i="4"/>
  <c r="AC429" i="4"/>
  <c r="AD429" i="4"/>
  <c r="AC416" i="4"/>
  <c r="AD416" i="4"/>
  <c r="AC404" i="4"/>
  <c r="AD404" i="4"/>
  <c r="AC391" i="4"/>
  <c r="AD391" i="4"/>
  <c r="AC374" i="4"/>
  <c r="AD374" i="4"/>
  <c r="AC361" i="4"/>
  <c r="AD361" i="4"/>
  <c r="AC347" i="4"/>
  <c r="AD347" i="4"/>
  <c r="AC334" i="4"/>
  <c r="AD334" i="4"/>
  <c r="AC322" i="4"/>
  <c r="AD322" i="4"/>
  <c r="AC272" i="4"/>
  <c r="AD272" i="4"/>
  <c r="AC259" i="4"/>
  <c r="AD259" i="4"/>
  <c r="AC246" i="4"/>
  <c r="AD246" i="4"/>
  <c r="AC232" i="4"/>
  <c r="AD232" i="4"/>
  <c r="AC219" i="4"/>
  <c r="AD219" i="4"/>
  <c r="AC205" i="4"/>
  <c r="AD205" i="4"/>
  <c r="AC193" i="4"/>
  <c r="AD193" i="4"/>
  <c r="AC181" i="4"/>
  <c r="AD181" i="4"/>
  <c r="AC169" i="4"/>
  <c r="AD169" i="4"/>
  <c r="AC157" i="4"/>
  <c r="AD157" i="4"/>
  <c r="AC144" i="4"/>
  <c r="AD144" i="4"/>
  <c r="AC130" i="4"/>
  <c r="AD130" i="4"/>
  <c r="AC117" i="4"/>
  <c r="AD117" i="4"/>
  <c r="AC104" i="4"/>
  <c r="AD104" i="4"/>
  <c r="AC90" i="4"/>
  <c r="AD90" i="4"/>
  <c r="AC78" i="4"/>
  <c r="AD78" i="4"/>
  <c r="AC66" i="4"/>
  <c r="AD66" i="4"/>
  <c r="AC53" i="4"/>
  <c r="AD53" i="4"/>
  <c r="AC40" i="4"/>
  <c r="AD40" i="4"/>
  <c r="AC27" i="4"/>
  <c r="AD27" i="4"/>
  <c r="AC15" i="4"/>
  <c r="AD15" i="4"/>
  <c r="AC3" i="4"/>
  <c r="AD3" i="4"/>
  <c r="AC660" i="4"/>
  <c r="AC648" i="4"/>
  <c r="AC457" i="4"/>
  <c r="AD128" i="4"/>
  <c r="AD337" i="4"/>
  <c r="AD586" i="4"/>
  <c r="AC311" i="4"/>
  <c r="AC227" i="4"/>
  <c r="AD227" i="4"/>
  <c r="AC152" i="4"/>
  <c r="AD152" i="4"/>
  <c r="AC22" i="4"/>
  <c r="AD22" i="4"/>
  <c r="AC293" i="4"/>
  <c r="AD293" i="4"/>
  <c r="AC530" i="4"/>
  <c r="AD530" i="4"/>
  <c r="AC392" i="4"/>
  <c r="AD392" i="4"/>
  <c r="AC310" i="4"/>
  <c r="AD310" i="4"/>
  <c r="AD579" i="4"/>
  <c r="AD137" i="4"/>
  <c r="AD353" i="4"/>
  <c r="AD611" i="4"/>
  <c r="AC301" i="4"/>
  <c r="AC96" i="4"/>
  <c r="AD96" i="4"/>
  <c r="AC21" i="4"/>
  <c r="AD21" i="4"/>
  <c r="AC135" i="4"/>
  <c r="AD135" i="4"/>
  <c r="AC636" i="4"/>
  <c r="AD636" i="4"/>
  <c r="AC612" i="4"/>
  <c r="AD612" i="4"/>
  <c r="AC610" i="4"/>
  <c r="AD610" i="4"/>
  <c r="AC594" i="4"/>
  <c r="AD594" i="4"/>
  <c r="AC555" i="4"/>
  <c r="AD555" i="4"/>
  <c r="AC506" i="4"/>
  <c r="AD506" i="4"/>
  <c r="AC493" i="4"/>
  <c r="AD493" i="4"/>
  <c r="AC430" i="4"/>
  <c r="AD430" i="4"/>
  <c r="AC376" i="4"/>
  <c r="AD376" i="4"/>
  <c r="AC335" i="4"/>
  <c r="AD335" i="4"/>
  <c r="AC298" i="4"/>
  <c r="AD298" i="4"/>
  <c r="AD315" i="4"/>
  <c r="AC656" i="4"/>
  <c r="AD656" i="4"/>
  <c r="AC644" i="4"/>
  <c r="AD644" i="4"/>
  <c r="AD565" i="4"/>
  <c r="AD667" i="4"/>
  <c r="AD655" i="4"/>
  <c r="AD642" i="4"/>
  <c r="AD629" i="4"/>
  <c r="AD604" i="4"/>
  <c r="AD591" i="4"/>
  <c r="AD578" i="4"/>
  <c r="AD552" i="4"/>
  <c r="AD540" i="4"/>
  <c r="AD527" i="4"/>
  <c r="AD515" i="4"/>
  <c r="AD503" i="4"/>
  <c r="AD489" i="4"/>
  <c r="AD477" i="4"/>
  <c r="AD465" i="4"/>
  <c r="AD452" i="4"/>
  <c r="AD439" i="4"/>
  <c r="AC537" i="4"/>
  <c r="AD537" i="4"/>
  <c r="AD148" i="4"/>
  <c r="AD360" i="4"/>
  <c r="AC275" i="4"/>
  <c r="AC601" i="4"/>
  <c r="AD601" i="4"/>
  <c r="AC549" i="4"/>
  <c r="AD549" i="4"/>
  <c r="AC253" i="4"/>
  <c r="AD253" i="4"/>
  <c r="AC163" i="4"/>
  <c r="AD163" i="4"/>
  <c r="AC421" i="4"/>
  <c r="AD421" i="4"/>
  <c r="AC646" i="4"/>
  <c r="AD646" i="4"/>
  <c r="AC405" i="4"/>
  <c r="AD405" i="4"/>
  <c r="AC323" i="4"/>
  <c r="AD323" i="4"/>
  <c r="AC274" i="4"/>
  <c r="AC668" i="4"/>
  <c r="AD668" i="4"/>
  <c r="AC666" i="4"/>
  <c r="AD666" i="4"/>
  <c r="AC654" i="4"/>
  <c r="AD654" i="4"/>
  <c r="AC641" i="4"/>
  <c r="AD641" i="4"/>
  <c r="AC628" i="4"/>
  <c r="AD628" i="4"/>
  <c r="AC616" i="4"/>
  <c r="AD616" i="4"/>
  <c r="AC603" i="4"/>
  <c r="AD603" i="4"/>
  <c r="AC590" i="4"/>
  <c r="AD590" i="4"/>
  <c r="AC577" i="4"/>
  <c r="AD577" i="4"/>
  <c r="AC563" i="4"/>
  <c r="AD563" i="4"/>
  <c r="AC551" i="4"/>
  <c r="AD551" i="4"/>
  <c r="AC539" i="4"/>
  <c r="AD539" i="4"/>
  <c r="AC526" i="4"/>
  <c r="AD526" i="4"/>
  <c r="AC514" i="4"/>
  <c r="AD514" i="4"/>
  <c r="AC502" i="4"/>
  <c r="AD502" i="4"/>
  <c r="AC488" i="4"/>
  <c r="AD488" i="4"/>
  <c r="AC476" i="4"/>
  <c r="AD476" i="4"/>
  <c r="AC464" i="4"/>
  <c r="AD464" i="4"/>
  <c r="AC451" i="4"/>
  <c r="AD451" i="4"/>
  <c r="AC426" i="4"/>
  <c r="AD426" i="4"/>
  <c r="AC413" i="4"/>
  <c r="AD413" i="4"/>
  <c r="AC401" i="4"/>
  <c r="AD401" i="4"/>
  <c r="AC388" i="4"/>
  <c r="AD388" i="4"/>
  <c r="AC371" i="4"/>
  <c r="AD371" i="4"/>
  <c r="AC357" i="4"/>
  <c r="AD357" i="4"/>
  <c r="AC344" i="4"/>
  <c r="AD344" i="4"/>
  <c r="AC331" i="4"/>
  <c r="AD331" i="4"/>
  <c r="AC319" i="4"/>
  <c r="AD319" i="4"/>
  <c r="AD306" i="4"/>
  <c r="AD294" i="4"/>
  <c r="AC281" i="4"/>
  <c r="AD281" i="4"/>
  <c r="AC269" i="4"/>
  <c r="AD269" i="4"/>
  <c r="AC255" i="4"/>
  <c r="AD255" i="4"/>
  <c r="AC243" i="4"/>
  <c r="AD243" i="4"/>
  <c r="AC202" i="4"/>
  <c r="AD202" i="4"/>
  <c r="AC178" i="4"/>
  <c r="AD178" i="4"/>
  <c r="AC141" i="4"/>
  <c r="AD141" i="4"/>
  <c r="AC37" i="4"/>
  <c r="AD37" i="4"/>
  <c r="AC24" i="4"/>
  <c r="AD24" i="4"/>
  <c r="AC12" i="4"/>
  <c r="AD12" i="4"/>
  <c r="AD36" i="4"/>
  <c r="AD570" i="4"/>
  <c r="AD207" i="4"/>
  <c r="AD362" i="4"/>
  <c r="AD643" i="4"/>
  <c r="AC574" i="4"/>
  <c r="AD574" i="4"/>
  <c r="AC536" i="4"/>
  <c r="AD536" i="4"/>
  <c r="AC512" i="4"/>
  <c r="AD512" i="4"/>
  <c r="AC188" i="4"/>
  <c r="AD188" i="4"/>
  <c r="AC176" i="4"/>
  <c r="AD176" i="4"/>
  <c r="AC548" i="4"/>
  <c r="AD548" i="4"/>
  <c r="AC518" i="4"/>
  <c r="AD518" i="4"/>
  <c r="AC468" i="4"/>
  <c r="AD468" i="4"/>
  <c r="AC363" i="4"/>
  <c r="AD363" i="4"/>
  <c r="AC442" i="4"/>
  <c r="AD442" i="4"/>
  <c r="AC665" i="4"/>
  <c r="AD665" i="4"/>
  <c r="AC653" i="4"/>
  <c r="AD653" i="4"/>
  <c r="AC640" i="4"/>
  <c r="AD640" i="4"/>
  <c r="AC627" i="4"/>
  <c r="AD627" i="4"/>
  <c r="AC615" i="4"/>
  <c r="AD615" i="4"/>
  <c r="AD602" i="4"/>
  <c r="AC589" i="4"/>
  <c r="AD589" i="4"/>
  <c r="AC575" i="4"/>
  <c r="AD575" i="4"/>
  <c r="AC562" i="4"/>
  <c r="AD562" i="4"/>
  <c r="AC550" i="4"/>
  <c r="AD550" i="4"/>
  <c r="AC538" i="4"/>
  <c r="AD538" i="4"/>
  <c r="AD525" i="4"/>
  <c r="AC513" i="4"/>
  <c r="AD513" i="4"/>
  <c r="AD501" i="4"/>
  <c r="AD487" i="4"/>
  <c r="AD475" i="4"/>
  <c r="AD463" i="4"/>
  <c r="AD450" i="4"/>
  <c r="AD437" i="4"/>
  <c r="AD425" i="4"/>
  <c r="AD412" i="4"/>
  <c r="AD400" i="4"/>
  <c r="AC385" i="4"/>
  <c r="AD385" i="4"/>
  <c r="AC370" i="4"/>
  <c r="AD370" i="4"/>
  <c r="AC356" i="4"/>
  <c r="AD356" i="4"/>
  <c r="AC343" i="4"/>
  <c r="AD343" i="4"/>
  <c r="AD330" i="4"/>
  <c r="AD318" i="4"/>
  <c r="AD305" i="4"/>
  <c r="AD292" i="4"/>
  <c r="AD280" i="4"/>
  <c r="AD268" i="4"/>
  <c r="AD254" i="4"/>
  <c r="AD242" i="4"/>
  <c r="AD228" i="4"/>
  <c r="AD215" i="4"/>
  <c r="AD201" i="4"/>
  <c r="AD189" i="4"/>
  <c r="AD177" i="4"/>
  <c r="AD165" i="4"/>
  <c r="AD153" i="4"/>
  <c r="AD140" i="4"/>
  <c r="AD125" i="4"/>
  <c r="AC112" i="4"/>
  <c r="AD112" i="4"/>
  <c r="AD98" i="4"/>
  <c r="AD86" i="4"/>
  <c r="AD74" i="4"/>
  <c r="AD62" i="4"/>
  <c r="AD48" i="4"/>
  <c r="AC35" i="4"/>
  <c r="AD35" i="4"/>
  <c r="AC23" i="4"/>
  <c r="AD23" i="4"/>
  <c r="AC11" i="4"/>
  <c r="AD11" i="4"/>
  <c r="AD61" i="4"/>
  <c r="AD599" i="4"/>
  <c r="AD214" i="4"/>
  <c r="AD379" i="4"/>
  <c r="AC214" i="4"/>
  <c r="AC630" i="4"/>
  <c r="AC618" i="4"/>
  <c r="AC605" i="4"/>
  <c r="AC592" i="4"/>
  <c r="AC579" i="4"/>
  <c r="AC565" i="4"/>
  <c r="AC553" i="4"/>
  <c r="AC541" i="4"/>
  <c r="AC528" i="4"/>
  <c r="AC516" i="4"/>
  <c r="AC504" i="4"/>
  <c r="AC490" i="4"/>
  <c r="AC478" i="4"/>
  <c r="AC466" i="4"/>
  <c r="AC453" i="4"/>
  <c r="AC440" i="4"/>
  <c r="AC428" i="4"/>
  <c r="AC415" i="4"/>
  <c r="AC403" i="4"/>
  <c r="AC390" i="4"/>
  <c r="AC373" i="4"/>
  <c r="AC359" i="4"/>
  <c r="AC346" i="4"/>
  <c r="AC333" i="4"/>
  <c r="AC308" i="4"/>
  <c r="AC296" i="4"/>
  <c r="AC283" i="4"/>
  <c r="AC258" i="4"/>
  <c r="AC245" i="4"/>
  <c r="AC204" i="4"/>
  <c r="AC192" i="4"/>
  <c r="AC168" i="4"/>
  <c r="AC156" i="4"/>
  <c r="AC143" i="4"/>
  <c r="AC129" i="4"/>
  <c r="AC116" i="4"/>
  <c r="AC103" i="4"/>
  <c r="AC89" i="4"/>
  <c r="AC77" i="4"/>
  <c r="AC65" i="4"/>
  <c r="AC52" i="4"/>
  <c r="AC39" i="4"/>
  <c r="AC26" i="4"/>
  <c r="AC14" i="4"/>
  <c r="AC2" i="4"/>
  <c r="AC667" i="4"/>
  <c r="AC655" i="4"/>
  <c r="AC642" i="4"/>
  <c r="AC629" i="4"/>
  <c r="AC617" i="4"/>
  <c r="AC604" i="4"/>
  <c r="AC591" i="4"/>
  <c r="AC578" i="4"/>
  <c r="AC564" i="4"/>
  <c r="AC552" i="4"/>
  <c r="AC540" i="4"/>
  <c r="AC527" i="4"/>
  <c r="AC515" i="4"/>
  <c r="AC503" i="4"/>
  <c r="AC489" i="4"/>
  <c r="AC477" i="4"/>
  <c r="AC465" i="4"/>
  <c r="AC452" i="4"/>
  <c r="AC439" i="4"/>
  <c r="AC427" i="4"/>
  <c r="AC414" i="4"/>
  <c r="AC402" i="4"/>
  <c r="AC389" i="4"/>
  <c r="AC372" i="4"/>
  <c r="AC358" i="4"/>
  <c r="AC345" i="4"/>
  <c r="AC332" i="4"/>
  <c r="AC320" i="4"/>
  <c r="AC307" i="4"/>
  <c r="AC295" i="4"/>
  <c r="AC282" i="4"/>
  <c r="AC270" i="4"/>
  <c r="AC257" i="4"/>
  <c r="AC244" i="4"/>
  <c r="AC142" i="4"/>
  <c r="AC25" i="4"/>
  <c r="AC13" i="4"/>
  <c r="AC456" i="4"/>
  <c r="AC153" i="4"/>
  <c r="AC571" i="4"/>
  <c r="AC238" i="4"/>
  <c r="AC199" i="4"/>
  <c r="AC59" i="4"/>
  <c r="AC241" i="4"/>
  <c r="AC420" i="4"/>
  <c r="AC609" i="4"/>
  <c r="AC419" i="4"/>
  <c r="AC312" i="4"/>
  <c r="AC265" i="4"/>
  <c r="AC237" i="4"/>
  <c r="AC211" i="4"/>
  <c r="AC136" i="4"/>
  <c r="AC109" i="4"/>
  <c r="AC58" i="4"/>
  <c r="AC608" i="4"/>
  <c r="AC299" i="4"/>
  <c r="AC286" i="4"/>
  <c r="AC119" i="4"/>
  <c r="AC106" i="4"/>
  <c r="AC92" i="4"/>
  <c r="AC80" i="4"/>
  <c r="AC68" i="4"/>
  <c r="AC55" i="4"/>
  <c r="AC42" i="4"/>
  <c r="AC29" i="4"/>
  <c r="AC17" i="4"/>
  <c r="AC5" i="4"/>
  <c r="AC623" i="4"/>
  <c r="AC598" i="4"/>
  <c r="AC573" i="4"/>
  <c r="AC559" i="4"/>
  <c r="AC547" i="4"/>
  <c r="AC484" i="4"/>
  <c r="AC472" i="4"/>
  <c r="AC460" i="4"/>
  <c r="AC448" i="4"/>
  <c r="AC381" i="4"/>
  <c r="AC367" i="4"/>
  <c r="AC201" i="4"/>
  <c r="AC647" i="4"/>
  <c r="AC418" i="4"/>
  <c r="AC581" i="4"/>
  <c r="AC567" i="4"/>
  <c r="AC455" i="4"/>
  <c r="AC443" i="4"/>
  <c r="AC273" i="4"/>
  <c r="AC261" i="4"/>
  <c r="AC247" i="4"/>
  <c r="AC233" i="4"/>
  <c r="AC220" i="4"/>
  <c r="AC206" i="4"/>
  <c r="AC194" i="4"/>
  <c r="AC182" i="4"/>
  <c r="AC170" i="4"/>
  <c r="AC158" i="4"/>
  <c r="AC145" i="4"/>
  <c r="AC131" i="4"/>
  <c r="AC118" i="4"/>
  <c r="AC105" i="4"/>
  <c r="AC91" i="4"/>
  <c r="AC79" i="4"/>
  <c r="AC67" i="4"/>
  <c r="AC54" i="4"/>
  <c r="AC41" i="4"/>
  <c r="AC28" i="4"/>
  <c r="AC16" i="4"/>
  <c r="AC4" i="4"/>
  <c r="AC661" i="4"/>
  <c r="AC649" i="4"/>
  <c r="AC635" i="4"/>
  <c r="AC380" i="4"/>
  <c r="AC313" i="4"/>
  <c r="AC670" i="4"/>
  <c r="AC658" i="4"/>
  <c r="AC632" i="4"/>
  <c r="AC620" i="4"/>
  <c r="AC248" i="4"/>
  <c r="AC235" i="4"/>
  <c r="AC222" i="4"/>
  <c r="AC209" i="4"/>
  <c r="AC196" i="4"/>
  <c r="AC184" i="4"/>
  <c r="AC172" i="4"/>
  <c r="AC160" i="4"/>
  <c r="AC147" i="4"/>
  <c r="AC133" i="4"/>
  <c r="AC120" i="4"/>
  <c r="AC107" i="4"/>
  <c r="AC93" i="4"/>
  <c r="AC81" i="4"/>
  <c r="AC69" i="4"/>
  <c r="AC56" i="4"/>
  <c r="AC43" i="4"/>
  <c r="AC30" i="4"/>
  <c r="AC18" i="4"/>
  <c r="AC6" i="4"/>
  <c r="AC384" i="4"/>
  <c r="AC369" i="4"/>
  <c r="AC49" i="4"/>
  <c r="AC61" i="4"/>
  <c r="AC599" i="4"/>
  <c r="AC669" i="4"/>
  <c r="AC657" i="4"/>
  <c r="AC631" i="4"/>
  <c r="AC619" i="4"/>
  <c r="AC234" i="4"/>
  <c r="AC221" i="4"/>
  <c r="AC208" i="4"/>
  <c r="AC195" i="4"/>
  <c r="AC183" i="4"/>
  <c r="AC171" i="4"/>
  <c r="AC159" i="4"/>
  <c r="AC146" i="4"/>
  <c r="AC132" i="4"/>
  <c r="AC624" i="4"/>
  <c r="AC600" i="4"/>
  <c r="AC587" i="4"/>
  <c r="AC560" i="4"/>
  <c r="AC382" i="4"/>
  <c r="AC368" i="4"/>
  <c r="AC239" i="4"/>
  <c r="AC200" i="4"/>
  <c r="AC48" i="4"/>
  <c r="AC100" i="4"/>
  <c r="AC638" i="4"/>
  <c r="AC328" i="4"/>
  <c r="AC316" i="4"/>
  <c r="AC228" i="4"/>
  <c r="AC215" i="4"/>
  <c r="AC189" i="4"/>
  <c r="AC177" i="4"/>
  <c r="AC165" i="4"/>
  <c r="AC140" i="4"/>
  <c r="AC585" i="4"/>
  <c r="AC572" i="4"/>
  <c r="AC409" i="4"/>
  <c r="AC397" i="4"/>
  <c r="AC352" i="4"/>
  <c r="AC340" i="4"/>
  <c r="AC314" i="4"/>
  <c r="AC302" i="4"/>
  <c r="AC289" i="4"/>
  <c r="AC277" i="4"/>
  <c r="AC252" i="4"/>
  <c r="AC85" i="4"/>
  <c r="AC73" i="4"/>
  <c r="AC60" i="4"/>
  <c r="AC47" i="4"/>
  <c r="AC34" i="4"/>
  <c r="AC10" i="4"/>
  <c r="AC597" i="4"/>
  <c r="AC584" i="4"/>
  <c r="AC458" i="4"/>
  <c r="AC446" i="4"/>
  <c r="AC433" i="4"/>
  <c r="AC408" i="4"/>
  <c r="AC396" i="4"/>
  <c r="AC326" i="4"/>
  <c r="AC288" i="4"/>
  <c r="AC276" i="4"/>
  <c r="AC264" i="4"/>
  <c r="AC251" i="4"/>
  <c r="AC226" i="4"/>
  <c r="AC212" i="4"/>
  <c r="AC187" i="4"/>
  <c r="AC175" i="4"/>
  <c r="AC151" i="4"/>
  <c r="AC110" i="4"/>
  <c r="AC84" i="4"/>
  <c r="AC72" i="4"/>
  <c r="AC46" i="4"/>
  <c r="AC33" i="4"/>
  <c r="AC9" i="4"/>
  <c r="AC137" i="4"/>
  <c r="AC353" i="4"/>
  <c r="AC634" i="4"/>
  <c r="AC622" i="4"/>
  <c r="AC596" i="4"/>
  <c r="AC583" i="4"/>
  <c r="AC569" i="4"/>
  <c r="AC495" i="4"/>
  <c r="AC482" i="4"/>
  <c r="AC470" i="4"/>
  <c r="AC445" i="4"/>
  <c r="AC432" i="4"/>
  <c r="AC407" i="4"/>
  <c r="AC395" i="4"/>
  <c r="AC378" i="4"/>
  <c r="AC365" i="4"/>
  <c r="AC350" i="4"/>
  <c r="AC338" i="4"/>
  <c r="AC325" i="4"/>
  <c r="AC287" i="4"/>
  <c r="AC263" i="4"/>
  <c r="AC250" i="4"/>
  <c r="AC224" i="4"/>
  <c r="AC122" i="4"/>
  <c r="AC83" i="4"/>
  <c r="AC45" i="4"/>
  <c r="AC148" i="4"/>
  <c r="AC659" i="4"/>
  <c r="AC633" i="4"/>
  <c r="AC621" i="4"/>
  <c r="AC595" i="4"/>
  <c r="AC582" i="4"/>
  <c r="AC544" i="4"/>
  <c r="AC531" i="4"/>
  <c r="AC519" i="4"/>
  <c r="AC507" i="4"/>
  <c r="AC494" i="4"/>
  <c r="AC481" i="4"/>
  <c r="AC444" i="4"/>
  <c r="AC431" i="4"/>
  <c r="AC406" i="4"/>
  <c r="AC394" i="4"/>
  <c r="AC377" i="4"/>
  <c r="AC349" i="4"/>
  <c r="AC336" i="4"/>
  <c r="AC262" i="4"/>
  <c r="AC249" i="4"/>
  <c r="AC236" i="4"/>
  <c r="AC223" i="4"/>
  <c r="AC210" i="4"/>
  <c r="AC197" i="4"/>
  <c r="AC185" i="4"/>
  <c r="AC173" i="4"/>
  <c r="AC161" i="4"/>
  <c r="AC149" i="4"/>
  <c r="AC134" i="4"/>
  <c r="AC121" i="4"/>
  <c r="AC108" i="4"/>
  <c r="AC94" i="4"/>
  <c r="AC82" i="4"/>
  <c r="AC70" i="4"/>
  <c r="AC57" i="4"/>
  <c r="AC44" i="4"/>
  <c r="AC31" i="4"/>
  <c r="AC19" i="4"/>
  <c r="AC7" i="4"/>
  <c r="AC36" i="4"/>
  <c r="AC570" i="4"/>
  <c r="AC207" i="4"/>
  <c r="AC362" i="4"/>
  <c r="AC305" i="4"/>
  <c r="AC268" i="4"/>
  <c r="AC260" i="4"/>
  <c r="AC637" i="4"/>
  <c r="AC625" i="4"/>
  <c r="AC613" i="4"/>
  <c r="AC588" i="4"/>
  <c r="AC524" i="4"/>
  <c r="AC500" i="4"/>
  <c r="AC229" i="4"/>
  <c r="AC216" i="4"/>
  <c r="AC190" i="4"/>
  <c r="AC166" i="4"/>
  <c r="AC154" i="4"/>
  <c r="AC355" i="4"/>
  <c r="AC342" i="4"/>
  <c r="AC329" i="4"/>
  <c r="AC317" i="4"/>
  <c r="AC304" i="4"/>
  <c r="AC291" i="4"/>
  <c r="AC279" i="4"/>
  <c r="AC267" i="4"/>
  <c r="AC254" i="4"/>
  <c r="AC242" i="4"/>
  <c r="AC114" i="4"/>
  <c r="AC102" i="4"/>
  <c r="AC88" i="4"/>
  <c r="AC76" i="4"/>
  <c r="AC64" i="4"/>
  <c r="AC51" i="4"/>
  <c r="AC38" i="4"/>
  <c r="AC330" i="4"/>
  <c r="AC354" i="4"/>
  <c r="AC341" i="4"/>
  <c r="AC303" i="4"/>
  <c r="AC290" i="4"/>
  <c r="AC278" i="4"/>
  <c r="AC266" i="4"/>
  <c r="AC126" i="4"/>
  <c r="AC113" i="4"/>
  <c r="AC101" i="4"/>
  <c r="AC87" i="4"/>
  <c r="AC75" i="4"/>
  <c r="AC63" i="4"/>
  <c r="AC607" i="4"/>
  <c r="AC568" i="4"/>
  <c r="AC364" i="4"/>
  <c r="AC71" i="4"/>
  <c r="AC375" i="4"/>
  <c r="AC256" i="4"/>
  <c r="AC438" i="4"/>
  <c r="AC306" i="4"/>
  <c r="AC459" i="4"/>
  <c r="AC447" i="4"/>
  <c r="AC434" i="4"/>
  <c r="AC422" i="4"/>
  <c r="AC327" i="4"/>
  <c r="AC125" i="4"/>
  <c r="AC98" i="4"/>
  <c r="AC86" i="4"/>
  <c r="AC74" i="4"/>
  <c r="AC62" i="4"/>
  <c r="AC324" i="4"/>
  <c r="AC300" i="4"/>
  <c r="AC50" i="4"/>
  <c r="AC497" i="4"/>
  <c r="AC360" i="4"/>
  <c r="AC450" i="4"/>
  <c r="AC318" i="4"/>
  <c r="AC558" i="4"/>
  <c r="AC546" i="4"/>
  <c r="AC533" i="4"/>
  <c r="AC521" i="4"/>
  <c r="AC509" i="4"/>
  <c r="AC496" i="4"/>
  <c r="AC483" i="4"/>
  <c r="AC471" i="4"/>
  <c r="AC366" i="4"/>
  <c r="AC351" i="4"/>
  <c r="AC339" i="4"/>
  <c r="AC139" i="4"/>
  <c r="AC124" i="4"/>
  <c r="AC111" i="4"/>
  <c r="AC393" i="4"/>
  <c r="AC643" i="4"/>
  <c r="AC557" i="4"/>
  <c r="AC545" i="4"/>
  <c r="AC532" i="4"/>
  <c r="AC520" i="4"/>
  <c r="AC508" i="4"/>
  <c r="AC138" i="4"/>
  <c r="AC123" i="4"/>
  <c r="AC315" i="4"/>
  <c r="AC576" i="4"/>
  <c r="AC379" i="4"/>
  <c r="AC294" i="4"/>
  <c r="AC292" i="4"/>
  <c r="AC198" i="4"/>
  <c r="AC186" i="4"/>
  <c r="AC174" i="4"/>
  <c r="AC162" i="4"/>
  <c r="AC150" i="4"/>
  <c r="AC321" i="4"/>
  <c r="AC180" i="4"/>
  <c r="AC462" i="4"/>
  <c r="AC128" i="4"/>
  <c r="AC337" i="4"/>
  <c r="AC225" i="4"/>
  <c r="AC383" i="4"/>
  <c r="AC280" i="4"/>
  <c r="AC525" i="4"/>
  <c r="AC501" i="4"/>
  <c r="AC217" i="4"/>
  <c r="AC203" i="4"/>
  <c r="AC191" i="4"/>
  <c r="AC179" i="4"/>
  <c r="AC167" i="4"/>
  <c r="AC155" i="4"/>
  <c r="AC491" i="4"/>
  <c r="AC240" i="4"/>
  <c r="AC586" i="4"/>
  <c r="AC309" i="4"/>
  <c r="AC297" i="4"/>
  <c r="AC284" i="4"/>
  <c r="AC475" i="4"/>
  <c r="AC425" i="4"/>
  <c r="AC400" i="4"/>
  <c r="AC231" i="4"/>
  <c r="AC218" i="4"/>
  <c r="AC664" i="4"/>
  <c r="AC639" i="4"/>
  <c r="AC614" i="4"/>
  <c r="AC486" i="4"/>
  <c r="AC461" i="4"/>
  <c r="AC436" i="4"/>
  <c r="AC411" i="4"/>
  <c r="AC387" i="4"/>
  <c r="AC663" i="4"/>
  <c r="AC535" i="4"/>
  <c r="AC511" i="4"/>
  <c r="AC499" i="4"/>
  <c r="AC473" i="4"/>
  <c r="AC410" i="4"/>
  <c r="AC650" i="4"/>
  <c r="AC522" i="4"/>
  <c r="AC498" i="4"/>
  <c r="AC99" i="4"/>
  <c r="AC602" i="4"/>
  <c r="AC487" i="4"/>
  <c r="AC463" i="4"/>
  <c r="AC437" i="4"/>
  <c r="AC412" i="4"/>
  <c r="AC652" i="4"/>
  <c r="AC626" i="4"/>
  <c r="AC474" i="4"/>
  <c r="AC449" i="4"/>
  <c r="AC424" i="4"/>
  <c r="AC399" i="4"/>
  <c r="AC230" i="4"/>
  <c r="AC127" i="4"/>
  <c r="AC651" i="4"/>
  <c r="AC523" i="4"/>
  <c r="AC485" i="4"/>
  <c r="AC435" i="4"/>
  <c r="AC423" i="4"/>
  <c r="AC398" i="4"/>
  <c r="AC662" i="4"/>
  <c r="AC534" i="4"/>
  <c r="AC510" i="4"/>
  <c r="AC386" i="4"/>
  <c r="AC32" i="4"/>
  <c r="AC20" i="4"/>
  <c r="AC8" i="4"/>
  <c r="AC271" i="4"/>
  <c r="I56" i="2"/>
  <c r="I57" i="2"/>
  <c r="D60" i="2"/>
  <c r="D33" i="2"/>
  <c r="I61" i="2"/>
  <c r="I60" i="2"/>
  <c r="I59" i="2"/>
  <c r="D59" i="2"/>
  <c r="I62" i="2"/>
  <c r="I58" i="2"/>
  <c r="E60" i="2" l="1"/>
  <c r="F65" i="2" l="1"/>
  <c r="D62" i="2"/>
  <c r="D57" i="2"/>
  <c r="D61" i="2"/>
  <c r="D64" i="2"/>
  <c r="D63" i="2"/>
  <c r="D56" i="2"/>
  <c r="D58" i="2"/>
  <c r="E56" i="2" l="1"/>
  <c r="E57" i="2"/>
  <c r="G57" i="2" s="1"/>
  <c r="E58" i="2"/>
  <c r="G58" i="2" s="1"/>
  <c r="E59" i="2"/>
  <c r="G59" i="2" s="1"/>
  <c r="E61" i="2"/>
  <c r="G61" i="2" s="1"/>
  <c r="E62" i="2"/>
  <c r="G62" i="2" s="1"/>
  <c r="G63" i="2"/>
  <c r="G64" i="2"/>
  <c r="G56" i="2" l="1"/>
  <c r="G60" i="2" l="1"/>
  <c r="E65" i="2"/>
  <c r="G6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Bailey Corder</author>
  </authors>
  <commentList>
    <comment ref="AM123" authorId="0" shapeId="0" xr:uid="{C0C76517-18BA-4DFF-9675-06F9AB28FB1D}">
      <text>
        <r>
          <rPr>
            <b/>
            <sz val="9"/>
            <color indexed="81"/>
            <rFont val="Tahoma"/>
            <family val="2"/>
          </rPr>
          <t>Bailey Corder:</t>
        </r>
        <r>
          <rPr>
            <sz val="9"/>
            <color indexed="81"/>
            <rFont val="Tahoma"/>
            <family val="2"/>
          </rPr>
          <t xml:space="preserve">
Started in 2025, therefore support starts in year 2</t>
        </r>
      </text>
    </comment>
    <comment ref="AE143" authorId="0" shapeId="0" xr:uid="{72130A99-63B1-4A48-9592-EE98C6B7AD15}">
      <text>
        <r>
          <rPr>
            <b/>
            <sz val="9"/>
            <color indexed="81"/>
            <rFont val="Tahoma"/>
            <family val="2"/>
          </rPr>
          <t>Bailey Corder:</t>
        </r>
        <r>
          <rPr>
            <sz val="9"/>
            <color indexed="81"/>
            <rFont val="Tahoma"/>
            <family val="2"/>
          </rPr>
          <t xml:space="preserve">
UNISA? But low on Applied Sciences so therefore included</t>
        </r>
      </text>
    </comment>
    <comment ref="AE173" authorId="0" shapeId="0" xr:uid="{9AB2924F-1473-4AB7-899F-CBAF32E96D8B}">
      <text>
        <r>
          <rPr>
            <b/>
            <sz val="9"/>
            <color indexed="81"/>
            <rFont val="Tahoma"/>
            <family val="2"/>
          </rPr>
          <t>Bailey Corder:</t>
        </r>
        <r>
          <rPr>
            <sz val="9"/>
            <color indexed="81"/>
            <rFont val="Tahoma"/>
            <family val="2"/>
          </rPr>
          <t xml:space="preserve">
PhD for international student and not wild about the topic and its (lack of) academic contribution</t>
        </r>
      </text>
    </comment>
    <comment ref="AE183" authorId="0" shapeId="0" xr:uid="{215C7BF5-F4A6-439C-9F14-E0C0B1148628}">
      <text>
        <r>
          <rPr>
            <b/>
            <sz val="9"/>
            <color indexed="81"/>
            <rFont val="Tahoma"/>
            <family val="2"/>
          </rPr>
          <t>Bailey Corder:</t>
        </r>
        <r>
          <rPr>
            <sz val="9"/>
            <color indexed="81"/>
            <rFont val="Tahoma"/>
            <family val="2"/>
          </rPr>
          <t xml:space="preserve">
Lower on Applied Sciences, cheap (only need 1 year) and good race &amp; gender stats</t>
        </r>
      </text>
    </comment>
    <comment ref="AE204" authorId="0" shapeId="0" xr:uid="{9CFC89D7-59CA-4C37-A619-F5F085243D8E}">
      <text>
        <r>
          <rPr>
            <b/>
            <sz val="9"/>
            <color indexed="81"/>
            <rFont val="Tahoma"/>
            <family val="2"/>
          </rPr>
          <t>Bailey Corder:</t>
        </r>
        <r>
          <rPr>
            <sz val="9"/>
            <color indexed="81"/>
            <rFont val="Tahoma"/>
            <family val="2"/>
          </rPr>
          <t xml:space="preserve">
One rank is a 3 - already been supported and change of field might not be motivated sufficiently</t>
        </r>
      </text>
    </comment>
    <comment ref="AE225" authorId="0" shapeId="0" xr:uid="{B486DF47-3A3C-4A3D-AE3E-C077334130FD}">
      <text>
        <r>
          <rPr>
            <b/>
            <sz val="9"/>
            <color indexed="81"/>
            <rFont val="Tahoma"/>
            <family val="2"/>
          </rPr>
          <t>Bailey Corder:</t>
        </r>
        <r>
          <rPr>
            <sz val="9"/>
            <color indexed="81"/>
            <rFont val="Tahoma"/>
            <family val="2"/>
          </rPr>
          <t xml:space="preserve">
Self-motivated
Topic not contributing to much beyond personal gain</t>
        </r>
      </text>
    </comment>
    <comment ref="AE227" authorId="0" shapeId="0" xr:uid="{F1A65B5E-3CBD-4F3A-8CD1-7433EFC0F9DA}">
      <text>
        <r>
          <rPr>
            <b/>
            <sz val="9"/>
            <color indexed="81"/>
            <rFont val="Tahoma"/>
            <family val="2"/>
          </rPr>
          <t>Bailey Corder:</t>
        </r>
        <r>
          <rPr>
            <sz val="9"/>
            <color indexed="81"/>
            <rFont val="Tahoma"/>
            <family val="2"/>
          </rPr>
          <t xml:space="preserve">
Cost and topic</t>
        </r>
      </text>
    </comment>
    <comment ref="AE283" authorId="0" shapeId="0" xr:uid="{D92E4BC0-503D-488E-8EF1-0EA2542DF7BC}">
      <text>
        <r>
          <rPr>
            <b/>
            <sz val="9"/>
            <color indexed="81"/>
            <rFont val="Tahoma"/>
            <family val="2"/>
          </rPr>
          <t>Bailey Corder:</t>
        </r>
        <r>
          <rPr>
            <sz val="9"/>
            <color indexed="81"/>
            <rFont val="Tahoma"/>
            <family val="2"/>
          </rPr>
          <t xml:space="preserve">
Not inspired by topic</t>
        </r>
      </text>
    </comment>
    <comment ref="AE292" authorId="0" shapeId="0" xr:uid="{3F147C9A-8DA2-4695-A072-AE283783A031}">
      <text>
        <r>
          <rPr>
            <b/>
            <sz val="9"/>
            <color indexed="81"/>
            <rFont val="Tahoma"/>
            <family val="2"/>
          </rPr>
          <t>Bailey Corder:</t>
        </r>
        <r>
          <rPr>
            <sz val="9"/>
            <color indexed="81"/>
            <rFont val="Tahoma"/>
            <family val="2"/>
          </rPr>
          <t xml:space="preserve">
Relevance of topic - already been funded by OMT</t>
        </r>
      </text>
    </comment>
    <comment ref="AE307" authorId="0" shapeId="0" xr:uid="{06443690-3A65-4246-B93E-B15C17C79CE9}">
      <text>
        <r>
          <rPr>
            <b/>
            <sz val="9"/>
            <color indexed="81"/>
            <rFont val="Tahoma"/>
            <family val="2"/>
          </rPr>
          <t>Bailey Corder:</t>
        </r>
        <r>
          <rPr>
            <sz val="9"/>
            <color indexed="81"/>
            <rFont val="Tahoma"/>
            <family val="2"/>
          </rPr>
          <t xml:space="preserve">
Intends on forming an NGO after post doc - this is potentially not best use of OMT money</t>
        </r>
      </text>
    </comment>
    <comment ref="AK334" authorId="0" shapeId="0" xr:uid="{624276AB-59FE-44B7-B2FE-19CB825A7884}">
      <text>
        <r>
          <rPr>
            <b/>
            <sz val="9"/>
            <color indexed="81"/>
            <rFont val="Tahoma"/>
            <family val="2"/>
          </rPr>
          <t>Bailey Corder:</t>
        </r>
        <r>
          <rPr>
            <sz val="9"/>
            <color indexed="81"/>
            <rFont val="Tahoma"/>
            <family val="2"/>
          </rPr>
          <t xml:space="preserve">
Note send regarding choice and start date - may move to 2026 call</t>
        </r>
      </text>
    </comment>
    <comment ref="AE375" authorId="0" shapeId="0" xr:uid="{143B3042-E5C7-48B9-8FAB-BFFC46615367}">
      <text>
        <r>
          <rPr>
            <b/>
            <sz val="9"/>
            <color indexed="81"/>
            <rFont val="Tahoma"/>
            <family val="2"/>
          </rPr>
          <t>Bailey Corder:</t>
        </r>
        <r>
          <rPr>
            <sz val="9"/>
            <color indexed="81"/>
            <rFont val="Tahoma"/>
            <family val="2"/>
          </rPr>
          <t xml:space="preserve">
Lower scoring compared to other natural sciences post docs</t>
        </r>
      </text>
    </comment>
    <comment ref="AE439" authorId="0" shapeId="0" xr:uid="{DA10AFE5-6D38-4DDD-9FB3-DB0B76B779DF}">
      <text>
        <r>
          <rPr>
            <b/>
            <sz val="9"/>
            <color indexed="81"/>
            <rFont val="Tahoma"/>
            <family val="2"/>
          </rPr>
          <t>Bailey Corder:</t>
        </r>
        <r>
          <rPr>
            <sz val="9"/>
            <color indexed="81"/>
            <rFont val="Tahoma"/>
            <family val="2"/>
          </rPr>
          <t xml:space="preserve">
Application is for 2 months in France every year - SA element not clear, significant funding already secured</t>
        </r>
      </text>
    </comment>
    <comment ref="AE496" authorId="0" shapeId="0" xr:uid="{CCDB34EE-9AF4-4A25-A88F-43739C81288F}">
      <text>
        <r>
          <rPr>
            <b/>
            <sz val="9"/>
            <color indexed="81"/>
            <rFont val="Tahoma"/>
            <family val="2"/>
          </rPr>
          <t>Bailey Corder:</t>
        </r>
        <r>
          <rPr>
            <sz val="9"/>
            <color indexed="81"/>
            <rFont val="Tahoma"/>
            <family val="2"/>
          </rPr>
          <t xml:space="preserve">
Low on Engineering </t>
        </r>
      </text>
    </comment>
    <comment ref="AK496" authorId="0" shapeId="0" xr:uid="{A1774823-5A07-4269-8055-01F6175AEBF7}">
      <text>
        <r>
          <rPr>
            <b/>
            <sz val="9"/>
            <color indexed="81"/>
            <rFont val="Tahoma"/>
            <family val="2"/>
          </rPr>
          <t>Bailey Corder:</t>
        </r>
        <r>
          <rPr>
            <sz val="9"/>
            <color indexed="81"/>
            <rFont val="Tahoma"/>
            <family val="2"/>
          </rPr>
          <t xml:space="preserve">
Started in Feb 2025, therefore only years 2 and 3 included</t>
        </r>
      </text>
    </comment>
    <comment ref="AE528" authorId="0" shapeId="0" xr:uid="{919D678F-60DB-4783-85E9-DF5849574104}">
      <text>
        <r>
          <rPr>
            <b/>
            <sz val="9"/>
            <color indexed="81"/>
            <rFont val="Tahoma"/>
            <family val="2"/>
          </rPr>
          <t>Bailey Corder:</t>
        </r>
        <r>
          <rPr>
            <sz val="9"/>
            <color indexed="81"/>
            <rFont val="Tahoma"/>
            <family val="2"/>
          </rPr>
          <t xml:space="preserve">
Lower on Applied Sciences, cheap (only need 1 year) and good race &amp; gender stats</t>
        </r>
      </text>
    </comment>
    <comment ref="AE590" authorId="0" shapeId="0" xr:uid="{A39524EB-B602-47B1-BE9F-9EE7DACBDDED}">
      <text>
        <r>
          <rPr>
            <b/>
            <sz val="9"/>
            <color indexed="81"/>
            <rFont val="Tahoma"/>
            <family val="2"/>
          </rPr>
          <t>Bailey Corder:</t>
        </r>
        <r>
          <rPr>
            <sz val="9"/>
            <color indexed="81"/>
            <rFont val="Tahoma"/>
            <family val="2"/>
          </rPr>
          <t xml:space="preserve">
Topic is self-motivatedm unclear contirbution to SA / SA academy</t>
        </r>
      </text>
    </comment>
    <comment ref="AE599" authorId="0" shapeId="0" xr:uid="{B7D800D9-DAEA-4F4E-84F5-032D757209E4}">
      <text>
        <r>
          <rPr>
            <b/>
            <sz val="9"/>
            <color indexed="81"/>
            <rFont val="Tahoma"/>
            <family val="2"/>
          </rPr>
          <t>Bailey Corder:</t>
        </r>
        <r>
          <rPr>
            <sz val="9"/>
            <color indexed="81"/>
            <rFont val="Tahoma"/>
            <family val="2"/>
          </rPr>
          <t xml:space="preserve">
Topic - relevance to SA</t>
        </r>
      </text>
    </comment>
    <comment ref="AE601" authorId="0" shapeId="0" xr:uid="{AB324224-432A-4291-ABDC-667CD523D8B6}">
      <text>
        <r>
          <rPr>
            <b/>
            <sz val="9"/>
            <color indexed="81"/>
            <rFont val="Tahoma"/>
            <family val="2"/>
          </rPr>
          <t>Bailey Corder:</t>
        </r>
        <r>
          <rPr>
            <sz val="9"/>
            <color indexed="81"/>
            <rFont val="Tahoma"/>
            <family val="2"/>
          </rPr>
          <t xml:space="preserve">
Interesting topic - thrombosis (interdisciplinary)</t>
        </r>
      </text>
    </comment>
  </commentList>
</comments>
</file>

<file path=xl/sharedStrings.xml><?xml version="1.0" encoding="utf-8"?>
<sst xmlns="http://schemas.openxmlformats.org/spreadsheetml/2006/main" count="35008" uniqueCount="6240">
  <si>
    <t>Row Labels</t>
  </si>
  <si>
    <t>Count of Application ID</t>
  </si>
  <si>
    <t>Revisions Requested</t>
  </si>
  <si>
    <t>Submitted</t>
  </si>
  <si>
    <t>Grand Total</t>
  </si>
  <si>
    <t>Doctoral</t>
  </si>
  <si>
    <t>Masters</t>
  </si>
  <si>
    <t>Postdoctoral</t>
  </si>
  <si>
    <t>International</t>
  </si>
  <si>
    <t>Local</t>
  </si>
  <si>
    <t>Applied Sciences</t>
  </si>
  <si>
    <t>Commerce &amp; Management</t>
  </si>
  <si>
    <t>Engineering &amp; the Built Environment</t>
  </si>
  <si>
    <t>Health Sciences</t>
  </si>
  <si>
    <t>Humanities</t>
  </si>
  <si>
    <t>Law</t>
  </si>
  <si>
    <t>Natural Sciences</t>
  </si>
  <si>
    <t>Other</t>
  </si>
  <si>
    <t>Performing &amp; Creative Arts</t>
  </si>
  <si>
    <t>Social Sciences</t>
  </si>
  <si>
    <t>Black</t>
  </si>
  <si>
    <t>Coloured</t>
  </si>
  <si>
    <t>Indian</t>
  </si>
  <si>
    <t>Prefer not to say</t>
  </si>
  <si>
    <t>White</t>
  </si>
  <si>
    <t>Female</t>
  </si>
  <si>
    <t>Male</t>
  </si>
  <si>
    <t>Non-binary</t>
  </si>
  <si>
    <t>Feedback date</t>
  </si>
  <si>
    <t>Application ID</t>
  </si>
  <si>
    <t>Application Type</t>
  </si>
  <si>
    <t>Primary Contact</t>
  </si>
  <si>
    <t>Email</t>
  </si>
  <si>
    <t>Status</t>
  </si>
  <si>
    <t>What do you need funding for?</t>
  </si>
  <si>
    <t>Ethnicity</t>
  </si>
  <si>
    <t>Gender</t>
  </si>
  <si>
    <t>Institution</t>
  </si>
  <si>
    <t>Reviewer</t>
  </si>
  <si>
    <t>Comment</t>
  </si>
  <si>
    <t>Please indicate the faculty related to your application</t>
  </si>
  <si>
    <t>Please indicate the institution you have applied to</t>
  </si>
  <si>
    <t>Please indicate the topic related to your study</t>
  </si>
  <si>
    <t>Start date</t>
  </si>
  <si>
    <t>Duration</t>
  </si>
  <si>
    <t>Year 1</t>
  </si>
  <si>
    <t>Year 2</t>
  </si>
  <si>
    <t>Year 3</t>
  </si>
  <si>
    <t>10/12/2025</t>
  </si>
  <si>
    <t>2025-6809</t>
  </si>
  <si>
    <t>Higher Education Awards</t>
  </si>
  <si>
    <t>George Thulani koko</t>
  </si>
  <si>
    <t>thulanikoko24@gmail.com</t>
  </si>
  <si>
    <t>EM</t>
  </si>
  <si>
    <t>University of Johanneburg</t>
  </si>
  <si>
    <t>Physical properties of the (Cr84Re16)100-xMox alloy system</t>
  </si>
  <si>
    <t xml:space="preserve">_x000D_
24850_x000D_
</t>
  </si>
  <si>
    <t>2025-6817</t>
  </si>
  <si>
    <t>Sarah Molepo</t>
  </si>
  <si>
    <t>mphomolepo50@gmail.com</t>
  </si>
  <si>
    <t>Stellenbosch University</t>
  </si>
  <si>
    <t>planning sustainable cities in developing countries</t>
  </si>
  <si>
    <t xml:space="preserve">_x000D_
107400_x000D_
</t>
  </si>
  <si>
    <t>2025-6830</t>
  </si>
  <si>
    <t>Andile Stingi</t>
  </si>
  <si>
    <t>stingiandile@gmail.com</t>
  </si>
  <si>
    <t>University of Johannesburg</t>
  </si>
  <si>
    <t>The Impact of South Africa's National Health Insurance Policy on Health Outcomes and Socioeconomic Equity</t>
  </si>
  <si>
    <t xml:space="preserve">_x000D_
75460_x000D_
</t>
  </si>
  <si>
    <t>2025-6845</t>
  </si>
  <si>
    <t>Thato Nsele</t>
  </si>
  <si>
    <t>naiiragirl@gmail.com</t>
  </si>
  <si>
    <t>Berklee College of music</t>
  </si>
  <si>
    <t>Jazz composition</t>
  </si>
  <si>
    <t xml:space="preserve">_x000D_
569118.45_x000D_
</t>
  </si>
  <si>
    <t>2025-6877</t>
  </si>
  <si>
    <t>Dimpho Chaoana</t>
  </si>
  <si>
    <t>dimphochaoana88@gmail.com</t>
  </si>
  <si>
    <t>CB</t>
  </si>
  <si>
    <t>Rhodes University</t>
  </si>
  <si>
    <t>Investigating the importance of IsiXhosa traditions in contemporary writing and its influence on cultural identity and representation. This topic could include examining how IsiXhosa folk tales, myths, and legends are reinterpreted and incorporated into contemporary literary works such as novels(Uphononongonzulu ngempembelelo nomzila woncwadi lwemveli, ulwazi lwemveli neenkolelo zemveli kuncwadi lwale mihla.)</t>
  </si>
  <si>
    <t xml:space="preserve">_x000D_
80494_x000D_
</t>
  </si>
  <si>
    <t>2025-6879</t>
  </si>
  <si>
    <t>Anomusa Magwa</t>
  </si>
  <si>
    <t>magwaanomusa@gmail.com</t>
  </si>
  <si>
    <t>Rhodes university</t>
  </si>
  <si>
    <t>Multilingualism</t>
  </si>
  <si>
    <t xml:space="preserve">_x000D_
104000_x000D_
</t>
  </si>
  <si>
    <t>2025-6888</t>
  </si>
  <si>
    <t>Lehlohonolo Yphodiah Mapatha</t>
  </si>
  <si>
    <t>yphodiahlym@gmail.com</t>
  </si>
  <si>
    <t>Frugal Innovations guiding water management policies in mining, northwest.</t>
  </si>
  <si>
    <t xml:space="preserve">_x000D_
111590_x000D_
</t>
  </si>
  <si>
    <t>2025-6907</t>
  </si>
  <si>
    <t>Lara Stevens</t>
  </si>
  <si>
    <t>22707328@sun.ac.za</t>
  </si>
  <si>
    <t>Using environmnetal tracers to determine the balance and influence of fresh inputs for the Wilderness Lakes System, Wilderness, South Africa.</t>
  </si>
  <si>
    <t xml:space="preserve">_x000D_
32972_x000D_
</t>
  </si>
  <si>
    <t>2025-6911</t>
  </si>
  <si>
    <t>Falida Nkomo</t>
  </si>
  <si>
    <t>Nkomofalida@gmail.com</t>
  </si>
  <si>
    <t>University of witswatersrand</t>
  </si>
  <si>
    <t>Repatriation through cultural identity</t>
  </si>
  <si>
    <t xml:space="preserve">_x000D_
39200_x000D_
</t>
  </si>
  <si>
    <t>2025-6919</t>
  </si>
  <si>
    <t>Khothatso Lebesana</t>
  </si>
  <si>
    <t>khothatsolebesana1@gmail.com</t>
  </si>
  <si>
    <t>University of the Western Cape</t>
  </si>
  <si>
    <t>Investigating the effects and stress tolerance in Marchantia polymorpha in response to cadmium and salinity stress</t>
  </si>
  <si>
    <t xml:space="preserve">_x000D_
130600_x000D_
</t>
  </si>
  <si>
    <t xml:space="preserve">_x000D_
85000_x000D_
</t>
  </si>
  <si>
    <t>2025-6927</t>
  </si>
  <si>
    <t>Ofile Oleseng</t>
  </si>
  <si>
    <t>olesengofile@gmail.com</t>
  </si>
  <si>
    <t>The Kasi Economy in the Post-Apartheid Era: A Critical Analysis of Spatial Planning and Local Economic Development in Huhudi</t>
  </si>
  <si>
    <t xml:space="preserve">_x000D_
121000_x000D_
</t>
  </si>
  <si>
    <t xml:space="preserve">_x000D_
6000_x000D_
</t>
  </si>
  <si>
    <t>2025-6931</t>
  </si>
  <si>
    <t>Banathi Sihole</t>
  </si>
  <si>
    <t>bsihole16@gmail.com</t>
  </si>
  <si>
    <t>University of Fort Hare</t>
  </si>
  <si>
    <t>Human Rights</t>
  </si>
  <si>
    <t xml:space="preserve">_x000D_
55542.6_x000D_
</t>
  </si>
  <si>
    <t>2025-6939</t>
  </si>
  <si>
    <t>Sibulele Mvenyeza</t>
  </si>
  <si>
    <t>sibulelemvenyeza@gmail.com</t>
  </si>
  <si>
    <t>University of Cape Town</t>
  </si>
  <si>
    <t>The genetic counselling of infertility related cytogenetic and genomic abnormalities</t>
  </si>
  <si>
    <t xml:space="preserve">_x000D_
80000_x000D_
</t>
  </si>
  <si>
    <t xml:space="preserve">_x000D_
55000_x000D_
</t>
  </si>
  <si>
    <t>2025-6941</t>
  </si>
  <si>
    <t>Mukovhe Seaba</t>
  </si>
  <si>
    <t>NAKIESEABA@GMAIL.COM</t>
  </si>
  <si>
    <t>Electrical Engineering (Power Electronics)</t>
  </si>
  <si>
    <t xml:space="preserve">_x000D_
152427_x000D_
</t>
  </si>
  <si>
    <t xml:space="preserve">_x000D_
53000_x000D_
</t>
  </si>
  <si>
    <t>2025-6952</t>
  </si>
  <si>
    <t>Mbali Ngobese</t>
  </si>
  <si>
    <t>mbalingobese371@icloud.com</t>
  </si>
  <si>
    <t>University of Stellenbosch</t>
  </si>
  <si>
    <t>Health Systems, Public Health, Biostatistics, Epidemiology, Economic Evaluation in Health care, Global Health and systemic reviews, meta data analysis and qualitative research methods</t>
  </si>
  <si>
    <t xml:space="preserve">_x000D_
249619_x000D_
</t>
  </si>
  <si>
    <t>2025-6956</t>
  </si>
  <si>
    <t>Nthabiseng Letsatsi</t>
  </si>
  <si>
    <t>nthabiara@gmail.com</t>
  </si>
  <si>
    <t>Bridging Policy and Practice: Integrating Cervical Cancer Screening Guidelines with Reproductive Health Services in Resource-Limited Settings.</t>
  </si>
  <si>
    <t xml:space="preserve">_x000D_
172500_x000D_
</t>
  </si>
  <si>
    <t>2025-6972</t>
  </si>
  <si>
    <t>Tshau Radzhadzhi</t>
  </si>
  <si>
    <t>radzhadzhitshau73@gmail.com</t>
  </si>
  <si>
    <t>Cancer Science</t>
  </si>
  <si>
    <t xml:space="preserve">_x000D_
153000_x000D_
</t>
  </si>
  <si>
    <t xml:space="preserve">_x000D_
149000_x000D_
</t>
  </si>
  <si>
    <t>2025-7025</t>
  </si>
  <si>
    <t>Bwateketa KABENGELE</t>
  </si>
  <si>
    <t>oli.kabengele@outlook.com</t>
  </si>
  <si>
    <t>University of the Witwatersrand Johannesburg</t>
  </si>
  <si>
    <t>DATA SCIENCE</t>
  </si>
  <si>
    <t xml:space="preserve">_x000D_
167000_x000D_
</t>
  </si>
  <si>
    <t>2025-7036</t>
  </si>
  <si>
    <t>Aluwani Chokoe</t>
  </si>
  <si>
    <t>aluchokoe1@icloud.com</t>
  </si>
  <si>
    <t>Nelson Mandela University</t>
  </si>
  <si>
    <t>Effectiveness of DFIs in driving economic growth</t>
  </si>
  <si>
    <t xml:space="preserve">_x000D_
52000_x000D_
</t>
  </si>
  <si>
    <t xml:space="preserve">_x000D_
22000_x000D_
</t>
  </si>
  <si>
    <t>2025-7083</t>
  </si>
  <si>
    <t>Ayabulela maqokolo</t>
  </si>
  <si>
    <t>maqokoloayabulela815@gmail.com</t>
  </si>
  <si>
    <t>Walter Sisulu University</t>
  </si>
  <si>
    <t xml:space="preserve">_x000D_
160000_x000D_
</t>
  </si>
  <si>
    <t>2025-7091</t>
  </si>
  <si>
    <t>Thulani Dimisani Sibiya</t>
  </si>
  <si>
    <t>thoolaaneer924@gmail.com</t>
  </si>
  <si>
    <t>Incomplete, 2o/s ref</t>
  </si>
  <si>
    <t>University of Zululand</t>
  </si>
  <si>
    <t>The Fate and Antibiogram Profile of Klebsiella Pneumonie Isolated from pre and post-chlorinated wastewater in the northern KwaZulu-Natal and their inactivation using Buchu- Tea Zn and Fe mediated nanoparticles.</t>
  </si>
  <si>
    <t xml:space="preserve">_x000D_
117000_x000D_
</t>
  </si>
  <si>
    <t>2025-7103</t>
  </si>
  <si>
    <t>CAROLINE KHOZA</t>
  </si>
  <si>
    <t>carolinekhoza76@gmail.com</t>
  </si>
  <si>
    <t>University of Limpopo</t>
  </si>
  <si>
    <t>Social Media as a Catalyst for Advocating Social Change: A Case Study of TikTok and X in the Context of Raising Awareness and Mobilising Action against Gender-Based Violence (GBV) in South Africa</t>
  </si>
  <si>
    <t xml:space="preserve">_x000D_
122700_x000D_
</t>
  </si>
  <si>
    <t xml:space="preserve">_x000D_
107700_x000D_
</t>
  </si>
  <si>
    <t>2025-7115</t>
  </si>
  <si>
    <t>Nicholus sukumani</t>
  </si>
  <si>
    <t>sukumaninicholus18@gmail.com</t>
  </si>
  <si>
    <t>Complete</t>
  </si>
  <si>
    <t>Innovative solutions in South Africa</t>
  </si>
  <si>
    <t xml:space="preserve">_x000D_
122000_x000D_
</t>
  </si>
  <si>
    <t>2025-7141</t>
  </si>
  <si>
    <t>Fikelela Poswa</t>
  </si>
  <si>
    <t>fikelelap@gmail.com</t>
  </si>
  <si>
    <t>Reason for broken marriages in African cultures</t>
  </si>
  <si>
    <t xml:space="preserve">_x000D_
123000_x000D_
</t>
  </si>
  <si>
    <t>2025-7147</t>
  </si>
  <si>
    <t>Sefako Oscar Mosiane</t>
  </si>
  <si>
    <t>oscar.mosiane@gmail.com</t>
  </si>
  <si>
    <t>North West University</t>
  </si>
  <si>
    <t>The use of Indigenous Language for stakeholder communication in government: case study of North West Department of Agriculture &amp; Rural Development</t>
  </si>
  <si>
    <t xml:space="preserve">_x000D_
30000_x000D_
</t>
  </si>
  <si>
    <t xml:space="preserve">_x000D_
12000_x000D_
</t>
  </si>
  <si>
    <t>2025-7164</t>
  </si>
  <si>
    <t>Haajira Khoza</t>
  </si>
  <si>
    <t>haajirakhoza@gmail.com</t>
  </si>
  <si>
    <t>UJ</t>
  </si>
  <si>
    <t>STEM</t>
  </si>
  <si>
    <t xml:space="preserve">_x000D_
50000_x000D_
</t>
  </si>
  <si>
    <t xml:space="preserve">_x000D_
40000_x000D_
</t>
  </si>
  <si>
    <t>2025-7167</t>
  </si>
  <si>
    <t>Thuso Walter KHAMELI</t>
  </si>
  <si>
    <t>Khamelithuso@gmail.com</t>
  </si>
  <si>
    <t>University of Western Cape</t>
  </si>
  <si>
    <t>The role of sport in promoting gender equality in Vhembe District, Limpopo</t>
  </si>
  <si>
    <t xml:space="preserve">_x000D_
111775_x000D_
</t>
  </si>
  <si>
    <t xml:space="preserve">_x000D_
86735_x000D_
</t>
  </si>
  <si>
    <t>2025-7178</t>
  </si>
  <si>
    <t>Ntando Dlamini</t>
  </si>
  <si>
    <t>ntandod51@gmail.com</t>
  </si>
  <si>
    <t>DUT</t>
  </si>
  <si>
    <t>Environmental protection</t>
  </si>
  <si>
    <t xml:space="preserve">_x000D_
43000_x000D_
</t>
  </si>
  <si>
    <t>2025-7179</t>
  </si>
  <si>
    <t>Zandile Maluleke</t>
  </si>
  <si>
    <t>zandileamanda32.za@gmail.com</t>
  </si>
  <si>
    <t>Prevalence of vestibular disorders in children</t>
  </si>
  <si>
    <t xml:space="preserve">_x000D_
182240_x000D_
</t>
  </si>
  <si>
    <t>2025-7181</t>
  </si>
  <si>
    <t>Mahlatse Masia</t>
  </si>
  <si>
    <t>mahlatse022@gmail.com</t>
  </si>
  <si>
    <t xml:space="preserve">_x000D_
134220_x000D_
</t>
  </si>
  <si>
    <t>2025-7197</t>
  </si>
  <si>
    <t>Azwihangwisi Netshamutavha</t>
  </si>
  <si>
    <t>netshamutavhaazwihangwisi071@gmail.com</t>
  </si>
  <si>
    <t>University of Venda</t>
  </si>
  <si>
    <t xml:space="preserve">_x000D_
100000_x000D_
</t>
  </si>
  <si>
    <t>2025-7208</t>
  </si>
  <si>
    <t>Katlego Papalagae</t>
  </si>
  <si>
    <t>Mrpapalagaek@gmail.com</t>
  </si>
  <si>
    <t>NORTH WEST UNIVERSITY</t>
  </si>
  <si>
    <t>Intra-African Trade Relations and Regional Integration</t>
  </si>
  <si>
    <t xml:space="preserve">_x000D_
41911_x000D_
</t>
  </si>
  <si>
    <t xml:space="preserve">_x000D_
91911_x000D_
</t>
  </si>
  <si>
    <t>2025-7211</t>
  </si>
  <si>
    <t>Reabetswe Maputle</t>
  </si>
  <si>
    <t>reammaputle@gmail.com</t>
  </si>
  <si>
    <t>University of the Witwatersrand</t>
  </si>
  <si>
    <t>Influence of Terpenoids on Topical Repellent Bioavailability and Safety</t>
  </si>
  <si>
    <t xml:space="preserve">_x000D_
-36841_x000D_
</t>
  </si>
  <si>
    <t>2025-7213</t>
  </si>
  <si>
    <t>Levy Maine</t>
  </si>
  <si>
    <t>Mainelevy@gmail.com</t>
  </si>
  <si>
    <t>Development Finance</t>
  </si>
  <si>
    <t>2025-7235</t>
  </si>
  <si>
    <t>Qiniso Sithole</t>
  </si>
  <si>
    <t>qinisosithole13@gmail.com</t>
  </si>
  <si>
    <t>Social Work intervention strategies related child development in families affected by parental substance misuse.</t>
  </si>
  <si>
    <t xml:space="preserve">_x000D_
53170_x000D_
</t>
  </si>
  <si>
    <t>2025-7266</t>
  </si>
  <si>
    <t>Xesibe Mcaleni</t>
  </si>
  <si>
    <t>xmcaleni@gmail.com</t>
  </si>
  <si>
    <t>Housing and Human Settlements</t>
  </si>
  <si>
    <t xml:space="preserve">_x000D_
236752_x000D_
</t>
  </si>
  <si>
    <t>2025-7269</t>
  </si>
  <si>
    <t>Azola Mtsali</t>
  </si>
  <si>
    <t>azolaa707@gmail.com</t>
  </si>
  <si>
    <t>North-West University</t>
  </si>
  <si>
    <t>Murder on the Norther Frontier: Racial Order and the Limits of Criminal Justice in the Cape Colony, c.1847 – 1880</t>
  </si>
  <si>
    <t xml:space="preserve">_x000D_
131392_x000D_
</t>
  </si>
  <si>
    <t>2025-7275</t>
  </si>
  <si>
    <t>Mzameleni Mthinjwa</t>
  </si>
  <si>
    <t>mthinjwam@gmail.com</t>
  </si>
  <si>
    <t>Walter Sisulu University-Mthatha campus</t>
  </si>
  <si>
    <t xml:space="preserve">Experiences of cancer patients receiving chemotherapy in a selected oncology unit at Oliver Reginald Tambo District in the Eastern Cape Province, South Africa </t>
  </si>
  <si>
    <t xml:space="preserve">_x000D_
26120_x000D_
</t>
  </si>
  <si>
    <t>2025-7277</t>
  </si>
  <si>
    <t>Kaho Daniel</t>
  </si>
  <si>
    <t>kahodaniel@icloud.com</t>
  </si>
  <si>
    <t>Implementation Science</t>
  </si>
  <si>
    <t xml:space="preserve">_x000D_
120000_x000D_
</t>
  </si>
  <si>
    <t>2025-7313</t>
  </si>
  <si>
    <t>GOITSEMODIMO MOLEFI</t>
  </si>
  <si>
    <t>goitse.molefi04@gmail.com</t>
  </si>
  <si>
    <t>Sefako Makgatho Health Sciences University</t>
  </si>
  <si>
    <t>Fabrication And Characterization Of ZnO/ Al2O4 Nanoparticles Material For The Photocatalytic Degradation Of Organic Dyes In Waste Water.</t>
  </si>
  <si>
    <t xml:space="preserve">_x000D_
132378_x000D_
</t>
  </si>
  <si>
    <t>2025-7321</t>
  </si>
  <si>
    <t>Amanda Mbimbi</t>
  </si>
  <si>
    <t>mbmama002@myuct.ac.za</t>
  </si>
  <si>
    <t>the psychological and social impacts of employment through private agencies on black migrant domestic workers</t>
  </si>
  <si>
    <t xml:space="preserve">_x000D_
150000_x000D_
</t>
  </si>
  <si>
    <t>2025-7329</t>
  </si>
  <si>
    <t>Gabriel Rossouw</t>
  </si>
  <si>
    <t>gabrielrossouw67@gmail.com</t>
  </si>
  <si>
    <t>Cape peninsula University of technology</t>
  </si>
  <si>
    <t>Informatics and design</t>
  </si>
  <si>
    <t xml:space="preserve">_x000D_
39000_x000D_
</t>
  </si>
  <si>
    <t>2025-7341</t>
  </si>
  <si>
    <t>Khanyisile Nkuna</t>
  </si>
  <si>
    <t>Khanyisherz22@gmail.com</t>
  </si>
  <si>
    <t>Gas sensing applications</t>
  </si>
  <si>
    <t xml:space="preserve">_x000D_
180000_x000D_
</t>
  </si>
  <si>
    <t>2025-7351</t>
  </si>
  <si>
    <t>Sandile Biyela</t>
  </si>
  <si>
    <t>sb6979525@gmail.com</t>
  </si>
  <si>
    <t>University of KwaZulu-Natal</t>
  </si>
  <si>
    <t>Development of Solar Air Heater and Its Intergration into a Whole Maize Comb with Combine Dryer and Storage Unit for Smallholders Producers in Sub-Saharan Africa</t>
  </si>
  <si>
    <t xml:space="preserve">_x000D_
84000_x000D_
</t>
  </si>
  <si>
    <t xml:space="preserve">_x000D_
111000_x000D_
</t>
  </si>
  <si>
    <t>2025-7354</t>
  </si>
  <si>
    <t>Thamsanqa Mbokazi</t>
  </si>
  <si>
    <t>thank.mbokazi@gmail.com</t>
  </si>
  <si>
    <t>Durban University of Technology</t>
  </si>
  <si>
    <t xml:space="preserve">_x000D_
177660_x000D_
</t>
  </si>
  <si>
    <t xml:space="preserve">_x000D_
169000_x000D_
</t>
  </si>
  <si>
    <t>2025-7364</t>
  </si>
  <si>
    <t>Irshaad Suliman</t>
  </si>
  <si>
    <t>irshaadsuliman949@gmail.com</t>
  </si>
  <si>
    <t>Historical violence, Deaths in detention, Anti-Apartheid struggle, Resistance</t>
  </si>
  <si>
    <t xml:space="preserve">_x000D_
-20000_x000D_
</t>
  </si>
  <si>
    <t xml:space="preserve">_x000D_
-30000_x000D_
</t>
  </si>
  <si>
    <t>2025-7376</t>
  </si>
  <si>
    <t>Fatima Phomelelo Ramokgopa</t>
  </si>
  <si>
    <t>ramokgopafatima502@gmail.com</t>
  </si>
  <si>
    <t xml:space="preserve">Synthesis and in vitro antileishmanial activity of silver nanoparticles conjugated with novel gallate analogues </t>
  </si>
  <si>
    <t xml:space="preserve">_x000D_
78391_x000D_
</t>
  </si>
  <si>
    <t xml:space="preserve">_x000D_
101391_x000D_
</t>
  </si>
  <si>
    <t>2025-7378</t>
  </si>
  <si>
    <t>Busisiwe Mooin</t>
  </si>
  <si>
    <t>Bmcmooin@gmail.com</t>
  </si>
  <si>
    <t>Media, Theory and Practice</t>
  </si>
  <si>
    <t xml:space="preserve">_x000D_
47865_x000D_
</t>
  </si>
  <si>
    <t xml:space="preserve">_x000D_
94570_x000D_
</t>
  </si>
  <si>
    <t>2025-7391</t>
  </si>
  <si>
    <t>Hloniphile Ndhlovu</t>
  </si>
  <si>
    <t>hloniphile.dlamini@gmail.com</t>
  </si>
  <si>
    <t>A collective case study of young people living with HIV : healing through the support of community-based child and youth care workers in Gauteng</t>
  </si>
  <si>
    <t xml:space="preserve">_x000D_
42460_x000D_
</t>
  </si>
  <si>
    <t xml:space="preserve">_x000D_
36660_x000D_
</t>
  </si>
  <si>
    <t>2025-7392</t>
  </si>
  <si>
    <t>Sedzani Sebatha</t>
  </si>
  <si>
    <t>ssebatha@gmail.com</t>
  </si>
  <si>
    <t>University of Cape town</t>
  </si>
  <si>
    <t>I am particularly interested in the project management strategies required for the successful implementation of energy development projects, ensuring they contribute to sustainable urban growth. My research explores how infrastructure development can facilitate a just and equitable energy transition, addressing key challenges such as policy integration, financing mechanisms, stakeholder engagement, and governance frameworks. Through this work, I aim to contribute to sustainable energy solutions that support resilient and future-ready cities.</t>
  </si>
  <si>
    <t>2025-7405</t>
  </si>
  <si>
    <t>Setshaba Mokupi</t>
  </si>
  <si>
    <t>setshabamokupi130@gmail.com</t>
  </si>
  <si>
    <t>Exloring lives of black African teenagers dring and after the divorce of parents in heterosexual marriages</t>
  </si>
  <si>
    <t xml:space="preserve">_x000D_
95000_x000D_
</t>
  </si>
  <si>
    <t>2025-7416</t>
  </si>
  <si>
    <t>Nkosibonile Mziba</t>
  </si>
  <si>
    <t>nkosimziba@gmail.com</t>
  </si>
  <si>
    <t>The Impact of Technology on Sports Excellence among the Nelson Mandela University Athletes</t>
  </si>
  <si>
    <t xml:space="preserve">_x000D_
114650_x000D_
</t>
  </si>
  <si>
    <t xml:space="preserve">_x000D_
113600_x000D_
</t>
  </si>
  <si>
    <t>2025-7423</t>
  </si>
  <si>
    <t>Oriphulusa Nyadzhiwa</t>
  </si>
  <si>
    <t>ori.nyadzhiwa@gmail.com</t>
  </si>
  <si>
    <t>Towards Environmentally Responsible Coal Mining in South Africa: Monitoring Impacts and Providing Recommendations</t>
  </si>
  <si>
    <t xml:space="preserve">_x000D_
148580_x000D_
</t>
  </si>
  <si>
    <t>2025-7435</t>
  </si>
  <si>
    <t>Thabile Maake</t>
  </si>
  <si>
    <t>thabimokgadie@gmail.com</t>
  </si>
  <si>
    <t>Exploring adaptative strategies of small-scale vegetable farmers in response to climate change in Eastern Cape</t>
  </si>
  <si>
    <t xml:space="preserve">_x000D_
95070_x000D_
</t>
  </si>
  <si>
    <t>2025-7439</t>
  </si>
  <si>
    <t>Nqubeko Sithole</t>
  </si>
  <si>
    <t>Nqubeko602@gmail.com</t>
  </si>
  <si>
    <t>University of kwazulu-Natal</t>
  </si>
  <si>
    <t>SOUND AS AN AWAKENING – BODY AS A MUSEUM</t>
  </si>
  <si>
    <t>2025-7447</t>
  </si>
  <si>
    <t>Kirsten Bester</t>
  </si>
  <si>
    <t>BSTKIR004@myuct.ac.za</t>
  </si>
  <si>
    <t>2025-7454</t>
  </si>
  <si>
    <t>Jennifer Du Plessis</t>
  </si>
  <si>
    <t>61808016@mylife.unisa.ac.za</t>
  </si>
  <si>
    <t>UNISA</t>
  </si>
  <si>
    <t>Intersectionality with a particular focus on Black Feminism</t>
  </si>
  <si>
    <t xml:space="preserve">_x000D_
18625_x000D_
</t>
  </si>
  <si>
    <t>2025-7463</t>
  </si>
  <si>
    <t>Sanele Dube</t>
  </si>
  <si>
    <t>220054294@stu.ukzn.ac.za</t>
  </si>
  <si>
    <t>University of kwazulu natal PMB</t>
  </si>
  <si>
    <t>The Impact of Cultural Norms on Women’s Access to Justice in Cases of Forced and Early Marriages in South Africa</t>
  </si>
  <si>
    <t xml:space="preserve">_x000D_
-67000_x000D_
</t>
  </si>
  <si>
    <t xml:space="preserve">_x000D_
-15000_x000D_
</t>
  </si>
  <si>
    <t>2025-7499</t>
  </si>
  <si>
    <t>Ntokozo Shongwe</t>
  </si>
  <si>
    <t>Ntokozoshongwe533@gmail.com</t>
  </si>
  <si>
    <t>An innovative Targeted Block-and-Kill Strategy for Reducing the HIV-1 Latent Reservoir</t>
  </si>
  <si>
    <t xml:space="preserve">_x000D_
172000_x000D_
</t>
  </si>
  <si>
    <t>2025-7508</t>
  </si>
  <si>
    <t>Moosa Letageng</t>
  </si>
  <si>
    <t>bogotsadimoosa@gmail.com</t>
  </si>
  <si>
    <t>The Resilience and Adaptive Strategies of Women and Youth in Mining-Affected Communities: A Case Study of Lephalale, South Africa</t>
  </si>
  <si>
    <t xml:space="preserve">_x000D_
184000_x000D_
</t>
  </si>
  <si>
    <t xml:space="preserve">_x000D_
57000_x000D_
</t>
  </si>
  <si>
    <t>2025-7529</t>
  </si>
  <si>
    <t>Phathutshedzo Munzhedzi</t>
  </si>
  <si>
    <t>phathujohnson@gmail.com</t>
  </si>
  <si>
    <t>University of pretoria</t>
  </si>
  <si>
    <t>Investigation of mechanisms virulence of Mycobacterium tuberculosis using epigenetics tools</t>
  </si>
  <si>
    <t xml:space="preserve">_x000D_
140265_x000D_
</t>
  </si>
  <si>
    <t xml:space="preserve">_x000D_
163915_x000D_
</t>
  </si>
  <si>
    <t>2025-7540</t>
  </si>
  <si>
    <t>Tumelo Foromo</t>
  </si>
  <si>
    <t>tumeloforomo.tf@gmail.com</t>
  </si>
  <si>
    <t>University of sefako makgato</t>
  </si>
  <si>
    <t>Hybrid inorganic-organic core-shell nanoparticles (CSNPs) are an emerging paradigm of nanodrug carriers in the targeted photodynamic therapy (TPDT) of cancer</t>
  </si>
  <si>
    <t xml:space="preserve">_x000D_
170000_x000D_
</t>
  </si>
  <si>
    <t xml:space="preserve">_x000D_
165000_x000D_
</t>
  </si>
  <si>
    <t>2025-7558</t>
  </si>
  <si>
    <t>Sibulele Mkhutshulwa</t>
  </si>
  <si>
    <t>sibulelemkhu@gmail.com</t>
  </si>
  <si>
    <t xml:space="preserve">University of the Western Cape </t>
  </si>
  <si>
    <t>Combating antimicrobial resistance using plant-based nanoparticles and testing against a variety of multidrug-resistant microbial strains.</t>
  </si>
  <si>
    <t xml:space="preserve">_x000D_
39765_x000D_
</t>
  </si>
  <si>
    <t>2025-7575</t>
  </si>
  <si>
    <t>Ivan Hirwa</t>
  </si>
  <si>
    <t>ivanhirwa@gmail.com</t>
  </si>
  <si>
    <t>The University of Cape Town</t>
  </si>
  <si>
    <t>Sustainable development (specialised focus on climate change adaptation and mitigation)</t>
  </si>
  <si>
    <t xml:space="preserve">_x000D_
86135_x000D_
</t>
  </si>
  <si>
    <t xml:space="preserve">_x000D_
43818_x000D_
</t>
  </si>
  <si>
    <t>2025-7596</t>
  </si>
  <si>
    <t>Jerry Matsimela Moloi</t>
  </si>
  <si>
    <t>matsemelamoloi79@gmail.com</t>
  </si>
  <si>
    <t>2025-7604</t>
  </si>
  <si>
    <t>Rendani Wynard Nkhwamalau</t>
  </si>
  <si>
    <t>rendaninkhwamalau@gmail.com</t>
  </si>
  <si>
    <t>Coursework</t>
  </si>
  <si>
    <t xml:space="preserve">_x000D_
188000_x000D_
</t>
  </si>
  <si>
    <t xml:space="preserve">_x000D_
158000_x000D_
</t>
  </si>
  <si>
    <t>2025-7621</t>
  </si>
  <si>
    <t>Malope Serama</t>
  </si>
  <si>
    <t>malopeserama8@gmail.com</t>
  </si>
  <si>
    <t>University of the witwatersrand</t>
  </si>
  <si>
    <t>Assessing the marking practice in History subject: focus on grade 11</t>
  </si>
  <si>
    <t xml:space="preserve">_x000D_
2000_x000D_
</t>
  </si>
  <si>
    <t>2025-7628</t>
  </si>
  <si>
    <t>Aeysha Allie</t>
  </si>
  <si>
    <t>aeysha101allie@gmail.com</t>
  </si>
  <si>
    <t>Learning Support</t>
  </si>
  <si>
    <t xml:space="preserve">_x000D_
62000_x000D_
</t>
  </si>
  <si>
    <t>2025-7629</t>
  </si>
  <si>
    <t>Kholofelo Morodi</t>
  </si>
  <si>
    <t>kholomorodi7@gmail.com</t>
  </si>
  <si>
    <t>Psychiatry</t>
  </si>
  <si>
    <t>2025-7650</t>
  </si>
  <si>
    <t>Njabulo Mlotshwa</t>
  </si>
  <si>
    <t>njabulomlotshwa043@gmail.com</t>
  </si>
  <si>
    <t>Sefako Makgatho health Science  University</t>
  </si>
  <si>
    <t xml:space="preserve">_x000D_
115517_x000D_
</t>
  </si>
  <si>
    <t xml:space="preserve">_x000D_
24000_x000D_
</t>
  </si>
  <si>
    <t>2025-7692</t>
  </si>
  <si>
    <t>Njabulo Hadebe</t>
  </si>
  <si>
    <t>2017523222@ufs4life.ac.za</t>
  </si>
  <si>
    <t>UNIVERSITY OF THE FREE STATE</t>
  </si>
  <si>
    <t>Community percetions of water quality and governance :An analysis of policy implementation in Tshesen , QwaQwa</t>
  </si>
  <si>
    <t xml:space="preserve">_x000D_
105000_x000D_
</t>
  </si>
  <si>
    <t>2025-7698</t>
  </si>
  <si>
    <t>Sanele Kunene</t>
  </si>
  <si>
    <t>Sanelesanele668@gmail.com</t>
  </si>
  <si>
    <t>Investigating the impact of climate variability on orange production and export competitiveness in the South African orange industry from 2001 to 2021</t>
  </si>
  <si>
    <t xml:space="preserve">_x000D_
120555_x000D_
</t>
  </si>
  <si>
    <t xml:space="preserve">_x000D_
90000_x000D_
</t>
  </si>
  <si>
    <t>2025-7731</t>
  </si>
  <si>
    <t>LUNGANI MXOLELENI NKOSI</t>
  </si>
  <si>
    <t>lunganimlotshwa1999@gmail.com</t>
  </si>
  <si>
    <t>Extraction and Characterization of emulsion agents from fruit pulps of Landolphia kirkii, Ancylobotrys capensis, and Ancylobotrys petersiana.</t>
  </si>
  <si>
    <t xml:space="preserve">_x000D_
177000_x000D_
</t>
  </si>
  <si>
    <t>2025-7775</t>
  </si>
  <si>
    <t>Thubelihle Ndlangamandla</t>
  </si>
  <si>
    <t>thube03lihle059@gmail.com</t>
  </si>
  <si>
    <t>Design of a Multifunctional 3D- (Bio)printed Biomimetic Skin Model for Advanced Drug Delivery Applications</t>
  </si>
  <si>
    <t xml:space="preserve">_x000D_
186000_x000D_
</t>
  </si>
  <si>
    <t>2025-7786</t>
  </si>
  <si>
    <t>TONDANI meshia nemakhavhani</t>
  </si>
  <si>
    <t>Tondimeshia@gmail.com</t>
  </si>
  <si>
    <t>Tshwane university of technology</t>
  </si>
  <si>
    <t>Education (Arts)</t>
  </si>
  <si>
    <t xml:space="preserve">_x000D_
26000_x000D_
</t>
  </si>
  <si>
    <t xml:space="preserve">_x000D_
27000_x000D_
</t>
  </si>
  <si>
    <t>2025-7794</t>
  </si>
  <si>
    <t>Thandeka Sonto Siluma</t>
  </si>
  <si>
    <t>thandekasiluma99@gmail.com</t>
  </si>
  <si>
    <t>REMOTE SENSING-BASED MAPPING AND SENSOR EVALUATION FOR DETECTING BLACK WATTLE (Acacia mearnsii) IN  THE SOUTPANSBERG MOUNTAIN RANGE, SOUTH AFRICA</t>
  </si>
  <si>
    <t>2025-7801</t>
  </si>
  <si>
    <t>Sergio Alves</t>
  </si>
  <si>
    <t>smalves2812@gmail.com</t>
  </si>
  <si>
    <t>Inherited muscle diseases in South Africa</t>
  </si>
  <si>
    <t xml:space="preserve">_x000D_
94400_x000D_
</t>
  </si>
  <si>
    <t xml:space="preserve">_x000D_
241900_x000D_
</t>
  </si>
  <si>
    <t>2025-7807</t>
  </si>
  <si>
    <t>Malusi Buthelezi</t>
  </si>
  <si>
    <t>buthelezimalusi03@gmail.com</t>
  </si>
  <si>
    <t>university of Zululand</t>
  </si>
  <si>
    <t>Seed viability versus seed vigour of Bambara groundnut (Vigna subterranean (L.) Verdc) landraces and the impact on establishment</t>
  </si>
  <si>
    <t xml:space="preserve">_x000D_
77000_x000D_
</t>
  </si>
  <si>
    <t>2025-7808</t>
  </si>
  <si>
    <t>Thapelo Manzini</t>
  </si>
  <si>
    <t>thapelowater@gmail.com</t>
  </si>
  <si>
    <t>Machine Learning and Deep Learning</t>
  </si>
  <si>
    <t xml:space="preserve">_x000D_
69911_x000D_
</t>
  </si>
  <si>
    <t xml:space="preserve">_x000D_
71500_x000D_
</t>
  </si>
  <si>
    <t xml:space="preserve">_x000D_
73600_x000D_
</t>
  </si>
  <si>
    <t>2025-7818</t>
  </si>
  <si>
    <t>ROLIVHUWA Aluwani MAHADA</t>
  </si>
  <si>
    <t>rolivhuwaowen@gmail.com</t>
  </si>
  <si>
    <t>University of venda</t>
  </si>
  <si>
    <t>The notion of place, place meaning and attachment: A geographic study of Fundudzi residents, Vhembe District Municipality, Limpopo province, South Africa.</t>
  </si>
  <si>
    <t xml:space="preserve">_x000D_
31500_x000D_
</t>
  </si>
  <si>
    <t xml:space="preserve">_x000D_
38500_x000D_
</t>
  </si>
  <si>
    <t>2025-7823</t>
  </si>
  <si>
    <t>Kwanele Zondo</t>
  </si>
  <si>
    <t>kwahzondo@gmail.com</t>
  </si>
  <si>
    <t>Examination of Political violence in KwaZulu-Natal post-apartheid</t>
  </si>
  <si>
    <t>2025-7832</t>
  </si>
  <si>
    <t>Karabo Mawele</t>
  </si>
  <si>
    <t>karabomawele@gmail.com</t>
  </si>
  <si>
    <t>University Of Freestate</t>
  </si>
  <si>
    <t>Gender Roles:Thriving in a male-dominated environment: A narrative study and exploration of  women's experiences working in the taxi industry in  West Rand  District, South Africa.</t>
  </si>
  <si>
    <t>2025-7839</t>
  </si>
  <si>
    <t>Ayanda Mthabela</t>
  </si>
  <si>
    <t>mthabelayanda1975@gmail.com</t>
  </si>
  <si>
    <t>2025-7846</t>
  </si>
  <si>
    <t>Khanyisani Msomi</t>
  </si>
  <si>
    <t>khanyisanmsomi123@gmail.com</t>
  </si>
  <si>
    <t>2025-7856</t>
  </si>
  <si>
    <t>Bongimusa Matshabane</t>
  </si>
  <si>
    <t>matshabanebongimusa@gmail.com</t>
  </si>
  <si>
    <t>Assessing the Efficacy of Restorative Justice Programs in Reducing Recidivism Rates Among Male Youth (15-25 years) in Mhlakulo Administrative Area, Eastern Cape, South Africa: A Comparative Study</t>
  </si>
  <si>
    <t xml:space="preserve">_x000D_
22500_x000D_
</t>
  </si>
  <si>
    <t>2025-7870</t>
  </si>
  <si>
    <t>Valery Malatji</t>
  </si>
  <si>
    <t>malatjivalery@gmail.com</t>
  </si>
  <si>
    <t>enforcement issues in the mining sector</t>
  </si>
  <si>
    <t>2025-7876</t>
  </si>
  <si>
    <t>Siyanda Gwengu</t>
  </si>
  <si>
    <t>siyandagwengu@gmail.com</t>
  </si>
  <si>
    <t>In vitro radioassay characterisation of 89Zr-labelled trastuzumab fragments (Vhh and scFV) using 89Zr-labelled trastuzumab as the standard</t>
  </si>
  <si>
    <t xml:space="preserve">_x000D_
110558_x000D_
</t>
  </si>
  <si>
    <t xml:space="preserve">_x000D_
70020_x000D_
</t>
  </si>
  <si>
    <t>2025-7905</t>
  </si>
  <si>
    <t>Sinekamva Mnyamana</t>
  </si>
  <si>
    <t>sinekamva503@gmail.com</t>
  </si>
  <si>
    <t>Metabolomics Investigation of the Effects of Afrikelp LG1 on Midknight Valencia Oranges Under Field Conditions</t>
  </si>
  <si>
    <t xml:space="preserve">_x000D_
90500_x000D_
</t>
  </si>
  <si>
    <t>2025-7909</t>
  </si>
  <si>
    <t>Marema Lilly Mathekga</t>
  </si>
  <si>
    <t>Lillykgathallo@gmail.com</t>
  </si>
  <si>
    <t>Decolonizing African Identity: The Impact of Western Media on Youth Perceptions of Culture</t>
  </si>
  <si>
    <t xml:space="preserve">_x000D_
19500_x000D_
</t>
  </si>
  <si>
    <t xml:space="preserve">_x000D_
35500_x000D_
</t>
  </si>
  <si>
    <t>2025-7933</t>
  </si>
  <si>
    <t>Vhulenda Negota</t>
  </si>
  <si>
    <t>vhulendanegota@gmail.com</t>
  </si>
  <si>
    <t>The role of indigenous farming systems in enhancing food security among vhavenda people at Mavunde village</t>
  </si>
  <si>
    <t xml:space="preserve">_x000D_
173210_x000D_
</t>
  </si>
  <si>
    <t>2025-7941</t>
  </si>
  <si>
    <t>Liezle Cassels</t>
  </si>
  <si>
    <t>PSQLIE001@myuct.ac.za</t>
  </si>
  <si>
    <t>UCT</t>
  </si>
  <si>
    <t>ADHD</t>
  </si>
  <si>
    <t xml:space="preserve">_x000D_
65385_x000D_
</t>
  </si>
  <si>
    <t xml:space="preserve">_x000D_
64000_x000D_
</t>
  </si>
  <si>
    <t>2025-7966</t>
  </si>
  <si>
    <t>Thembeka Mnisi</t>
  </si>
  <si>
    <t>thembekamnisi24@gmail.com</t>
  </si>
  <si>
    <t xml:space="preserve">N/A topic to be assigned 2nd semester </t>
  </si>
  <si>
    <t xml:space="preserve">_x000D_
0.01_x000D_
</t>
  </si>
  <si>
    <t>2025-7974</t>
  </si>
  <si>
    <t>Smangele Zondi</t>
  </si>
  <si>
    <t>ncane424sma@gmail.com</t>
  </si>
  <si>
    <t>Investigating teachers preparedness to use digital technology when teaching Natural sciences in Schools</t>
  </si>
  <si>
    <t xml:space="preserve">_x000D_
82000_x000D_
</t>
  </si>
  <si>
    <t xml:space="preserve">_x000D_
80500_x000D_
</t>
  </si>
  <si>
    <t>2025-7992</t>
  </si>
  <si>
    <t>Thandeka Ngema</t>
  </si>
  <si>
    <t>faith.ngema22@gmail.com</t>
  </si>
  <si>
    <t>Wits University</t>
  </si>
  <si>
    <t>Impact  Evaluation  of Small Town Rehabilitation Programme</t>
  </si>
  <si>
    <t xml:space="preserve">_x000D_
47090_x000D_
</t>
  </si>
  <si>
    <t>2025-8005</t>
  </si>
  <si>
    <t>Sivuyile Pharela</t>
  </si>
  <si>
    <t>sivuyilepharela@gmail.com</t>
  </si>
  <si>
    <t>Baphuthi people: The Silenced Culture</t>
  </si>
  <si>
    <t xml:space="preserve">_x000D_
109999_x000D_
</t>
  </si>
  <si>
    <t xml:space="preserve">_x000D_
99999_x000D_
</t>
  </si>
  <si>
    <t>2025-8016</t>
  </si>
  <si>
    <t>Kamogelo Sedibe</t>
  </si>
  <si>
    <t>kamomantsedibe@yahoo.com</t>
  </si>
  <si>
    <t>University of Witwatersrand</t>
  </si>
  <si>
    <t>Interventions against the harmful effects of alcohol using animal models.</t>
  </si>
  <si>
    <t xml:space="preserve">_x000D_
177340_x000D_
</t>
  </si>
  <si>
    <t xml:space="preserve">_x000D_
172600_x000D_
</t>
  </si>
  <si>
    <t>2025-8019</t>
  </si>
  <si>
    <t>NOKUTHULA THABETHE</t>
  </si>
  <si>
    <t>mkholopsych@gmail.com</t>
  </si>
  <si>
    <t>UNIVERSITY OF CAPE TOWN</t>
  </si>
  <si>
    <t>The views of people with intellectual disability and their caregivers on the quality of life of people in Zululand area.</t>
  </si>
  <si>
    <t xml:space="preserve">_x000D_
64360_x000D_
</t>
  </si>
  <si>
    <t xml:space="preserve">_x000D_
83470_x000D_
</t>
  </si>
  <si>
    <t>2025-8037</t>
  </si>
  <si>
    <t>Tshifhiwa Gift Mukhoro</t>
  </si>
  <si>
    <t>linkwebdev@outlook.com</t>
  </si>
  <si>
    <t>Valorisation of coal fly ash through the recovery of strontium, rare earth elements and zeolite synthesisi</t>
  </si>
  <si>
    <t xml:space="preserve">_x000D_
170390_x000D_
</t>
  </si>
  <si>
    <t>2025-8053</t>
  </si>
  <si>
    <t>Tiyisela Vukeya</t>
  </si>
  <si>
    <t>Tiyiselacvukeya@gmail.com</t>
  </si>
  <si>
    <t>Effects of Tillage and Manure application on soil hydraulic properties and Sunflower grain yield in sandy soils in Limpopo</t>
  </si>
  <si>
    <t xml:space="preserve">_x000D_
114500_x000D_
</t>
  </si>
  <si>
    <t xml:space="preserve">_x000D_
79000_x000D_
</t>
  </si>
  <si>
    <t>2025-8067</t>
  </si>
  <si>
    <t>Matsoso Keleabetsoe</t>
  </si>
  <si>
    <t>keleabetsoematsoso@gmail.com</t>
  </si>
  <si>
    <t>Public Law and Philosophy</t>
  </si>
  <si>
    <t xml:space="preserve">_x000D_
89911_x000D_
</t>
  </si>
  <si>
    <t>2025-8071</t>
  </si>
  <si>
    <t>Muano Mathoho</t>
  </si>
  <si>
    <t>muanomathoho@gmail.com</t>
  </si>
  <si>
    <t>An exploration of the differentiation of entrepreneurial skills according to gender the case of of Maungani village in Vhembe region, Limpopo province, South Africa</t>
  </si>
  <si>
    <t>2025-8073</t>
  </si>
  <si>
    <t>Senganele Sthandiwe Gina</t>
  </si>
  <si>
    <t>senganelegina@gmail.com</t>
  </si>
  <si>
    <t>University Of Zululand</t>
  </si>
  <si>
    <t>Synthesis of 1-methyl-2,6-diaryl-1H-quinolin-4-ones with potential biological properties</t>
  </si>
  <si>
    <t xml:space="preserve">_x000D_
130000_x000D_
</t>
  </si>
  <si>
    <t>2025-8121</t>
  </si>
  <si>
    <t>musa matlou</t>
  </si>
  <si>
    <t>mtlmus004@myuct.ac.za</t>
  </si>
  <si>
    <t>Thermofluid Design of an Air-Cooled Heat Exchanger for an sCO₂ Concentrated Solar  Power Plant</t>
  </si>
  <si>
    <t xml:space="preserve">_x000D_
171000_x000D_
</t>
  </si>
  <si>
    <t xml:space="preserve">_x000D_
243000_x000D_
</t>
  </si>
  <si>
    <t>2025-8123</t>
  </si>
  <si>
    <t>Nkosikhona Zwane</t>
  </si>
  <si>
    <t>nkosikhona18@gmail.com</t>
  </si>
  <si>
    <t>University of Free State</t>
  </si>
  <si>
    <t>A Model for Suitable Electoral Candidates for the National Government of South Africa</t>
  </si>
  <si>
    <t xml:space="preserve">_x000D_
108000_x000D_
</t>
  </si>
  <si>
    <t>2025-8128</t>
  </si>
  <si>
    <t>Gcina Jojo</t>
  </si>
  <si>
    <t>jojolufefkazi@gmail.com</t>
  </si>
  <si>
    <t>Xhosa Christian Music History</t>
  </si>
  <si>
    <t xml:space="preserve">_x000D_
15000_x000D_
</t>
  </si>
  <si>
    <t>2025-8199</t>
  </si>
  <si>
    <t>Zandile Ngubane</t>
  </si>
  <si>
    <t>zandile.ngubane9602@gmail.com</t>
  </si>
  <si>
    <t>Sefako Makgatho University</t>
  </si>
  <si>
    <t>Complementary feeding practices and nutritional status of children aged 6-59 months attending healthcare facilities in KwaZulu Natal</t>
  </si>
  <si>
    <t xml:space="preserve">_x000D_
113700_x000D_
</t>
  </si>
  <si>
    <t>2025-8204</t>
  </si>
  <si>
    <t>Kamo Maloka</t>
  </si>
  <si>
    <t>kamomaloka10@gmail.com</t>
  </si>
  <si>
    <t>University of the Free State</t>
  </si>
  <si>
    <t>A township gem: Amapiano as a reflection of socio-cultural and socio-economic realities in Soweto</t>
  </si>
  <si>
    <t xml:space="preserve">_x000D_
143621_x000D_
</t>
  </si>
  <si>
    <t xml:space="preserve">_x000D_
176500_x000D_
</t>
  </si>
  <si>
    <t>2025-8210</t>
  </si>
  <si>
    <t>Leoné Steyn</t>
  </si>
  <si>
    <t>20109970@sun.ac.za</t>
  </si>
  <si>
    <t>Inflammation in PTSD</t>
  </si>
  <si>
    <t xml:space="preserve">_x000D_
222400_x000D_
</t>
  </si>
  <si>
    <t>2025-8213</t>
  </si>
  <si>
    <t>ALLEN OLATUNDE</t>
  </si>
  <si>
    <t>allen.olatunde@gmail.com</t>
  </si>
  <si>
    <t>Stellenbosch University South Africa</t>
  </si>
  <si>
    <t>Theology</t>
  </si>
  <si>
    <t xml:space="preserve">_x000D_
49580_x000D_
</t>
  </si>
  <si>
    <t xml:space="preserve">_x000D_
99580_x000D_
</t>
  </si>
  <si>
    <t xml:space="preserve">_x000D_
78580_x000D_
</t>
  </si>
  <si>
    <t>2025-8214</t>
  </si>
  <si>
    <t>Portia Shay-Sithole</t>
  </si>
  <si>
    <t>plsithole87@gmail.com</t>
  </si>
  <si>
    <t>ICT in Education, e-learning, m-learning, and e-assessment authoring tools and it's effects on student learning and assessment</t>
  </si>
  <si>
    <t xml:space="preserve">_x000D_
403660_x000D_
</t>
  </si>
  <si>
    <t>2025-8217</t>
  </si>
  <si>
    <t>Sofia Jose</t>
  </si>
  <si>
    <t>Sofia.Jose@jgfellow.org</t>
  </si>
  <si>
    <t>Evaluating the Practical Application of the Screening, Identification, Assessment and  Support (SIAS) Policy in selected Tembisa Schools.</t>
  </si>
  <si>
    <t xml:space="preserve">_x000D_
280000_x000D_
</t>
  </si>
  <si>
    <t>2025-8226</t>
  </si>
  <si>
    <t>Enoch Dotse Agbandzo</t>
  </si>
  <si>
    <t>25053442@dut4life.ac.za</t>
  </si>
  <si>
    <t>Supply chain social sustainability in the oil and gas industry of an emerging economy</t>
  </si>
  <si>
    <t xml:space="preserve">_x000D_
2652168.06_x000D_
</t>
  </si>
  <si>
    <t>2025-8237</t>
  </si>
  <si>
    <t>Ramatsobane Flaviour Shogole</t>
  </si>
  <si>
    <t>Shogoleflaviour@yahoo.com</t>
  </si>
  <si>
    <t>Coping strategies for managing Neurocognitive impairment among Non-CNS cancer patients at a tertiary hospital in the Tshwane district</t>
  </si>
  <si>
    <t>2025-8239</t>
  </si>
  <si>
    <t>Peter Swanepoel</t>
  </si>
  <si>
    <t>pmswanepoel@gmail.com</t>
  </si>
  <si>
    <t>The politics of performace in South African cycling 1970s-1980s</t>
  </si>
  <si>
    <t xml:space="preserve">_x000D_
174000_x000D_
</t>
  </si>
  <si>
    <t>2025-8241</t>
  </si>
  <si>
    <t>Monique Pretorius</t>
  </si>
  <si>
    <t>monique.visser2x@gmail.com</t>
  </si>
  <si>
    <t>SMU (Sefako Makgatho Health Sciences University)</t>
  </si>
  <si>
    <t>STAPHYLOCOCCUS AUREUS COLONISATION IN PAEDIATRIC PATIENTS WITH ATOPIC DERMATITIS AT A TERTIARY HOSPITAL IN PRETORIA, GAUTENG PROVINCE.</t>
  </si>
  <si>
    <t xml:space="preserve">_x000D_
38000_x000D_
</t>
  </si>
  <si>
    <t xml:space="preserve">_x000D_
36000_x000D_
</t>
  </si>
  <si>
    <t>2025-8242</t>
  </si>
  <si>
    <t>Letlotlo Appolus</t>
  </si>
  <si>
    <t>letlotloap@gmail.com</t>
  </si>
  <si>
    <t>Sol Plaatje University</t>
  </si>
  <si>
    <t>The legacy of apartheid and its influence on cricket development after 1994</t>
  </si>
  <si>
    <t>2025-8243</t>
  </si>
  <si>
    <t>Xolile Nuse</t>
  </si>
  <si>
    <t>xolilenuse@gmail.com</t>
  </si>
  <si>
    <t xml:space="preserve">_x000D_
417960_x000D_
</t>
  </si>
  <si>
    <t xml:space="preserve">_x000D_
395960_x000D_
</t>
  </si>
  <si>
    <t>2025-8244</t>
  </si>
  <si>
    <t>Claire Rilett</t>
  </si>
  <si>
    <t>cerilett@gmail.com</t>
  </si>
  <si>
    <t>Environmental history, specifically conservation history</t>
  </si>
  <si>
    <t xml:space="preserve">_x000D_
95310_x000D_
</t>
  </si>
  <si>
    <t>2025-8252</t>
  </si>
  <si>
    <t>Kirsten Skippers</t>
  </si>
  <si>
    <t>kirstenskippers@gmail.com</t>
  </si>
  <si>
    <t>The Manhattan School Of Music</t>
  </si>
  <si>
    <t>South African Jazz</t>
  </si>
  <si>
    <t xml:space="preserve">_x000D_
1073538.83_x000D_
</t>
  </si>
  <si>
    <t>2025-8254</t>
  </si>
  <si>
    <t>Nthabiseng Donation Mathibedi</t>
  </si>
  <si>
    <t>mathibedi.nthabiseng7@gmail.com</t>
  </si>
  <si>
    <t>North west university and solplattje university</t>
  </si>
  <si>
    <t>The challenge experienced by primary school rural educators in implementing the curriculum</t>
  </si>
  <si>
    <t xml:space="preserve">_x000D_
60000_x000D_
</t>
  </si>
  <si>
    <t>2025-8263</t>
  </si>
  <si>
    <t>Thina Gcobo</t>
  </si>
  <si>
    <t>gcobothina@gmail.com</t>
  </si>
  <si>
    <t>Human Genetics</t>
  </si>
  <si>
    <t xml:space="preserve">_x000D_
241170_x000D_
</t>
  </si>
  <si>
    <t xml:space="preserve">_x000D_
247000_x000D_
</t>
  </si>
  <si>
    <t xml:space="preserve">_x000D_
253000_x000D_
</t>
  </si>
  <si>
    <t>2025-8270</t>
  </si>
  <si>
    <t>Metabolomics</t>
  </si>
  <si>
    <t>2025-8274</t>
  </si>
  <si>
    <t>Keaghan Brown</t>
  </si>
  <si>
    <t>3687524@myuwc.ac.za</t>
  </si>
  <si>
    <t>Software Development</t>
  </si>
  <si>
    <t xml:space="preserve">_x000D_
25000_x000D_
</t>
  </si>
  <si>
    <t xml:space="preserve">_x000D_
26700_x000D_
</t>
  </si>
  <si>
    <t>2025-8275</t>
  </si>
  <si>
    <t>Keletso Doctor Dibatana</t>
  </si>
  <si>
    <t>doctordibatana1@gmail.com</t>
  </si>
  <si>
    <t>PRESCRIPTION OF ARBITRATION AWARDS</t>
  </si>
  <si>
    <t xml:space="preserve">_x000D_
48000_x000D_
</t>
  </si>
  <si>
    <t>2025-8279</t>
  </si>
  <si>
    <t>Balungile Shamase</t>
  </si>
  <si>
    <t>balungilesphelele@gmail.com</t>
  </si>
  <si>
    <t xml:space="preserve">University of Zululand </t>
  </si>
  <si>
    <t xml:space="preserve">Tripartite the interaction between gene expression, selenium profile and time to puberty attainment in lamb </t>
  </si>
  <si>
    <t xml:space="preserve">_x000D_
127135_x000D_
</t>
  </si>
  <si>
    <t xml:space="preserve">_x000D_
217135_x000D_
</t>
  </si>
  <si>
    <t>2025-8281</t>
  </si>
  <si>
    <t>Vuyo Seloane</t>
  </si>
  <si>
    <t>vtseloane@gmail.com</t>
  </si>
  <si>
    <t>The University of the Witwatersrand</t>
  </si>
  <si>
    <t>The prevalence of African Spiritualist Treatment Programmes for mental illness in South Africa, and how they compare in efficacy to Western Psychodiagnostic and Treatment Programmes and Tools.</t>
  </si>
  <si>
    <t xml:space="preserve">_x000D_
190000_x000D_
</t>
  </si>
  <si>
    <t xml:space="preserve">_x000D_
183000_x000D_
</t>
  </si>
  <si>
    <t>2025-8287</t>
  </si>
  <si>
    <t>Relebohile Agnes Khoza</t>
  </si>
  <si>
    <t>khozarelebohile1@gmail.com</t>
  </si>
  <si>
    <t>University of Alberta</t>
  </si>
  <si>
    <t>Educational Policies and Leadership</t>
  </si>
  <si>
    <t xml:space="preserve">_x000D_
229360.35_x000D_
</t>
  </si>
  <si>
    <t>2025-8292</t>
  </si>
  <si>
    <t>Solomzi Tshona</t>
  </si>
  <si>
    <t>tshonasolly@icloud.com</t>
  </si>
  <si>
    <t>University of Kwazulu Natala</t>
  </si>
  <si>
    <t>Alignment of Maritme work into the Operation Phakisa Model</t>
  </si>
  <si>
    <t xml:space="preserve">_x000D_
9000_x000D_
</t>
  </si>
  <si>
    <t>2025-8301</t>
  </si>
  <si>
    <t>Bianca Breytenbach</t>
  </si>
  <si>
    <t>bianca.breytenbach@icloud.com</t>
  </si>
  <si>
    <t>Epigenetic correlates of post-trauma symptom trajectories in South African adolescents</t>
  </si>
  <si>
    <t xml:space="preserve">_x000D_
132500_x000D_
</t>
  </si>
  <si>
    <t xml:space="preserve">_x000D_
95300_x000D_
</t>
  </si>
  <si>
    <t>2025-8322</t>
  </si>
  <si>
    <t>LERATO MAMOSEBO</t>
  </si>
  <si>
    <t>leratomamosebo@yahoo.co.uk</t>
  </si>
  <si>
    <t>The impact of vestibular function in adult patients with cognitive impairments: A Systematic review and Meta analysis</t>
  </si>
  <si>
    <t>2025-8323</t>
  </si>
  <si>
    <t>Lesibana Petrus Maema</t>
  </si>
  <si>
    <t>plesibana@gmail.com</t>
  </si>
  <si>
    <t>Prioritising introduction pathways for management of biological invasions in the Mapungubwe and Marakele National Park</t>
  </si>
  <si>
    <t xml:space="preserve">_x000D_
-38248_x000D_
</t>
  </si>
  <si>
    <t>2025-8340</t>
  </si>
  <si>
    <t>Januario Da Costa Hossi</t>
  </si>
  <si>
    <t>hossijanuario70@gmail.com</t>
  </si>
  <si>
    <t>Biodiesel waste valorisation though hydrothermal carbonization technology for sustainable biofuels production in South Africa</t>
  </si>
  <si>
    <t xml:space="preserve">_x000D_
490000_x000D_
</t>
  </si>
  <si>
    <t xml:space="preserve">_x000D_
455000_x000D_
</t>
  </si>
  <si>
    <t>2025-8350</t>
  </si>
  <si>
    <t>Variety Thabane</t>
  </si>
  <si>
    <t>varietynkateko@gmail.com</t>
  </si>
  <si>
    <t>University of Mpumalanga</t>
  </si>
  <si>
    <t>Local Agronomic Practices for Indigenous Crops and Climate Change Resiliency: Implications for Food Systems in Mpumalanga</t>
  </si>
  <si>
    <t xml:space="preserve">_x000D_
68775_x000D_
</t>
  </si>
  <si>
    <t xml:space="preserve">_x000D_
52775_x000D_
</t>
  </si>
  <si>
    <t>2025-8352</t>
  </si>
  <si>
    <t>Leegan Govender</t>
  </si>
  <si>
    <t>govenderl@sun.ac.za</t>
  </si>
  <si>
    <t>Autophagy related to Tuberculosis in South Africa</t>
  </si>
  <si>
    <t xml:space="preserve">_x000D_
260000_x000D_
</t>
  </si>
  <si>
    <t xml:space="preserve">_x000D_
250000_x000D_
</t>
  </si>
  <si>
    <t>2025-8353</t>
  </si>
  <si>
    <t>Ethnomusicology: History of Xhosa Christian Music</t>
  </si>
  <si>
    <t>2025-8359</t>
  </si>
  <si>
    <t>Danielle Sabor</t>
  </si>
  <si>
    <t>dlsabor196@gmail.com</t>
  </si>
  <si>
    <t>Benzothiazole based ruthenium complexes used as anti-cancer agents</t>
  </si>
  <si>
    <t xml:space="preserve">_x000D_
246500_x000D_
</t>
  </si>
  <si>
    <t>2025-8363</t>
  </si>
  <si>
    <t>Bright Mthembeni Hlongwane</t>
  </si>
  <si>
    <t>brighthlongwane@icloud.com</t>
  </si>
  <si>
    <t>Gordon Institute of Business Science (GIBS), University of Pretoria</t>
  </si>
  <si>
    <t>Business Administration</t>
  </si>
  <si>
    <t xml:space="preserve">_x000D_
372609_x000D_
</t>
  </si>
  <si>
    <t>2025-8366</t>
  </si>
  <si>
    <t>Caswell Nkotsana Maja</t>
  </si>
  <si>
    <t>Nkotsana86@gmail.com</t>
  </si>
  <si>
    <t>University of limpopo</t>
  </si>
  <si>
    <t>Antecedents of digital transformation and effects of hospitality firms in Gauteng Province, South Africa</t>
  </si>
  <si>
    <t>2025-8369</t>
  </si>
  <si>
    <t>Nwabisa Millicent Yekani</t>
  </si>
  <si>
    <t>nwabisa.yekani@gmail.com</t>
  </si>
  <si>
    <t>MBA Generalist</t>
  </si>
  <si>
    <t xml:space="preserve">_x000D_
207646_x000D_
</t>
  </si>
  <si>
    <t xml:space="preserve">_x000D_
186035_x000D_
</t>
  </si>
  <si>
    <t>2025-8380</t>
  </si>
  <si>
    <t>Diago Yolatha Ngubelanga</t>
  </si>
  <si>
    <t>ngubelangadiago@gmail.com</t>
  </si>
  <si>
    <t>Seasonal Assessment and Comparison of CO₂ Emissions from Synthetic and Organic Fertilizers on Swiss Chard (Beta vulgaris L.) Production: A Climate-Smart Agriculture Study Using Picarro G2201-i CRDS Analyzer in South Africa.</t>
  </si>
  <si>
    <t>2025-8383</t>
  </si>
  <si>
    <t>Bahle Luyanda Mntambo</t>
  </si>
  <si>
    <t>bahledave@gmail.com</t>
  </si>
  <si>
    <t>Structure-Based Design of Indole-Pyrazole Derivatives as Dual BRAF/MEK Inhibitors: Synthesis, Anticancer Activity, and Computational Validation of MAPK Pathway Suppression.</t>
  </si>
  <si>
    <t xml:space="preserve">_x000D_
168000_x000D_
</t>
  </si>
  <si>
    <t>2025-8386</t>
  </si>
  <si>
    <t>Bruce Montiea</t>
  </si>
  <si>
    <t>bruce.montiea@gmail.com</t>
  </si>
  <si>
    <t>The use of public health legislation by colonial authorities to create spatial segregation in pre-Union South Africa</t>
  </si>
  <si>
    <t xml:space="preserve">_x000D_
61000_x000D_
</t>
  </si>
  <si>
    <t>2025-8394</t>
  </si>
  <si>
    <t>Simo Khumalo</t>
  </si>
  <si>
    <t>situation643@gmail.com</t>
  </si>
  <si>
    <t>Employing Global Positioning Systems (GPS) for the Identification and Recovery of Stolen Livestock</t>
  </si>
  <si>
    <t xml:space="preserve">_x000D_
85610_x000D_
</t>
  </si>
  <si>
    <t xml:space="preserve">_x000D_
95610_x000D_
</t>
  </si>
  <si>
    <t>2025-8396</t>
  </si>
  <si>
    <t>Ditiro Letsoalo</t>
  </si>
  <si>
    <t>dtirow@gmail.com</t>
  </si>
  <si>
    <t>Statistics</t>
  </si>
  <si>
    <t xml:space="preserve">_x000D_
109000_x000D_
</t>
  </si>
  <si>
    <t>2025-8399</t>
  </si>
  <si>
    <t>Mpho Mhlongo</t>
  </si>
  <si>
    <t>mphomhlongo1@gmail.com</t>
  </si>
  <si>
    <t>The nexus between fiscal and monetary policy instruments and growth among Southern African Development Community SADC member states</t>
  </si>
  <si>
    <t xml:space="preserve">_x000D_
138000_x000D_
</t>
  </si>
  <si>
    <t>2025-8409</t>
  </si>
  <si>
    <t>GUGULETHU JAMJAM</t>
  </si>
  <si>
    <t>LULOBAND@GMAIL.COM</t>
  </si>
  <si>
    <t>Introduction to Forensic Social Work and Probation Practice in South Africa.</t>
  </si>
  <si>
    <t xml:space="preserve">_x000D_
147560_x000D_
</t>
  </si>
  <si>
    <t>2025-8417</t>
  </si>
  <si>
    <t>Khadijah Amarah Moosa</t>
  </si>
  <si>
    <t>amarahmoosa62@gmail.com</t>
  </si>
  <si>
    <t>Locomotor performance, thermal physiology, and osteoderm variation in Hemicordylus capensis.</t>
  </si>
  <si>
    <t xml:space="preserve">_x000D_
287600_x000D_
</t>
  </si>
  <si>
    <t>2025-8426</t>
  </si>
  <si>
    <t>ZamaNtungwa Khumalo</t>
  </si>
  <si>
    <t>Zamantungwaf@gmail.com</t>
  </si>
  <si>
    <t>University of KwaZulu natal</t>
  </si>
  <si>
    <t>AI-Driven Supply Chains and Outsourced Labour in Foreign-Acquired FMCG Firms: Evaluating the Transformation of Local Operations in South Africa</t>
  </si>
  <si>
    <t xml:space="preserve">_x000D_
77036_x000D_
</t>
  </si>
  <si>
    <t xml:space="preserve">_x000D_
82994_x000D_
</t>
  </si>
  <si>
    <t xml:space="preserve">_x000D_
97181_x000D_
</t>
  </si>
  <si>
    <t>2025-8441</t>
  </si>
  <si>
    <t>sekoele kobjana</t>
  </si>
  <si>
    <t>u11042126@tuks.co.za</t>
  </si>
  <si>
    <t>Univeristy of Pretoria</t>
  </si>
  <si>
    <t>Continuous removal of As(V) and/or Hg (II):mechanistic model for scaling of continuous flow reactor.</t>
  </si>
  <si>
    <t xml:space="preserve">_x000D_
154448_x000D_
</t>
  </si>
  <si>
    <t>2025-8446</t>
  </si>
  <si>
    <t>Adam Levin</t>
  </si>
  <si>
    <t>leviaj@gmail.com</t>
  </si>
  <si>
    <t>English Literature</t>
  </si>
  <si>
    <t xml:space="preserve">_x000D_
300000_x000D_
</t>
  </si>
  <si>
    <t>2025-8458</t>
  </si>
  <si>
    <t>Sibongile Luthuli</t>
  </si>
  <si>
    <t>Sibongile@rekopane.co.za</t>
  </si>
  <si>
    <t>Cambridge Institute for Sustainability Leadership</t>
  </si>
  <si>
    <t>Sustainability Leadership</t>
  </si>
  <si>
    <t xml:space="preserve">_x000D_
402749.84_x000D_
</t>
  </si>
  <si>
    <t xml:space="preserve">_x000D_
475701.87_x000D_
</t>
  </si>
  <si>
    <t>2025-8461</t>
  </si>
  <si>
    <t>Courtney Elizabeth Brown</t>
  </si>
  <si>
    <t>2331319@students.wits.ac.za</t>
  </si>
  <si>
    <t>Drug development for Parkinson's disease</t>
  </si>
  <si>
    <t xml:space="preserve">_x000D_
230690_x000D_
</t>
  </si>
  <si>
    <t xml:space="preserve">_x000D_
250690_x000D_
</t>
  </si>
  <si>
    <t xml:space="preserve">_x000D_
270690_x000D_
</t>
  </si>
  <si>
    <t>2025-8469</t>
  </si>
  <si>
    <t>Camrin Janse van Rensburg</t>
  </si>
  <si>
    <t>camrin.jansevanrensburg@outlook.com</t>
  </si>
  <si>
    <t>IMD - International Institute for Management Development</t>
  </si>
  <si>
    <t>Would like to specialise in Strategy and Economics</t>
  </si>
  <si>
    <t xml:space="preserve">_x000D_
1650000_x000D_
</t>
  </si>
  <si>
    <t>2025-8474</t>
  </si>
  <si>
    <t>Daniela Sefora Goeieman</t>
  </si>
  <si>
    <t>daniela.goeieman@wits.ac.za</t>
  </si>
  <si>
    <t>Social Accountability in participatory research involving people who use drugs</t>
  </si>
  <si>
    <t xml:space="preserve">_x000D_
91200_x000D_
</t>
  </si>
  <si>
    <t xml:space="preserve">_x000D_
167250_x000D_
</t>
  </si>
  <si>
    <t xml:space="preserve">_x000D_
148562_x000D_
</t>
  </si>
  <si>
    <t>2025-8478</t>
  </si>
  <si>
    <t>Sinako Mxabo</t>
  </si>
  <si>
    <t>Sinako.Mxabo@gmail.com</t>
  </si>
  <si>
    <t>University of KwaZulu Natal</t>
  </si>
  <si>
    <t>The Role of Government Support in Facilitating New Venture Creation: An Entrepreneurship Perspective in South Africa</t>
  </si>
  <si>
    <t>2025-8489</t>
  </si>
  <si>
    <t>Suveena Govender</t>
  </si>
  <si>
    <t>suveenagovender@gmail.com</t>
  </si>
  <si>
    <t>Antibiotic resistance genes and bacteria in fish from the local rivers in KwaZulu-Natal</t>
  </si>
  <si>
    <t xml:space="preserve">_x000D_
128400_x000D_
</t>
  </si>
  <si>
    <t>2025-8496</t>
  </si>
  <si>
    <t>Lameez Hendricks</t>
  </si>
  <si>
    <t>hendricks.lameez.02@gmail.com</t>
  </si>
  <si>
    <t>Literary and Cultural Studies, Trauma Theory, Violence, Genocide and War Studies</t>
  </si>
  <si>
    <t xml:space="preserve">_x000D_
136000_x000D_
</t>
  </si>
  <si>
    <t>2025-8507</t>
  </si>
  <si>
    <t>Nicholas Hunter Cato</t>
  </si>
  <si>
    <t>24807591@sun.ac.za</t>
  </si>
  <si>
    <t>Performance modelling of axial drive and power turbines for super critical carbon dioxide</t>
  </si>
  <si>
    <t xml:space="preserve">_x000D_
186632_x000D_
</t>
  </si>
  <si>
    <t>2025-8519</t>
  </si>
  <si>
    <t>Tricia Nhlapho</t>
  </si>
  <si>
    <t>Triciaanhlapho@gmail.com</t>
  </si>
  <si>
    <t>Towards enhancing culturability of mycobacterium tuberculosis in exhaled breath condensate samples using culture filtrate supplementation</t>
  </si>
  <si>
    <t xml:space="preserve">_x000D_
117100_x000D_
</t>
  </si>
  <si>
    <t xml:space="preserve">_x000D_
214900_x000D_
</t>
  </si>
  <si>
    <t>2025-8530</t>
  </si>
  <si>
    <t>Hlayisani Makhubele</t>
  </si>
  <si>
    <t>hngobeni@yahoo.com</t>
  </si>
  <si>
    <t>Assessing the Current State of Urban Resilience in Durban’s Informal Settlements: An Application of the CityRAP Methodology for Disaster Risk Reduction and Sustainable Development</t>
  </si>
  <si>
    <t xml:space="preserve">_x000D_
179000_x000D_
</t>
  </si>
  <si>
    <t xml:space="preserve">_x000D_
182000_x000D_
</t>
  </si>
  <si>
    <t>2025-8535</t>
  </si>
  <si>
    <t>LEHLONONO NKEJANE</t>
  </si>
  <si>
    <t>luckylehlonono061@gmail.com</t>
  </si>
  <si>
    <t>Machine learning and Artificial intelligence</t>
  </si>
  <si>
    <t xml:space="preserve">_x000D_
162000_x000D_
</t>
  </si>
  <si>
    <t>2025-8549</t>
  </si>
  <si>
    <t>Asanda Mdutyana</t>
  </si>
  <si>
    <t>asandamdutyana01@gmail.com</t>
  </si>
  <si>
    <t>Exploring how financial constraints of Bottom of Pyramid consumers affect their experiences, opinions and attitudes.s</t>
  </si>
  <si>
    <t xml:space="preserve">_x000D_
369000_x000D_
</t>
  </si>
  <si>
    <t>2025-8554</t>
  </si>
  <si>
    <t>Kgomotso Masala</t>
  </si>
  <si>
    <t>Masala.kgomotso@gmail.com</t>
  </si>
  <si>
    <t>Upgrading of coal fines using reflux classifire</t>
  </si>
  <si>
    <t xml:space="preserve">_x000D_
101500_x000D_
</t>
  </si>
  <si>
    <t>2025-8575</t>
  </si>
  <si>
    <t>Wanga Ngwane</t>
  </si>
  <si>
    <t>wangangwane@gmail.com</t>
  </si>
  <si>
    <t>Institute for Advanced Architecture of Catalonia (IAAC)</t>
  </si>
  <si>
    <t>Circular Design and Sustainability</t>
  </si>
  <si>
    <t xml:space="preserve">_x000D_
251915.63_x000D_
</t>
  </si>
  <si>
    <t>2025-8589</t>
  </si>
  <si>
    <t>Ruhini Starlson</t>
  </si>
  <si>
    <t>ruhini.naik@gmail.com</t>
  </si>
  <si>
    <t>Exploring rituals within Hinduism and African Indigenous Traditions as a decolonizing too to pave the way for an inclusive South African Education system.</t>
  </si>
  <si>
    <t xml:space="preserve">_x000D_
21544_x000D_
</t>
  </si>
  <si>
    <t>2025-8600</t>
  </si>
  <si>
    <t>Mziwakhe Mgwenya</t>
  </si>
  <si>
    <t>Mgwenyamziwakhe@gmail.com</t>
  </si>
  <si>
    <t>UNIVERSITY OF SOUTH AFRICA</t>
  </si>
  <si>
    <t>HUMAN RIGHTS AND CONSTITUTIONAL</t>
  </si>
  <si>
    <t xml:space="preserve">_x000D_
35000_x000D_
</t>
  </si>
  <si>
    <t>2025-8605</t>
  </si>
  <si>
    <t>The Genomic Epidemiology of Klebsiella Pneumoniae in the Neonatal Intensive Care Unit</t>
  </si>
  <si>
    <t xml:space="preserve">_x000D_
190850_x000D_
</t>
  </si>
  <si>
    <t>2025-8645</t>
  </si>
  <si>
    <t>Thabisa Naledi Sithole</t>
  </si>
  <si>
    <t>thabisa.sithole9@gmail.com</t>
  </si>
  <si>
    <t>Henley Business School</t>
  </si>
  <si>
    <t>Brand Strategy with a focus on AI</t>
  </si>
  <si>
    <t xml:space="preserve">_x000D_
273000_x000D_
</t>
  </si>
  <si>
    <t>2025-8652</t>
  </si>
  <si>
    <t>Eustace Bugase</t>
  </si>
  <si>
    <t>eustacebugase@yahoo.com</t>
  </si>
  <si>
    <t>Promoting Maternal and Newborn Health Among Migrant Women and Children in Ghana: Addressing Access Barriers and Health Inequities</t>
  </si>
  <si>
    <t xml:space="preserve">_x000D_
358890_x000D_
</t>
  </si>
  <si>
    <t xml:space="preserve">_x000D_
353890_x000D_
</t>
  </si>
  <si>
    <t>2025-8654</t>
  </si>
  <si>
    <t>Nokulunga Dlamini</t>
  </si>
  <si>
    <t>Linetdlamini8@gmail.com</t>
  </si>
  <si>
    <t>Green Energy Transition and the implications for Electricity Provisioning in Local Government: A comparative analysis of Maluti-a-phofung and The Swartland Municipalities</t>
  </si>
  <si>
    <t xml:space="preserve">_x000D_
127400_x000D_
</t>
  </si>
  <si>
    <t>2025-8658</t>
  </si>
  <si>
    <t>Musa Bizani</t>
  </si>
  <si>
    <t>bizanimusa@gmail.com</t>
  </si>
  <si>
    <t>University of Turin (ITCILO)</t>
  </si>
  <si>
    <t>International Trade Law</t>
  </si>
  <si>
    <t xml:space="preserve">_x000D_
283075_x000D_
</t>
  </si>
  <si>
    <t>Complete, No degree copy</t>
  </si>
  <si>
    <t>Complete, no degree copy, 1o/s ref</t>
  </si>
  <si>
    <t>Complete, 1o/s ref</t>
  </si>
  <si>
    <t>Complete,1o/s ref</t>
  </si>
  <si>
    <t>Incomplete</t>
  </si>
  <si>
    <t>2025-8201</t>
  </si>
  <si>
    <t>2025-8272</t>
  </si>
  <si>
    <t>2025-8308</t>
  </si>
  <si>
    <t>2025-8324</t>
  </si>
  <si>
    <t>2025-8341</t>
  </si>
  <si>
    <t>2025-8411</t>
  </si>
  <si>
    <t>2025-8431</t>
  </si>
  <si>
    <t>2025-8445</t>
  </si>
  <si>
    <t>2025-8503</t>
  </si>
  <si>
    <t>2025-8590</t>
  </si>
  <si>
    <t>2025-8679</t>
  </si>
  <si>
    <t>2025-8695</t>
  </si>
  <si>
    <t>2025-8699</t>
  </si>
  <si>
    <t>2025-8706</t>
  </si>
  <si>
    <t>2025-8721</t>
  </si>
  <si>
    <t>2025-8722</t>
  </si>
  <si>
    <t>2025-8749</t>
  </si>
  <si>
    <t>2025-8758</t>
  </si>
  <si>
    <t>2025-8783</t>
  </si>
  <si>
    <t>2025-8803</t>
  </si>
  <si>
    <t>2025-8804</t>
  </si>
  <si>
    <t>2025-8809</t>
  </si>
  <si>
    <t>2025-8825</t>
  </si>
  <si>
    <t>2025-8843</t>
  </si>
  <si>
    <t>2025-8849</t>
  </si>
  <si>
    <t>2025-8853</t>
  </si>
  <si>
    <t>2025-8855</t>
  </si>
  <si>
    <t>2025-8856</t>
  </si>
  <si>
    <t>2025-8860</t>
  </si>
  <si>
    <t>2025-8865</t>
  </si>
  <si>
    <t>2025-8866</t>
  </si>
  <si>
    <t>2025-8871</t>
  </si>
  <si>
    <t>2025-8892</t>
  </si>
  <si>
    <t>2025-8893</t>
  </si>
  <si>
    <t>2025-8920</t>
  </si>
  <si>
    <t>2025-8926</t>
  </si>
  <si>
    <t>2025-8928</t>
  </si>
  <si>
    <t>2025-8931</t>
  </si>
  <si>
    <t>2025-8941</t>
  </si>
  <si>
    <t>2025-8962</t>
  </si>
  <si>
    <t>2025-8971</t>
  </si>
  <si>
    <t>2025-8980</t>
  </si>
  <si>
    <t>2025-8994</t>
  </si>
  <si>
    <t>2025-8996</t>
  </si>
  <si>
    <t>2025-9002</t>
  </si>
  <si>
    <t>2025-9014</t>
  </si>
  <si>
    <t>2025-9020</t>
  </si>
  <si>
    <t>2025-9029</t>
  </si>
  <si>
    <t>2025-9031</t>
  </si>
  <si>
    <t>2025-9035</t>
  </si>
  <si>
    <t>2025-9039</t>
  </si>
  <si>
    <t>2025-9042</t>
  </si>
  <si>
    <t>2025-9062</t>
  </si>
  <si>
    <t>2025-9064</t>
  </si>
  <si>
    <t>2025-9076</t>
  </si>
  <si>
    <t>2025-9078</t>
  </si>
  <si>
    <t>2025-9083</t>
  </si>
  <si>
    <t>2025-9108</t>
  </si>
  <si>
    <t>Samira Gholizadeh</t>
  </si>
  <si>
    <t>ghlsam002@myuct.ac.za</t>
  </si>
  <si>
    <t>Thobile Ndlovu</t>
  </si>
  <si>
    <t>thobzido2@gmail.com</t>
  </si>
  <si>
    <t>Babatunde Opesemowo</t>
  </si>
  <si>
    <t>tunexlevel8@gmail.com</t>
  </si>
  <si>
    <t>Caitlin Hoffman</t>
  </si>
  <si>
    <t>26137305@sun.ac.za</t>
  </si>
  <si>
    <t>Gugulethu Khumalo</t>
  </si>
  <si>
    <t>g.p.khumalo@qmul.ac.uk</t>
  </si>
  <si>
    <t>SOPHIA CHAGWANDA</t>
  </si>
  <si>
    <t>sophiachagwanda@gmail.com</t>
  </si>
  <si>
    <t>Siyanda Mntambo</t>
  </si>
  <si>
    <t>syandamntambo88@gmail.com</t>
  </si>
  <si>
    <t>S'phamandla Msomi</t>
  </si>
  <si>
    <t>21955453@dut4life.ac.za</t>
  </si>
  <si>
    <t>Mahali Augustina Makhetha</t>
  </si>
  <si>
    <t>hlajoanemahali@yahoo.com</t>
  </si>
  <si>
    <t>Tatum Naidoo</t>
  </si>
  <si>
    <t>Naidoo.tatum@gmail.com</t>
  </si>
  <si>
    <t>Afika Dukada</t>
  </si>
  <si>
    <t>afikadukada50@gmail.com</t>
  </si>
  <si>
    <t>Samantha Brink</t>
  </si>
  <si>
    <t>samantha.rogers072@gmail.com</t>
  </si>
  <si>
    <t>Bongeka Gabela</t>
  </si>
  <si>
    <t>mamkhondo03@gmail.com</t>
  </si>
  <si>
    <t>Gerhard Franco Ruiters</t>
  </si>
  <si>
    <t>gfruiters@gmail.com</t>
  </si>
  <si>
    <t>NAKEDI RUDWAL MANAKA</t>
  </si>
  <si>
    <t>nakedimanaka@gmail.com</t>
  </si>
  <si>
    <t>Leo Boonzaier</t>
  </si>
  <si>
    <t>leoboon@gmail.com</t>
  </si>
  <si>
    <t>Lucky Mawasha</t>
  </si>
  <si>
    <t>696831@students.wits.ac.za</t>
  </si>
  <si>
    <t>Diimakatso Sarah Ngeyi</t>
  </si>
  <si>
    <t>dimakatsosarah.ngeyi@standardbank.co.za</t>
  </si>
  <si>
    <t>Feziwe Shongwe</t>
  </si>
  <si>
    <t>2135313@students.wits.ac.za</t>
  </si>
  <si>
    <t>Indrani Nair</t>
  </si>
  <si>
    <t>indrani.nair@gmail.com</t>
  </si>
  <si>
    <t>Jared Calaca</t>
  </si>
  <si>
    <t>2368319@students.wits.ac.za</t>
  </si>
  <si>
    <t>Bonginkosi Thango</t>
  </si>
  <si>
    <t>3058047@students.wits.ac.za</t>
  </si>
  <si>
    <t>Lukhanyo Mtshingana</t>
  </si>
  <si>
    <t>lukhanyomtshingana@gmail.com</t>
  </si>
  <si>
    <t>Mashadi Lebogo</t>
  </si>
  <si>
    <t>mashadilebogo@yahoo.com</t>
  </si>
  <si>
    <t>Sthembile Thabani Mbuyane</t>
  </si>
  <si>
    <t>sthembilethabani8@gmail.com</t>
  </si>
  <si>
    <t>Buhle Ncube</t>
  </si>
  <si>
    <t>buhle2017p@gmail.com</t>
  </si>
  <si>
    <t>Mathew Aibinu</t>
  </si>
  <si>
    <t>moaibinu@yahoo.com</t>
  </si>
  <si>
    <t>Sphesihle Mndzebele</t>
  </si>
  <si>
    <t>1851398@students.wits.ac.za</t>
  </si>
  <si>
    <t>Michael Musengi Ndlovu</t>
  </si>
  <si>
    <t>ndlovu.michaelmusengi@gmail.com</t>
  </si>
  <si>
    <t>Siyasanga James</t>
  </si>
  <si>
    <t>siyasanga1998james@gmail.com</t>
  </si>
  <si>
    <t>dzimani managa</t>
  </si>
  <si>
    <t>managa.neani@gmail.com</t>
  </si>
  <si>
    <t>Benediter Nomakhalwa Nontenja</t>
  </si>
  <si>
    <t>907458@students.wits.ac.za</t>
  </si>
  <si>
    <t>Sophy Makoti Tlholoe</t>
  </si>
  <si>
    <t>tlaletlholoe7@gmail.com</t>
  </si>
  <si>
    <t>Silibaziso Fiona Masuku</t>
  </si>
  <si>
    <t>fiona@pheonixly.co.za</t>
  </si>
  <si>
    <t>Sabelo Zuma</t>
  </si>
  <si>
    <t>1472118@students.wits.ac.za</t>
  </si>
  <si>
    <t>Dan Kajingulu</t>
  </si>
  <si>
    <t>2220586@students.wits.ac.za</t>
  </si>
  <si>
    <t>Nicolan Stefaan Govender</t>
  </si>
  <si>
    <t>218001489@student.uj.ac.za</t>
  </si>
  <si>
    <t>Njabulo Tshabalala</t>
  </si>
  <si>
    <t>njabulotshabalala95@gmail.com</t>
  </si>
  <si>
    <t>Lungisani Khumalo</t>
  </si>
  <si>
    <t>lungisanin06@gmail.com</t>
  </si>
  <si>
    <t>Ethel Maliti</t>
  </si>
  <si>
    <t>Emaliti35@gmail.com</t>
  </si>
  <si>
    <t>Adila Ally</t>
  </si>
  <si>
    <t>adilaally@gmail.com</t>
  </si>
  <si>
    <t>Kgoeloefelo Mbungela</t>
  </si>
  <si>
    <t>sharonmbungela@gmail.com</t>
  </si>
  <si>
    <t>Tanya Magaisa</t>
  </si>
  <si>
    <t>tanyatmagaisa@gmail.com</t>
  </si>
  <si>
    <t>Buren Moodley</t>
  </si>
  <si>
    <t>21607117@sun.ac.za</t>
  </si>
  <si>
    <t>Mahlatse Mpobane</t>
  </si>
  <si>
    <t>2502884@students.wits.ac.za</t>
  </si>
  <si>
    <t>Montasha Batjes</t>
  </si>
  <si>
    <t>batjesmontasha@gmail.com</t>
  </si>
  <si>
    <t>Thandokuhle Ngqamba</t>
  </si>
  <si>
    <t>ngqambathando@gmail.com</t>
  </si>
  <si>
    <t>Tlou Segodi</t>
  </si>
  <si>
    <t>tlousegodi5@gmail.com</t>
  </si>
  <si>
    <t>Hayley Budge</t>
  </si>
  <si>
    <t>hayley@budgeonline.com</t>
  </si>
  <si>
    <t>Sydney Lethukuthula</t>
  </si>
  <si>
    <t>Sydneysambo6@gmail.com</t>
  </si>
  <si>
    <t>Frieda Nalitaandele Amwaalwa-Baffloe</t>
  </si>
  <si>
    <t>famwaalwa@gmail.com</t>
  </si>
  <si>
    <t>William Day</t>
  </si>
  <si>
    <t>william.day.za@gmail.com</t>
  </si>
  <si>
    <t>Shaydine Bosman</t>
  </si>
  <si>
    <t>2922389@students.wits.ac.za</t>
  </si>
  <si>
    <t>Mia Jorgensen</t>
  </si>
  <si>
    <t>25903632@sun.ac.za</t>
  </si>
  <si>
    <t>Hlengiwe Maswanganyi</t>
  </si>
  <si>
    <t>hgmaswanganyi1@gmail.com</t>
  </si>
  <si>
    <t>Asanele Lamba</t>
  </si>
  <si>
    <t>asanelelamba67@gmail.com</t>
  </si>
  <si>
    <t>Firidaus Precious Mononyane</t>
  </si>
  <si>
    <t>www.firidausmononyane@gmail.com</t>
  </si>
  <si>
    <t>Divinia Malatji</t>
  </si>
  <si>
    <t>3055342@students.wits.ac.za</t>
  </si>
  <si>
    <t>Complete, incomplete budget</t>
  </si>
  <si>
    <t>2025-9287</t>
  </si>
  <si>
    <t>2025-9400</t>
  </si>
  <si>
    <t>2025-9431</t>
  </si>
  <si>
    <t>2025-9428</t>
  </si>
  <si>
    <t>2025-9427</t>
  </si>
  <si>
    <t>2025-8746</t>
  </si>
  <si>
    <t>2025-9372</t>
  </si>
  <si>
    <t>2025-9417</t>
  </si>
  <si>
    <t>2025-8902</t>
  </si>
  <si>
    <t>2025-9230</t>
  </si>
  <si>
    <t>2025-9258</t>
  </si>
  <si>
    <t>2025-8265</t>
  </si>
  <si>
    <t>2025-9406</t>
  </si>
  <si>
    <t>2025-9381</t>
  </si>
  <si>
    <t>2025-9387</t>
  </si>
  <si>
    <t>2025-9383</t>
  </si>
  <si>
    <t>2025-9180</t>
  </si>
  <si>
    <t>2025-9313</t>
  </si>
  <si>
    <t>2025-9044</t>
  </si>
  <si>
    <t>2025-8640</t>
  </si>
  <si>
    <t>2025-9023</t>
  </si>
  <si>
    <t>2025-9375</t>
  </si>
  <si>
    <t>2025-9065</t>
  </si>
  <si>
    <t>2025-8754</t>
  </si>
  <si>
    <t>2025-9360</t>
  </si>
  <si>
    <t>2025-8961</t>
  </si>
  <si>
    <t>2025-9321</t>
  </si>
  <si>
    <t>2025-8561</t>
  </si>
  <si>
    <t>2025-8264</t>
  </si>
  <si>
    <t>2025-8477</t>
  </si>
  <si>
    <t>2025-9320</t>
  </si>
  <si>
    <t>2025-9215</t>
  </si>
  <si>
    <t>2025-8310</t>
  </si>
  <si>
    <t>2025-8801</t>
  </si>
  <si>
    <t>2025-9298</t>
  </si>
  <si>
    <t>2025-8550</t>
  </si>
  <si>
    <t>2025-8271</t>
  </si>
  <si>
    <t>2025-9291</t>
  </si>
  <si>
    <t>2025-9244</t>
  </si>
  <si>
    <t>2025-8935</t>
  </si>
  <si>
    <t>2025-9241</t>
  </si>
  <si>
    <t>2025-8806</t>
  </si>
  <si>
    <t>2025-9268</t>
  </si>
  <si>
    <t>2025-9269</t>
  </si>
  <si>
    <t>2025-9255</t>
  </si>
  <si>
    <t>2025-9191</t>
  </si>
  <si>
    <t>2025-9003</t>
  </si>
  <si>
    <t>2025-9219</t>
  </si>
  <si>
    <t>2025-9034</t>
  </si>
  <si>
    <t>2025-9214</t>
  </si>
  <si>
    <t>2025-8527</t>
  </si>
  <si>
    <t>2025-8641</t>
  </si>
  <si>
    <t>2025-8367</t>
  </si>
  <si>
    <t>2025-8969</t>
  </si>
  <si>
    <t>2025-9060</t>
  </si>
  <si>
    <t>2025-8711</t>
  </si>
  <si>
    <t>2025-8744</t>
  </si>
  <si>
    <t>2025-9089</t>
  </si>
  <si>
    <t>2025-9153</t>
  </si>
  <si>
    <t>2025-9021</t>
  </si>
  <si>
    <t>2025-9150</t>
  </si>
  <si>
    <t>2025-8734</t>
  </si>
  <si>
    <t>2025-9144</t>
  </si>
  <si>
    <t>2025-8702</t>
  </si>
  <si>
    <t>Hendrik Baird</t>
  </si>
  <si>
    <t>hendrik@baird.media</t>
  </si>
  <si>
    <t>ABEL KITINDIO MUTAMBU</t>
  </si>
  <si>
    <t>abelmutambu@gmail.com</t>
  </si>
  <si>
    <t>TARISAI MUDZANI</t>
  </si>
  <si>
    <t>tmudzani@gmail.com</t>
  </si>
  <si>
    <t>Sandiso Mbulawa</t>
  </si>
  <si>
    <t>sandismbulawa50@gmail.com</t>
  </si>
  <si>
    <t>Boipelo Motone</t>
  </si>
  <si>
    <t>202003079@spu.ac.za</t>
  </si>
  <si>
    <t>Welcome Lihle Chavango</t>
  </si>
  <si>
    <t>wl.chavango@gmail.com</t>
  </si>
  <si>
    <t>NONKAZIMULO PHETHA</t>
  </si>
  <si>
    <t>nonkangidi34@gmail.com</t>
  </si>
  <si>
    <t>Lutho Makhofola</t>
  </si>
  <si>
    <t>luthomakhofola@gmail.com</t>
  </si>
  <si>
    <t>Eddie Mofokeng</t>
  </si>
  <si>
    <t>mofokengeddie91@gmail.com</t>
  </si>
  <si>
    <t>Esmerelda Williams</t>
  </si>
  <si>
    <t>ebwilliams916@gmail.com</t>
  </si>
  <si>
    <t>Refiloe Kente</t>
  </si>
  <si>
    <t>karenkente3@gmail.com</t>
  </si>
  <si>
    <t>Miaze Maboshe Lupinda</t>
  </si>
  <si>
    <t>miazemaboshe@gmail.com</t>
  </si>
  <si>
    <t>Ngwanase Tembe</t>
  </si>
  <si>
    <t>phakamanitembe996@yahoo.com</t>
  </si>
  <si>
    <t>Nicholas Onkoba</t>
  </si>
  <si>
    <t>ososinick1985@gmail.com</t>
  </si>
  <si>
    <t>Clement Sichangi sichangi</t>
  </si>
  <si>
    <t>26579154@mylife.unisa.ac.za</t>
  </si>
  <si>
    <t>Semola kabelo Mojapelo</t>
  </si>
  <si>
    <t>Semola.770@gmail.com</t>
  </si>
  <si>
    <t>Dorcas Khumalo</t>
  </si>
  <si>
    <t>Dorcaskhumalon@gmail.com</t>
  </si>
  <si>
    <t>Naftal Nyakundi</t>
  </si>
  <si>
    <t>nyakundinaftali1986@gmail.com</t>
  </si>
  <si>
    <t>Asanda Mbengo</t>
  </si>
  <si>
    <t>asandambengo@yahoo.com</t>
  </si>
  <si>
    <t>George Nyamboga</t>
  </si>
  <si>
    <t>nyamboga.nyanarogeorge@gmail.com</t>
  </si>
  <si>
    <t>Tebalelo Lehlaleroa</t>
  </si>
  <si>
    <t>tebalelolehlaleroa@gmail.com</t>
  </si>
  <si>
    <t>Simangele  Mchunu</t>
  </si>
  <si>
    <t>simangelenomcebo@gmail.com</t>
  </si>
  <si>
    <t>Sandile Mkhize</t>
  </si>
  <si>
    <t>0703594t@students.wits.ac.za</t>
  </si>
  <si>
    <t>Yonela Mlambo</t>
  </si>
  <si>
    <t>mlmyon001@myuct.ac.za</t>
  </si>
  <si>
    <t>Gavin Krastin</t>
  </si>
  <si>
    <t>gavinkrastin@gmail.com</t>
  </si>
  <si>
    <t>Batseba Moloto</t>
  </si>
  <si>
    <t>molotobpa@gmail.com</t>
  </si>
  <si>
    <t>Claude Mbonigaba</t>
  </si>
  <si>
    <t>mbonigabaclaude@gmail.com</t>
  </si>
  <si>
    <t>Mishka Reddy</t>
  </si>
  <si>
    <t>Mishkareddy@gmail.com</t>
  </si>
  <si>
    <t>Nontsikelelo Tshegofatso Ngixi</t>
  </si>
  <si>
    <t>Tshegofatso.ngixi@icloud.com</t>
  </si>
  <si>
    <t>Thabiso Mlambo</t>
  </si>
  <si>
    <t>bigjartwork2@gmail.com</t>
  </si>
  <si>
    <t>Sanele Donald Dlamini</t>
  </si>
  <si>
    <t>saneleddlamini@gmail.com</t>
  </si>
  <si>
    <t>Erin Domingo</t>
  </si>
  <si>
    <t>erindomingo0705@gmail.com</t>
  </si>
  <si>
    <t>Thulisile Tassia Mashabela</t>
  </si>
  <si>
    <t>thulisilemashabela42@gmail.com</t>
  </si>
  <si>
    <t>Frema Osei-Annor</t>
  </si>
  <si>
    <t>3058333@students.wits.ac.za</t>
  </si>
  <si>
    <t>Iqbal Ceza</t>
  </si>
  <si>
    <t>222016794@stu.ukzn.ac.za</t>
  </si>
  <si>
    <t>Emma Daitz</t>
  </si>
  <si>
    <t>Emma.frieda.daitz@gmail.com</t>
  </si>
  <si>
    <t>Hlengiwe Zwane</t>
  </si>
  <si>
    <t>Mazwanepostgradstudies@gmail.com</t>
  </si>
  <si>
    <t>Shonisani Musetha</t>
  </si>
  <si>
    <t>Shonisani.Musetha@echealth.gov.za</t>
  </si>
  <si>
    <t>Nobesuthu Adelaide Ngwenya</t>
  </si>
  <si>
    <t>nobesuthu91@gmail.com</t>
  </si>
  <si>
    <t>Ndivhuwo Pearl Murunzi</t>
  </si>
  <si>
    <t>Murunzindivhuwo@gmail.com</t>
  </si>
  <si>
    <t>Christen Rao</t>
  </si>
  <si>
    <t>christenrao7@gmail.com</t>
  </si>
  <si>
    <t>Ammaarah Maal</t>
  </si>
  <si>
    <t>amymaal18@gmail.com</t>
  </si>
  <si>
    <t>Lungelo Ntuli</t>
  </si>
  <si>
    <t>lungelosntuli@gmail.com</t>
  </si>
  <si>
    <t>Zhane Kinnear</t>
  </si>
  <si>
    <t>zkinnear210@gmail.com</t>
  </si>
  <si>
    <t>Ntobeko David Ndimande</t>
  </si>
  <si>
    <t>ntobekodavidn1@gmail.com</t>
  </si>
  <si>
    <t>Chérien Roux</t>
  </si>
  <si>
    <t>cherienroux@gmail.com</t>
  </si>
  <si>
    <t>Siyabonga Kawana</t>
  </si>
  <si>
    <t>siyabonga.makawee@gmail.com</t>
  </si>
  <si>
    <t>Nonhlanhla Silindokuhle Nkosi</t>
  </si>
  <si>
    <t>okuhlenkosi540@gmail.com</t>
  </si>
  <si>
    <t>Yentl Gamiet</t>
  </si>
  <si>
    <t>yentl@live.co.za</t>
  </si>
  <si>
    <t>Nkululeko Ngubane</t>
  </si>
  <si>
    <t>1471556@students.wits.ac.za</t>
  </si>
  <si>
    <t>TLHOLOHELO LEHLEKISO</t>
  </si>
  <si>
    <t>tlehlekiso@gmail.com</t>
  </si>
  <si>
    <t>Ayanda Mandlazi</t>
  </si>
  <si>
    <t>ayandamandlazi@gmail.com</t>
  </si>
  <si>
    <t>Awonke Nomandondo</t>
  </si>
  <si>
    <t>nomandondo.awonke@icloud.com</t>
  </si>
  <si>
    <t>Simphiwe Hlongwa</t>
  </si>
  <si>
    <t>Simphiwehlongwa@gmail.com</t>
  </si>
  <si>
    <t>Sekai Joy Chengetanai Gochera</t>
  </si>
  <si>
    <t>sekaijcgochera@gmail.com</t>
  </si>
  <si>
    <t>Nyavanhu Mapendere</t>
  </si>
  <si>
    <t>npendera@gmail.com</t>
  </si>
  <si>
    <t>Kabelo Peter Mbuyisa</t>
  </si>
  <si>
    <t>petermbuyisa3@gmail.com</t>
  </si>
  <si>
    <t>Emmanuella Owusu</t>
  </si>
  <si>
    <t>emmaaaantwi@gmail.com</t>
  </si>
  <si>
    <t>Vusani Munzhedzi</t>
  </si>
  <si>
    <t>prettyvusani@gmail.com</t>
  </si>
  <si>
    <t>Tokollo Molapo</t>
  </si>
  <si>
    <t>thibosehappy@gmail.com</t>
  </si>
  <si>
    <t>ITUMELENG CHAKANE</t>
  </si>
  <si>
    <t>itumelengchakane5@gmail.com</t>
  </si>
  <si>
    <t>Leona Claasen</t>
  </si>
  <si>
    <t>3332962@myuwc.ac.za</t>
  </si>
  <si>
    <t>kabelo moroko kabelo moroko</t>
  </si>
  <si>
    <t>kabelo.moroko@wits.ac.za</t>
  </si>
  <si>
    <t>Akanyang Marogoa</t>
  </si>
  <si>
    <t>akanyang.marogoa10@gmail.com</t>
  </si>
  <si>
    <t>Sabbatical</t>
  </si>
  <si>
    <t>University of Cape Town (UCT)</t>
  </si>
  <si>
    <t>AI in Materials Science</t>
  </si>
  <si>
    <t xml:space="preserve">_x000D_
502800_x000D_
</t>
  </si>
  <si>
    <t xml:space="preserve">_x000D_
521100_x000D_
</t>
  </si>
  <si>
    <t xml:space="preserve">_x000D_
0_x000D_
</t>
  </si>
  <si>
    <t>Stellenbosch university</t>
  </si>
  <si>
    <t>Advances in pharmacodynamics</t>
  </si>
  <si>
    <t xml:space="preserve">_x000D_
111602_x000D_
</t>
  </si>
  <si>
    <t xml:space="preserve">_x000D_
95404_x000D_
</t>
  </si>
  <si>
    <t>Application of Artificial Intelligence in Robotic Chemistry</t>
  </si>
  <si>
    <t xml:space="preserve">_x000D_
54333_x000D_
</t>
  </si>
  <si>
    <t xml:space="preserve">_x000D_
57640_x000D_
</t>
  </si>
  <si>
    <t xml:space="preserve">_x000D_
64240_x000D_
</t>
  </si>
  <si>
    <t>Yeast Biotechnology</t>
  </si>
  <si>
    <t xml:space="preserve">_x000D_
146500_x000D_
</t>
  </si>
  <si>
    <t>Queen Mary University of London</t>
  </si>
  <si>
    <t>AI ADOPTION IN INVESTMENT DECISION-MAKING.</t>
  </si>
  <si>
    <t xml:space="preserve">_x000D_
109068_x000D_
</t>
  </si>
  <si>
    <t xml:space="preserve">_x000D_
144800_x000D_
</t>
  </si>
  <si>
    <t>Influence of catfish and tilapia effluent on the Agro-morphological and nutrient evaluation of groundnut infested with groundnut leaf miner</t>
  </si>
  <si>
    <t xml:space="preserve">_x000D_
58500_x000D_
</t>
  </si>
  <si>
    <t xml:space="preserve">_x000D_
75000_x000D_
</t>
  </si>
  <si>
    <t>Characterization of Class I lanthipeptides from Gram-negative marine invertebrate endosymbionts</t>
  </si>
  <si>
    <t xml:space="preserve">_x000D_
200000_x000D_
</t>
  </si>
  <si>
    <t>The outcomes of financial support to education on subjective well-being and labour market success – A focus on the post-school education in South Africa</t>
  </si>
  <si>
    <t xml:space="preserve">_x000D_
262316_x000D_
</t>
  </si>
  <si>
    <t xml:space="preserve">_x000D_
277516_x000D_
</t>
  </si>
  <si>
    <t xml:space="preserve">_x000D_
290812_x000D_
</t>
  </si>
  <si>
    <t>Analysing the biomechanical mechanisms underlying concussions and shoulder injuries during legal rugby union play.</t>
  </si>
  <si>
    <t xml:space="preserve">_x000D_
297500_x000D_
</t>
  </si>
  <si>
    <t>Finance</t>
  </si>
  <si>
    <t xml:space="preserve">_x000D_
110554_x000D_
</t>
  </si>
  <si>
    <t xml:space="preserve">_x000D_
110768_x000D_
</t>
  </si>
  <si>
    <t>University of Edinburgh</t>
  </si>
  <si>
    <t>Digital Education</t>
  </si>
  <si>
    <t xml:space="preserve">_x000D_
1_x000D_
</t>
  </si>
  <si>
    <t>Enhancing Service Delivery and Socio-economic Empowerment in Maluti-A-Phofung Local Municipality through Innovative Local Entrepreneurship</t>
  </si>
  <si>
    <t xml:space="preserve">_x000D_
128800_x000D_
</t>
  </si>
  <si>
    <t>Regent Business School</t>
  </si>
  <si>
    <t>Public Sector Management</t>
  </si>
  <si>
    <t xml:space="preserve">_x000D_
48850_x000D_
</t>
  </si>
  <si>
    <t xml:space="preserve">_x000D_
41850_x000D_
</t>
  </si>
  <si>
    <t>sefako makgato university</t>
  </si>
  <si>
    <t>NUTRITIONAL KNOWLEDGE OF CAREGIVERS IN CHILDREN 2-5 YEARS OF AGE IN Thabazimbi Limpopo</t>
  </si>
  <si>
    <t xml:space="preserve">_x000D_
79470_x000D_
</t>
  </si>
  <si>
    <t>Max Planck Institute for Comparative and International Private Law</t>
  </si>
  <si>
    <t>Delict; legal reasoning; comparative private law.</t>
  </si>
  <si>
    <t xml:space="preserve">_x000D_
216890.38_x000D_
</t>
  </si>
  <si>
    <t>A SOCIOCULTURAL HEALTH PROMOTION MESSAGES MODEL FOR BLACK MEN WITH PROSTATE CANCER IN LIMPOPO</t>
  </si>
  <si>
    <t xml:space="preserve">_x000D_
391431_x000D_
</t>
  </si>
  <si>
    <t xml:space="preserve">_x000D_
151300_x000D_
</t>
  </si>
  <si>
    <t>Fintech Disruption in Financial Services</t>
  </si>
  <si>
    <t xml:space="preserve">_x000D_
90700_x000D_
</t>
  </si>
  <si>
    <t>university of the Witwatersrand</t>
  </si>
  <si>
    <t>Enhancing Smallholder Farming in Africa through Cloud-based Deep Learning Models</t>
  </si>
  <si>
    <t>Bullying within the SA School Environment</t>
  </si>
  <si>
    <t xml:space="preserve">_x000D_
10073_x000D_
</t>
  </si>
  <si>
    <t>Aquatic Ecotoxicology</t>
  </si>
  <si>
    <t>A Decision Support Framework for Solar PV System Selection in SMMEs: A Multi-Objective Optimization Approach Using MOORA</t>
  </si>
  <si>
    <t xml:space="preserve">_x000D_
45000_x000D_
</t>
  </si>
  <si>
    <t>University of South Africa (UNISA)</t>
  </si>
  <si>
    <t>Topic: Impact of COVID-19 Pandemic on Sovereign Debt in BRICS Countries</t>
  </si>
  <si>
    <t xml:space="preserve">_x000D_
34000_x000D_
</t>
  </si>
  <si>
    <t xml:space="preserve">_x000D_
32000_x000D_
</t>
  </si>
  <si>
    <t>Perceptions and attitudes of un-booked pregnant women at a public hospital in Gauteng</t>
  </si>
  <si>
    <t xml:space="preserve">_x000D_
30_x000D_
</t>
  </si>
  <si>
    <t>Agroecological School Feeding programmes and their long-term impact on child health,  academic performance, and community resilience in South Africa</t>
  </si>
  <si>
    <t xml:space="preserve">_x000D_
340000_x000D_
</t>
  </si>
  <si>
    <t>Economic Growth Models and Analysis in the Context of Fractional Calculus”</t>
  </si>
  <si>
    <t xml:space="preserve">_x000D_
350000_x000D_
</t>
  </si>
  <si>
    <t>Engineering</t>
  </si>
  <si>
    <t xml:space="preserve">_x000D_
86000_x000D_
</t>
  </si>
  <si>
    <t>University of Pretoria</t>
  </si>
  <si>
    <t>Rule of Law</t>
  </si>
  <si>
    <t xml:space="preserve">_x000D_
29355_x000D_
</t>
  </si>
  <si>
    <t>Witwatersrand</t>
  </si>
  <si>
    <t>An investigation into the Influence of Information and Communication Technology (ICT) Resources on Integrating ICT during Teaching and Learning in South African Rural Schools.</t>
  </si>
  <si>
    <t xml:space="preserve">_x000D_
70000_x000D_
</t>
  </si>
  <si>
    <t>Understanding Organisational Cultural Conflicts in Cyber Risk Assessment within Fintech: Regional Finetech Case Study</t>
  </si>
  <si>
    <t xml:space="preserve">_x000D_
24600_x000D_
</t>
  </si>
  <si>
    <t>How prepared are the graduates teachers in dealing with learners with reading difficulties</t>
  </si>
  <si>
    <t>Graduate School of Business at the University of Cape Town</t>
  </si>
  <si>
    <t xml:space="preserve">_x000D_
315570_x000D_
</t>
  </si>
  <si>
    <t>Impact of Various Leadership Styles on teacher well-being</t>
  </si>
  <si>
    <t xml:space="preserve">_x000D_
181000_x000D_
</t>
  </si>
  <si>
    <t>high-speed breakdown and recovery in switchgear for SF6 alternatives</t>
  </si>
  <si>
    <t xml:space="preserve">_x000D_
117220.8_x000D_
</t>
  </si>
  <si>
    <t>Diversity, equity, and inclusion in public South African Educational Management</t>
  </si>
  <si>
    <t>Investigating the influence of humanoid service robots on brand preservation: a case of Pinot Noir</t>
  </si>
  <si>
    <t xml:space="preserve">_x000D_
32939_x000D_
</t>
  </si>
  <si>
    <t>The demographic, phenotypic and genomic status of the South African Shorthorn beef breed</t>
  </si>
  <si>
    <t xml:space="preserve">_x000D_
145000_x000D_
</t>
  </si>
  <si>
    <t>The university of Witswatersrand</t>
  </si>
  <si>
    <t>The influence of school climate on primary school learners emotional wellbeing</t>
  </si>
  <si>
    <t xml:space="preserve">_x000D_
75730_x000D_
</t>
  </si>
  <si>
    <t>Education</t>
  </si>
  <si>
    <t>Public policy</t>
  </si>
  <si>
    <t xml:space="preserve">_x000D_
-13210_x000D_
</t>
  </si>
  <si>
    <t>University of Pretoria and Wits</t>
  </si>
  <si>
    <t>Competition Law</t>
  </si>
  <si>
    <t xml:space="preserve">_x000D_
100750_x000D_
</t>
  </si>
  <si>
    <t>Bioprocess development for the production of alginate lyase via heterologous expression</t>
  </si>
  <si>
    <t xml:space="preserve">_x000D_
151885_x000D_
</t>
  </si>
  <si>
    <t>Wits Business School</t>
  </si>
  <si>
    <t>The Importance of Digital Technology in Building Successful Video Streaming Platforms</t>
  </si>
  <si>
    <t xml:space="preserve">_x000D_
102173_x000D_
</t>
  </si>
  <si>
    <t>Visual support and linguistic components</t>
  </si>
  <si>
    <t xml:space="preserve">_x000D_
23900_x000D_
</t>
  </si>
  <si>
    <t xml:space="preserve">_x000D_
36100_x000D_
</t>
  </si>
  <si>
    <t>Financial Tehcnology</t>
  </si>
  <si>
    <t xml:space="preserve">_x000D_
92770_x000D_
</t>
  </si>
  <si>
    <t>University of Johannesburg and Northwest university</t>
  </si>
  <si>
    <t>The University of Cape Town &amp; Wits University</t>
  </si>
  <si>
    <t>Genetic Counselling</t>
  </si>
  <si>
    <t xml:space="preserve">_x000D_
156000_x000D_
</t>
  </si>
  <si>
    <t>Advanced Statistical Modelling for Improving Clinical Data Analysis and Decision-Making in Drug Development</t>
  </si>
  <si>
    <t>University of Free State Bloemfontein</t>
  </si>
  <si>
    <t>Transformation impact by Development Partners towards Socio-Economic Development of National Development Plan 5 achievements</t>
  </si>
  <si>
    <t>Environmental Science: Marine geochemistry</t>
  </si>
  <si>
    <t xml:space="preserve">_x000D_
143458_x000D_
</t>
  </si>
  <si>
    <t>The Cycle of Stagnation: Understanding the repetitive content at SABC</t>
  </si>
  <si>
    <t xml:space="preserve">_x000D_
-36887.81_x000D_
</t>
  </si>
  <si>
    <t>Stellenbsoch University</t>
  </si>
  <si>
    <t>LC-MS method development and validation</t>
  </si>
  <si>
    <t xml:space="preserve">_x000D_
148404_x000D_
</t>
  </si>
  <si>
    <t xml:space="preserve">_x000D_
111246_x000D_
</t>
  </si>
  <si>
    <t>Investigating the Impact of Artificial Intelligence Applications on the Strategic Management in Local Municipality</t>
  </si>
  <si>
    <t>The Role of Microfinance Institutions in Poverty Reduction and Economic Empowerment in Post-Apartheid South Africa.</t>
  </si>
  <si>
    <t>Wildfire Probability Modeling</t>
  </si>
  <si>
    <t xml:space="preserve">_x000D_
95253.85_x000D_
</t>
  </si>
  <si>
    <t>Witwatersrand University</t>
  </si>
  <si>
    <t>Antibiotic stewardship literacy of  mothers with newborn babies</t>
  </si>
  <si>
    <t>Indie Voices in a Platform World: The Political Economy of South African Podcasters Guild Member Podcasts</t>
  </si>
  <si>
    <t xml:space="preserve">_x000D_
268240_x000D_
</t>
  </si>
  <si>
    <t xml:space="preserve">_x000D_
265764_x000D_
</t>
  </si>
  <si>
    <t>University of South Africa</t>
  </si>
  <si>
    <t>university of Witwatersrand</t>
  </si>
  <si>
    <t>: Classification of Stages of Prostate Cancer Using PET/CT Images and Hospital Notes by Machine Learning in a Low-Income Country Introduction</t>
  </si>
  <si>
    <t>Stellenbosch University, University of Johannesburg, Nelson Mandela University  and University of Free State</t>
  </si>
  <si>
    <t>Competition regulation in digital markets</t>
  </si>
  <si>
    <t>Regenesys Business school</t>
  </si>
  <si>
    <t>Public management</t>
  </si>
  <si>
    <t>International Investment Law</t>
  </si>
  <si>
    <t>Pre-service teachers experience of teaching gaseous exchange in a rural context</t>
  </si>
  <si>
    <t xml:space="preserve">_x000D_
12500_x000D_
</t>
  </si>
  <si>
    <t xml:space="preserve">_x000D_
4500_x000D_
</t>
  </si>
  <si>
    <t>Criminal Law</t>
  </si>
  <si>
    <t xml:space="preserve">_x000D_
74470_x000D_
</t>
  </si>
  <si>
    <t>Exploring the limitations of a young lyric baritone repertoire</t>
  </si>
  <si>
    <t>A Survey Of Toxicology Across South Africa</t>
  </si>
  <si>
    <t xml:space="preserve">_x000D_
206578_x000D_
</t>
  </si>
  <si>
    <t xml:space="preserve">_x000D_
196578_x000D_
</t>
  </si>
  <si>
    <t>Biomechanical effects of fatigue on jump landing in long distance runners using a 3D motion analysis</t>
  </si>
  <si>
    <t xml:space="preserve">_x000D_
135825_x000D_
</t>
  </si>
  <si>
    <t xml:space="preserve">_x000D_
120400_x000D_
</t>
  </si>
  <si>
    <t>Blended Finance Models for Empowering Women and Youth Enterprises in Sub-Saharan Africa: Bridging the Financing Gap for Inclusive Growth</t>
  </si>
  <si>
    <t xml:space="preserve">_x000D_
172368_x000D_
</t>
  </si>
  <si>
    <t xml:space="preserve">_x000D_
156586_x000D_
</t>
  </si>
  <si>
    <t>Sol Plaatjie University</t>
  </si>
  <si>
    <t>Youth Unemployment in Galeshewe Township</t>
  </si>
  <si>
    <t>Renewable Energy- Hydrogen Fuel cells</t>
  </si>
  <si>
    <t xml:space="preserve">_x000D_
380760_x000D_
</t>
  </si>
  <si>
    <t xml:space="preserve">_x000D_
390760_x000D_
</t>
  </si>
  <si>
    <t>University of south Africa</t>
  </si>
  <si>
    <t>Material science- Photoluminescence</t>
  </si>
  <si>
    <t xml:space="preserve">_x000D_
305394_x000D_
</t>
  </si>
  <si>
    <t xml:space="preserve">_x000D_
417880_x000D_
</t>
  </si>
  <si>
    <t xml:space="preserve">_x000D_
547380_x000D_
</t>
  </si>
  <si>
    <t>University of Kwazulu Natal</t>
  </si>
  <si>
    <t>Design , synthesis and potential antiviral activity against SARS-COV-2 of the functionalised amino and hydrazine benzothiazole-based pharmacopoeia compounds</t>
  </si>
  <si>
    <t>Numerical Modelling and simulation of tailing dams</t>
  </si>
  <si>
    <t xml:space="preserve">_x000D_
110061.25_x000D_
</t>
  </si>
  <si>
    <t xml:space="preserve">_x000D_
425668.75_x000D_
</t>
  </si>
  <si>
    <t xml:space="preserve">_x000D_
437076.25_x000D_
</t>
  </si>
  <si>
    <t>University of Cape Town, department of linguistics and language practice</t>
  </si>
  <si>
    <t>Linguistic sexism and gendered humour:A critical Discourse study of Kenyan stand up comedy</t>
  </si>
  <si>
    <t xml:space="preserve">_x000D_
225000_x000D_
</t>
  </si>
  <si>
    <t>How can assurance services reporting be enhanced and the audit expectation gap reduced in Eastern Cape municipalities?</t>
  </si>
  <si>
    <t xml:space="preserve">_x000D_
126905_x000D_
</t>
  </si>
  <si>
    <t xml:space="preserve">_x000D_
121864.45_x000D_
</t>
  </si>
  <si>
    <t xml:space="preserve">_x000D_
117229.47_x000D_
</t>
  </si>
  <si>
    <t>Stellenbosch</t>
  </si>
  <si>
    <t>The Role of Specialised dispute resolution mechanisms in resolving human rights infringements-particularly natural resources' conflicts-in Africa</t>
  </si>
  <si>
    <t>Neurophysiology</t>
  </si>
  <si>
    <t>University Of Kwa-Zulu Natal</t>
  </si>
  <si>
    <t>An Exploration of the Ethical Implications of Commercial Surrogacy in South Africa</t>
  </si>
  <si>
    <t>Structure based design of non-covalent, non-peptidic and orally active inhibitors of the Severe Acute Respiratory Syndrome Corona Virus-2(SARS-CoV-2).</t>
  </si>
  <si>
    <t xml:space="preserve">_x000D_
119412.92_x000D_
</t>
  </si>
  <si>
    <t>Parenting and Growing up under the Shadows of Apartheid Legacy: A Case Study of Langa Hostel</t>
  </si>
  <si>
    <t xml:space="preserve">_x000D_
20000_x000D_
</t>
  </si>
  <si>
    <t xml:space="preserve">_x000D_
-95000_x000D_
</t>
  </si>
  <si>
    <t>I have been accepted to the University of Cape Town's Centre for Theatre, Dance and Performance Studies</t>
  </si>
  <si>
    <t>Decolonial framework in curating live art performance</t>
  </si>
  <si>
    <t>Climate Change and Ontological (in)security: How Bangladesh, China and South Africa Negotiate Uncertainty and Pursue Climate Justice in the age of the Anthropocene</t>
  </si>
  <si>
    <t>Kenyatta University</t>
  </si>
  <si>
    <t>Theoretical Atomic Collisions Physics</t>
  </si>
  <si>
    <t xml:space="preserve">_x000D_
1226925_x000D_
</t>
  </si>
  <si>
    <t>Exploring academic writing in the Humanities and Social Sciences Extended Curriculum Programme as a sociomaterial assemblage of people, technologies, and institutional context</t>
  </si>
  <si>
    <t xml:space="preserve">_x000D_
361162.88_x000D_
</t>
  </si>
  <si>
    <t xml:space="preserve">_x000D_
509038.56_x000D_
</t>
  </si>
  <si>
    <t xml:space="preserve">_x000D_
597343.25_x000D_
</t>
  </si>
  <si>
    <t>The role of Setswana proverbs in shaping leadership in contemporary world</t>
  </si>
  <si>
    <t>Participatory Design for Sustainability: Exploring Inclusive Approaches to Designing Affordable and Functional Below-the-Knee Prosthetics.</t>
  </si>
  <si>
    <t xml:space="preserve">_x000D_
215000_x000D_
</t>
  </si>
  <si>
    <t xml:space="preserve">_x000D_
230000_x000D_
</t>
  </si>
  <si>
    <t>An investigation into the therapeutic potential of contemporary visual art practices in processing grief and trauma, with a focus on intentional and intuitive methods of art-making.</t>
  </si>
  <si>
    <t>Exploring Unemployment Among University Graduates: Addressing Job Creation in the Mopani District, Limpopo Province.</t>
  </si>
  <si>
    <t xml:space="preserve">_x000D_
33850_x000D_
</t>
  </si>
  <si>
    <t>DEVELOPMENT AND PILOT TESTING OF A PSYCHOSOCIAL SUPPORT PROGRAMME FOR INFORMAL CAREGIVERS OF CHILDREN LIVING WITH ADVANCED CANCER IN GHANA</t>
  </si>
  <si>
    <t xml:space="preserve">_x000D_
93688_x000D_
</t>
  </si>
  <si>
    <t xml:space="preserve">_x000D_
94000_x000D_
</t>
  </si>
  <si>
    <t>UKZN</t>
  </si>
  <si>
    <t>Catalyst</t>
  </si>
  <si>
    <t>UWC</t>
  </si>
  <si>
    <t>Rethinking the Liberal Tradition in South Africa</t>
  </si>
  <si>
    <t xml:space="preserve">_x000D_
450000_x000D_
</t>
  </si>
  <si>
    <t>Misconceptions in the strategies of mathematical problem-solving (not only focusing on the final answer)</t>
  </si>
  <si>
    <t xml:space="preserve">_x000D_
357555_x000D_
</t>
  </si>
  <si>
    <t xml:space="preserve">_x000D_
407555_x000D_
</t>
  </si>
  <si>
    <t>University of Walter Sisulu</t>
  </si>
  <si>
    <t>Barriers to access public eye health care in the Nelson Mandela bay Municipality, Eastern Cape</t>
  </si>
  <si>
    <t>Understanding and managing human elephant interactions in a multi land use landscape: The case of the Zimbabwe component of the Kavango Zambezi Trans-frontier Conservation Area</t>
  </si>
  <si>
    <t xml:space="preserve">_x000D_
393500_x000D_
</t>
  </si>
  <si>
    <t xml:space="preserve">_x000D_
200500_x000D_
</t>
  </si>
  <si>
    <t>Investigating the anti-cancer effects of wild rooibos on cancers of high prevalence in South Africa</t>
  </si>
  <si>
    <t>AI Safety and Governance</t>
  </si>
  <si>
    <t xml:space="preserve">_x000D_
301525.25_x000D_
</t>
  </si>
  <si>
    <t>Foundation of professional development (FPD)</t>
  </si>
  <si>
    <t>Rise of medical cases in obstetric units</t>
  </si>
  <si>
    <t xml:space="preserve">_x000D_
96000_x000D_
</t>
  </si>
  <si>
    <t xml:space="preserve">_x000D_
56000_x000D_
</t>
  </si>
  <si>
    <t>Drug discovery -molecular techniques</t>
  </si>
  <si>
    <t>Comparison of pristine and dry Peatland Greenhouse Gas emissions in Maputaland.</t>
  </si>
  <si>
    <t>Evaluating exercise therapy in managing breast cancer-related lymphedema in South African breast cancer survivors</t>
  </si>
  <si>
    <t xml:space="preserve">_x000D_
70231.32_x000D_
</t>
  </si>
  <si>
    <t xml:space="preserve">_x000D_
53768_x000D_
</t>
  </si>
  <si>
    <t>University of Cape Town and Stellenbosch University</t>
  </si>
  <si>
    <t>Preserving a Xhosa indigenous singing style, umngqokolo through African contemporary music.</t>
  </si>
  <si>
    <t>Synthesis,  Characterisation and Biological Studies of Oxovanadium(IV) Schiff Base  Complexes of O,N,N′-Imidazole-aminophenol and Phenanthroline-Derived  Bases.</t>
  </si>
  <si>
    <t xml:space="preserve">_x000D_
129000_x000D_
</t>
  </si>
  <si>
    <t>Harvard Medical School</t>
  </si>
  <si>
    <t>Alternative private/npo/research consortium partnership for medical funding</t>
  </si>
  <si>
    <t xml:space="preserve">_x000D_
591210_x000D_
</t>
  </si>
  <si>
    <t>WITS University</t>
  </si>
  <si>
    <t>Transforming the Teaching of Algebraic Functions in AI-Enabled Learning Systems within an Activity Theory Framework 'A case of Grade 10 Under-Resourced Gauteng Province Schools'</t>
  </si>
  <si>
    <t>A Seat at the Table: Reclaiming African Agency and Reproductive Justice through a Decolonial Framework for Regulating Cross-Border Surrogacy</t>
  </si>
  <si>
    <t>Brunel University London</t>
  </si>
  <si>
    <t>Staging Grief: A Memoir in Performance</t>
  </si>
  <si>
    <t xml:space="preserve">_x000D_
884384.54_x000D_
</t>
  </si>
  <si>
    <t>Advancing Deepfake Detection through Explainable Multimodal Artificial Intelligence: A Deep Learning Approach to Securing Audio-Visual Media</t>
  </si>
  <si>
    <t>Proteins-Proteins Interaction of the Transcription Factors</t>
  </si>
  <si>
    <t xml:space="preserve">_x000D_
74775.11_x000D_
</t>
  </si>
  <si>
    <t xml:space="preserve">_x000D_
117136_x000D_
</t>
  </si>
  <si>
    <t>The Impact of green finance on environmental sustainability in BRICS Countries</t>
  </si>
  <si>
    <t>Disability inclusiveness strategies for equal opportunities and success in higher education at two selected Universities in South Africa.</t>
  </si>
  <si>
    <t xml:space="preserve">_x000D_
202210_x000D_
</t>
  </si>
  <si>
    <t xml:space="preserve">_x000D_
212176_x000D_
</t>
  </si>
  <si>
    <t xml:space="preserve">_x000D_
229676_x000D_
</t>
  </si>
  <si>
    <t>University of Oxford, UK</t>
  </si>
  <si>
    <t>Green Industrialisation in Resource-Rich Countries in Africa: Pathways for Technology Investment, Education Development, and Economic Diversification in South Africa, Nigeria, and Algeria</t>
  </si>
  <si>
    <t xml:space="preserve">_x000D_
1943500_x000D_
</t>
  </si>
  <si>
    <t xml:space="preserve">_x000D_
2197000_x000D_
</t>
  </si>
  <si>
    <t xml:space="preserve">_x000D_
2450500_x000D_
</t>
  </si>
  <si>
    <t>Clinical Pharmacy</t>
  </si>
  <si>
    <t xml:space="preserve">_x000D_
175240_x000D_
</t>
  </si>
  <si>
    <t>The impact of exchange rate volatility and inflation on foreign direct investment: An analysis of BRICS Countries</t>
  </si>
  <si>
    <t xml:space="preserve">_x000D_
115920_x000D_
</t>
  </si>
  <si>
    <t>Reviving the Absent Stage: Exploring the Role of Applied Drama in the Re-imagining of Culturally Grounded Rites of Passage in Tsuvulani</t>
  </si>
  <si>
    <t xml:space="preserve">_x000D_
193080_x000D_
</t>
  </si>
  <si>
    <t xml:space="preserve">_x000D_
183080_x000D_
</t>
  </si>
  <si>
    <t>Assessing the success and effectiveness of KDJI Small, Medium, and Micro Entreprises</t>
  </si>
  <si>
    <t xml:space="preserve">_x000D_
168471_x000D_
</t>
  </si>
  <si>
    <t xml:space="preserve">_x000D_
96750_x000D_
</t>
  </si>
  <si>
    <t>Investigating Critical Translanguaging in the design and implementation of Kaaps/English bilingual learning materials - An ethnographic case study of a Primary School in Cape Town.</t>
  </si>
  <si>
    <t xml:space="preserve">_x000D_
89000_x000D_
</t>
  </si>
  <si>
    <t xml:space="preserve">_x000D_
104900_x000D_
</t>
  </si>
  <si>
    <t>University of witwatersrand</t>
  </si>
  <si>
    <t>A Model to facilitate monitoring of PLHIV in Primary healthcare facilities  by registered nurses in Gauteng</t>
  </si>
  <si>
    <t>Commercial Law (Tax Law)</t>
  </si>
  <si>
    <t xml:space="preserve">_x000D_
585960_x000D_
</t>
  </si>
  <si>
    <t>Not eligible - late</t>
  </si>
  <si>
    <t xml:space="preserve">_x000D_
195376_x000D_
</t>
  </si>
  <si>
    <t>The impact of HIV on Mitochondrial function</t>
  </si>
  <si>
    <t xml:space="preserve">_x000D_
33370_x000D_
</t>
  </si>
  <si>
    <t>Linear Maps on Operator Algebras</t>
  </si>
  <si>
    <t>A critical analysis of the judicial interpretation of acceptable tender'' in Public Procurement: An examination of the South African Court's application of the Preferential Procurement Policy Framework Act 5 of 2000.</t>
  </si>
  <si>
    <t xml:space="preserve">_x000D_
7750_x000D_
</t>
  </si>
  <si>
    <t xml:space="preserve">_x000D_
149795_x000D_
</t>
  </si>
  <si>
    <t>Addressing Homelessness in eThekwini Municipality: A Comprehensive Strategy</t>
  </si>
  <si>
    <t>Genetic Counselling in South Africa: Investigating healthcare professionals' perceptions to inform curriculum renewal.</t>
  </si>
  <si>
    <t xml:space="preserve">_x000D_
236000_x000D_
</t>
  </si>
  <si>
    <t>STELLENBOSCH UNIVERSITY</t>
  </si>
  <si>
    <t>To determine the expression levels of SARS-CoV-2 susceptible receptors and proteases in SARS-CoV-2 tested human placenta using ancillary studies</t>
  </si>
  <si>
    <t xml:space="preserve">_x000D_
54785_x000D_
</t>
  </si>
  <si>
    <t xml:space="preserve">_x000D_
88785_x000D_
</t>
  </si>
  <si>
    <t xml:space="preserve">_x000D_
124500_x000D_
</t>
  </si>
  <si>
    <t xml:space="preserve">_x000D_
115000_x000D_
</t>
  </si>
  <si>
    <t>Comparing silage quality from three indigenous Brachiaria Brizantha cultivars harvested at the KwaMthethwa Community</t>
  </si>
  <si>
    <t xml:space="preserve">_x000D_
118700_x000D_
</t>
  </si>
  <si>
    <t>Investigating the effect of light on peg formation, pod development and yield of Bambara groundnut landraces</t>
  </si>
  <si>
    <t xml:space="preserve">_x000D_
132200_x000D_
</t>
  </si>
  <si>
    <t>The use of whole genome sequencing for identification of isoniazid and fluoroquinolones resistance-conferring mutations missed by WHO recommended rapid nucleic acid amplification technologies (NAATs)</t>
  </si>
  <si>
    <t xml:space="preserve">_x000D_
240000_x000D_
</t>
  </si>
  <si>
    <t>Anti-inflammatory and Pro-resolving effects of Indigenous South African medicinal plants</t>
  </si>
  <si>
    <t xml:space="preserve">_x000D_
-6384569.38_x000D_
</t>
  </si>
  <si>
    <t xml:space="preserve">_x000D_
100_x000D_
</t>
  </si>
  <si>
    <t>Improving work readiness for early career project managers through curriculum reform and industry and academia collaborations</t>
  </si>
  <si>
    <t xml:space="preserve">_x000D_
93213_x000D_
</t>
  </si>
  <si>
    <t>Enhancing the Effectiveness of Internal Audit Functions in Strengthening Public Sector Governance in South Africa</t>
  </si>
  <si>
    <t xml:space="preserve">_x000D_
-2_x000D_
</t>
  </si>
  <si>
    <t>SYNTHESIS,MODIFICATION AND CO-DOPING OF COPPER OXIDE (CuO) FOR ENHANCED THERMOLUMINESCENCE (TL) DOSIMETRIC PERFORMANCE</t>
  </si>
  <si>
    <t xml:space="preserve">_x000D_
748380_x000D_
</t>
  </si>
  <si>
    <t xml:space="preserve">_x000D_
90538_x000D_
</t>
  </si>
  <si>
    <t xml:space="preserve">_x000D_
80538_x000D_
</t>
  </si>
  <si>
    <t>Dynamics of microplastics in the soil-water-plant system of agricultural lands and implications for food and water safety</t>
  </si>
  <si>
    <t>Capacity Building for Muslim Female Scholars at Wits University</t>
  </si>
  <si>
    <t xml:space="preserve">_x000D_
99000_x000D_
</t>
  </si>
  <si>
    <t xml:space="preserve">_x000D_
102000_x000D_
</t>
  </si>
  <si>
    <t>Not eligible - topic N/A</t>
  </si>
  <si>
    <t>2025-9513</t>
  </si>
  <si>
    <t>Hlayisani Rihlampfu</t>
  </si>
  <si>
    <t>hlayisanirihlampfu99@gmail.com</t>
  </si>
  <si>
    <t>2025-8989</t>
  </si>
  <si>
    <t>Muhle Ndlovu</t>
  </si>
  <si>
    <t>muhlendlovu03@gmail.com</t>
  </si>
  <si>
    <t>2025-9126</t>
  </si>
  <si>
    <t>Ayatolah September</t>
  </si>
  <si>
    <t>ayasept@gmail.com</t>
  </si>
  <si>
    <t>2025-9024</t>
  </si>
  <si>
    <t>Julia Arbuckle</t>
  </si>
  <si>
    <t>Julz.arbuckle@gmail.com</t>
  </si>
  <si>
    <t>2025-8671</t>
  </si>
  <si>
    <t>Nokuthula Hlongwane</t>
  </si>
  <si>
    <t>hlongwane.tula@gmail.com</t>
  </si>
  <si>
    <t>2025-9349</t>
  </si>
  <si>
    <t>Natalie Sifuma</t>
  </si>
  <si>
    <t>nsifuma@gmail.com</t>
  </si>
  <si>
    <t>2025-9285</t>
  </si>
  <si>
    <t>Chewe Fwalo</t>
  </si>
  <si>
    <t>fwalochewe99@gmail.com</t>
  </si>
  <si>
    <t>2025-8603</t>
  </si>
  <si>
    <t>Conrad Addikah</t>
  </si>
  <si>
    <t>addikah.conrad@up.ac.za</t>
  </si>
  <si>
    <t>2025-9318</t>
  </si>
  <si>
    <t>Julia Ross</t>
  </si>
  <si>
    <t>joolibean@gmail.com</t>
  </si>
  <si>
    <t>2025-9245</t>
  </si>
  <si>
    <t>Rutendo Ngirazi</t>
  </si>
  <si>
    <t>rutendohildah@gmail.com</t>
  </si>
  <si>
    <t>2025-9409</t>
  </si>
  <si>
    <t>Jeffrey Som Kwale</t>
  </si>
  <si>
    <t>26787032@mylife.unisa.ac.za</t>
  </si>
  <si>
    <t>2025-8715</t>
  </si>
  <si>
    <t>Jones Muha</t>
  </si>
  <si>
    <t>jones.muha@gmail.com</t>
  </si>
  <si>
    <t>2025-9472</t>
  </si>
  <si>
    <t>Matladi Masete</t>
  </si>
  <si>
    <t>u20818336@tuks.co.za</t>
  </si>
  <si>
    <t>2025-9475</t>
  </si>
  <si>
    <t>Neha Manhas</t>
  </si>
  <si>
    <t>nehamanhas09@gmail.com</t>
  </si>
  <si>
    <t>2025-8755</t>
  </si>
  <si>
    <t>Saheed Abiola Raheem</t>
  </si>
  <si>
    <t>saheedabiola9@gmail.com</t>
  </si>
  <si>
    <t>2025-9103</t>
  </si>
  <si>
    <t>Nkazimulo Myaka</t>
  </si>
  <si>
    <t>nkazimyaka@gmail.com</t>
  </si>
  <si>
    <t>2025-9411</t>
  </si>
  <si>
    <t>Adebowale Adeniran</t>
  </si>
  <si>
    <t>adebowaleebenezer1@gmail.com</t>
  </si>
  <si>
    <t>2025-8582</t>
  </si>
  <si>
    <t>Thenjiwe Dubazane</t>
  </si>
  <si>
    <t>thedii@outlook.com</t>
  </si>
  <si>
    <t>2025-9457</t>
  </si>
  <si>
    <t>Cyril Chironda</t>
  </si>
  <si>
    <t>cyril.chironda@wits.ac.za</t>
  </si>
  <si>
    <t>2025-9449</t>
  </si>
  <si>
    <t>Lenah Kitenge</t>
  </si>
  <si>
    <t>lenah.kit@gmail.com</t>
  </si>
  <si>
    <t>2025-8915</t>
  </si>
  <si>
    <t>Lea Sixtl</t>
  </si>
  <si>
    <t>lea.sixtl@live.at</t>
  </si>
  <si>
    <t>2025-8509</t>
  </si>
  <si>
    <t>David Makateng</t>
  </si>
  <si>
    <t>dmakateng55@gmail.com</t>
  </si>
  <si>
    <t>Molecular biology</t>
  </si>
  <si>
    <t xml:space="preserve">_x000D_
104057_x000D_
</t>
  </si>
  <si>
    <t>How glycemic status is monitored accurately.</t>
  </si>
  <si>
    <t xml:space="preserve">_x000D_
186948.4_x000D_
</t>
  </si>
  <si>
    <t>Wits, Stellenbosch University</t>
  </si>
  <si>
    <t>Unheard and Unhealed: Exploring the Long-Term Psychosocial and Public Health Impacts of Sexual and Gender-Based Violence on African Adolescent Boys in South Africa.</t>
  </si>
  <si>
    <t xml:space="preserve">_x000D_
65000_x000D_
</t>
  </si>
  <si>
    <t>Decolonial Theory and South African Artists’ Books</t>
  </si>
  <si>
    <t xml:space="preserve">_x000D_
304000_x000D_
</t>
  </si>
  <si>
    <t>Effect of Bacterial Vaginosis on Cervicovaginal Inflammation Among Adolescents in South Africa: The Modifying Role of Hormonal Contraceptive Type</t>
  </si>
  <si>
    <t xml:space="preserve">_x000D_
110010_x000D_
</t>
  </si>
  <si>
    <t xml:space="preserve">_x000D_
136050_x000D_
</t>
  </si>
  <si>
    <t>Inclusive Climate Governance: Integrating African Women’s Knowledge and Leadership into Adaptation Policymaking</t>
  </si>
  <si>
    <t xml:space="preserve">_x000D_
217500_x000D_
</t>
  </si>
  <si>
    <t xml:space="preserve">_x000D_
252500_x000D_
</t>
  </si>
  <si>
    <t>Investigating the catalytic effects  of graphene-(beta12)borophene cathode on various discharge products of lithium and sodium-oxides for efficient metal-oxygen batteries: A first-principles study</t>
  </si>
  <si>
    <t xml:space="preserve">_x000D_
664400_x000D_
</t>
  </si>
  <si>
    <t>Climate change, Food security</t>
  </si>
  <si>
    <t xml:space="preserve">_x000D_
200750_x000D_
</t>
  </si>
  <si>
    <t>Feedback Practices in Undergraduate Teaching: How Do Lecturers Learn to Give Effective Feedback?</t>
  </si>
  <si>
    <t>Advancing Electric Rotating Machines Innovation</t>
  </si>
  <si>
    <t xml:space="preserve">_x000D_
102036_x000D_
</t>
  </si>
  <si>
    <t>Probing Luminescent and Magnetic Phenomena in FeTaO4-based Nanoparticles for Application in Medical Imaging</t>
  </si>
  <si>
    <t xml:space="preserve">_x000D_
223380_x000D_
</t>
  </si>
  <si>
    <t>university of liverpool</t>
  </si>
  <si>
    <t>prevalence of other malaria species other than plasmodium falciparum</t>
  </si>
  <si>
    <t xml:space="preserve">_x000D_
141257.13_x000D_
</t>
  </si>
  <si>
    <t>South African Medical Research Council</t>
  </si>
  <si>
    <t>Exploring risk predictive models for hyperglycaemia in pregnancy</t>
  </si>
  <si>
    <t xml:space="preserve">_x000D_
222265_x000D_
</t>
  </si>
  <si>
    <t xml:space="preserve">_x000D_
288456_x000D_
</t>
  </si>
  <si>
    <t xml:space="preserve">_x000D_
283664_x000D_
</t>
  </si>
  <si>
    <t>University of KwaZulu-Natal, Durban, South Africa</t>
  </si>
  <si>
    <t>Isoniazid–Quinolone Molecular Hybrids as Dual-Target Inhibitors to Overcome Drug Resistance in Tuberculosis Treatment</t>
  </si>
  <si>
    <t xml:space="preserve">_x000D_
285000_x000D_
</t>
  </si>
  <si>
    <t xml:space="preserve">_x000D_
320000_x000D_
</t>
  </si>
  <si>
    <t>Electrocatalysis for green hydrogen production</t>
  </si>
  <si>
    <t xml:space="preserve">_x000D_
510000_x000D_
</t>
  </si>
  <si>
    <t xml:space="preserve">_x000D_
480000_x000D_
</t>
  </si>
  <si>
    <t>Investigating the relationship between nutrition (diets) and anthropometric outcomes among adolescents in the rural Western Cape, South Africa.</t>
  </si>
  <si>
    <t xml:space="preserve">_x000D_
134770_x000D_
</t>
  </si>
  <si>
    <t xml:space="preserve">_x000D_
101830_x000D_
</t>
  </si>
  <si>
    <t>Smart Composite Materials for Renewable Hydrogen Storage Systems</t>
  </si>
  <si>
    <t xml:space="preserve">_x000D_
270000_x000D_
</t>
  </si>
  <si>
    <t xml:space="preserve">_x000D_
210000_x000D_
</t>
  </si>
  <si>
    <t>University of the Witwatersrand, Johannesburg</t>
  </si>
  <si>
    <t>The relationship between Parenting Practices and Adolescent Girls’ Mental Health: A Cross-Sectional Nested Study</t>
  </si>
  <si>
    <t>Multimorbidity trends and changes in Rural South Africa: A clustering, competing risk and simulation modelling approach</t>
  </si>
  <si>
    <t xml:space="preserve">_x000D_
473000_x000D_
</t>
  </si>
  <si>
    <t xml:space="preserve">_x000D_
453000_x000D_
</t>
  </si>
  <si>
    <t xml:space="preserve">_x000D_
563000_x000D_
</t>
  </si>
  <si>
    <t>Innovation</t>
  </si>
  <si>
    <t xml:space="preserve">_x000D_
83670_x000D_
</t>
  </si>
  <si>
    <t xml:space="preserve">_x000D_
115670_x000D_
</t>
  </si>
  <si>
    <t>Interdisciplinary Environmental Humanities</t>
  </si>
  <si>
    <t xml:space="preserve">_x000D_
306852.88_x000D_
</t>
  </si>
  <si>
    <t xml:space="preserve">_x000D_
363944.46_x000D_
</t>
  </si>
  <si>
    <t xml:space="preserve">_x000D_
391888.82_x000D_
</t>
  </si>
  <si>
    <t>A Sociological perspective of social ontology of Orania town and selected townships in South Africa: A comparative study.</t>
  </si>
  <si>
    <t>Complete, no degree copy</t>
  </si>
  <si>
    <t>Complete,duplicates</t>
  </si>
  <si>
    <t>Complete,1o/s ref, no transcript</t>
  </si>
  <si>
    <t>2025-8473</t>
  </si>
  <si>
    <t>Michelle Risi</t>
  </si>
  <si>
    <t>Mish.risi22@gmail.com</t>
  </si>
  <si>
    <t>2025-9026</t>
  </si>
  <si>
    <t>Awande Nkambule</t>
  </si>
  <si>
    <t>acmnkambule@gmail.com</t>
  </si>
  <si>
    <t>2025-9470</t>
  </si>
  <si>
    <t>Gabrielle De Klerk</t>
  </si>
  <si>
    <t>gabbydeklerk@gmail.com</t>
  </si>
  <si>
    <t>2025-9780</t>
  </si>
  <si>
    <t>Thabiso Ndzantsi</t>
  </si>
  <si>
    <t>thabisomaphakela06@gmail.com</t>
  </si>
  <si>
    <t>2025-8596</t>
  </si>
  <si>
    <t>Burnet Adriaan Meyer</t>
  </si>
  <si>
    <t>adriaanmeyer2@gmail.com</t>
  </si>
  <si>
    <t>2025-9181</t>
  </si>
  <si>
    <t>Samkele Mnyango</t>
  </si>
  <si>
    <t>2020916736@ufs4life.ac.za</t>
  </si>
  <si>
    <t>2025-9639</t>
  </si>
  <si>
    <t>Jonathan Tembo</t>
  </si>
  <si>
    <t>tembojonathan@yahoo.com</t>
  </si>
  <si>
    <t>2025-8253</t>
  </si>
  <si>
    <t>KELEBOGILE MOTSUMI</t>
  </si>
  <si>
    <t>kelebogile.kkm@gmail.com</t>
  </si>
  <si>
    <t>2025-8697</t>
  </si>
  <si>
    <t>Wendy Nkosi</t>
  </si>
  <si>
    <t>wendynkosi1412@gmail.com</t>
  </si>
  <si>
    <t>2025-8633</t>
  </si>
  <si>
    <t>Asavela Mehlwana</t>
  </si>
  <si>
    <t>asamehlwana@gmail.com</t>
  </si>
  <si>
    <t>2025-9764</t>
  </si>
  <si>
    <t>DELRON DANANAI MUTI</t>
  </si>
  <si>
    <t>delronm69@gmail.com</t>
  </si>
  <si>
    <t>2025-8437</t>
  </si>
  <si>
    <t>Athembile Centane</t>
  </si>
  <si>
    <t>athembile785@gmail.com</t>
  </si>
  <si>
    <t>2025-9758</t>
  </si>
  <si>
    <t>Sizwe Njapha</t>
  </si>
  <si>
    <t>njaphasc@gmail.com</t>
  </si>
  <si>
    <t>2025-9754</t>
  </si>
  <si>
    <t>Ntombikayise  Nkosi</t>
  </si>
  <si>
    <t>ntombikayisenkosi.nn@gmail.com</t>
  </si>
  <si>
    <t>2025-9567</t>
  </si>
  <si>
    <t>Christena Pieterse</t>
  </si>
  <si>
    <t>christenapieterse@gmail.com</t>
  </si>
  <si>
    <t>2025-9537</t>
  </si>
  <si>
    <t>Khanya Simelane</t>
  </si>
  <si>
    <t>khanyad@gmail.com</t>
  </si>
  <si>
    <t>2025-9327</t>
  </si>
  <si>
    <t>Erica Moolman</t>
  </si>
  <si>
    <t>ertjiesmoolman@gmail.com</t>
  </si>
  <si>
    <t>2025-9548</t>
  </si>
  <si>
    <t>Sophia Gyasi</t>
  </si>
  <si>
    <t>saagyasi@gmail.com</t>
  </si>
  <si>
    <t>2025-8774</t>
  </si>
  <si>
    <t>Najohn J Supu Jr</t>
  </si>
  <si>
    <t>supunajohn58@gmail.com</t>
  </si>
  <si>
    <t>2025-9723</t>
  </si>
  <si>
    <t>Sifiso Dlamini</t>
  </si>
  <si>
    <t>sifisodlamini411@gmail.com</t>
  </si>
  <si>
    <t>2025-8315</t>
  </si>
  <si>
    <t>Nashe Mucharambeyi</t>
  </si>
  <si>
    <t>nmucharambeyi@outlook.com</t>
  </si>
  <si>
    <t>2025-8719</t>
  </si>
  <si>
    <t>Cairin van 't Hof</t>
  </si>
  <si>
    <t>cairin.vanthof@up.ac.za</t>
  </si>
  <si>
    <t>2025-9519</t>
  </si>
  <si>
    <t>maphumzo@gmail.com</t>
  </si>
  <si>
    <t>2025-8593</t>
  </si>
  <si>
    <t>Christopher Jones</t>
  </si>
  <si>
    <t>chrisj22123@gmail.com</t>
  </si>
  <si>
    <t>2025-8978</t>
  </si>
  <si>
    <t>CHARMAINE NYATHI</t>
  </si>
  <si>
    <t>charmainenyathi23@gmail.com</t>
  </si>
  <si>
    <t>2025-8763</t>
  </si>
  <si>
    <t>Dominique Saayman</t>
  </si>
  <si>
    <t>niqisaayman@gmail.com</t>
  </si>
  <si>
    <t>2025-8963</t>
  </si>
  <si>
    <t>Tshwarelelo Sibilanga</t>
  </si>
  <si>
    <t>lelosibilanga@gmail.com</t>
  </si>
  <si>
    <t>2025-9352</t>
  </si>
  <si>
    <t>Vonakalani Thursday Mbhungele</t>
  </si>
  <si>
    <t>thursdaym1@gmail.com</t>
  </si>
  <si>
    <t>2025-9510</t>
  </si>
  <si>
    <t>Pearl Mahanuke</t>
  </si>
  <si>
    <t>pearlmahanuke@gmail.com</t>
  </si>
  <si>
    <t>2025-9726</t>
  </si>
  <si>
    <t>Maxwell Madara</t>
  </si>
  <si>
    <t>madaram253@gmail.com</t>
  </si>
  <si>
    <t>2025-8821</t>
  </si>
  <si>
    <t>Gibbon Khathutshelo Ramaremisa</t>
  </si>
  <si>
    <t>gibbonramaremisa@gmail.com</t>
  </si>
  <si>
    <t>2025-9717</t>
  </si>
  <si>
    <t>Pamela Suzzana Moyo</t>
  </si>
  <si>
    <t>suzzanamoyo@gmail.com</t>
  </si>
  <si>
    <t>2025-9440</t>
  </si>
  <si>
    <t>Sabela Rey Vila</t>
  </si>
  <si>
    <t>sreyvila88@gmail.com</t>
  </si>
  <si>
    <t>2025-8407</t>
  </si>
  <si>
    <t>Nokulunga Nkambule</t>
  </si>
  <si>
    <t>nokulungankambule8@gmail.com</t>
  </si>
  <si>
    <t>2025-9392</t>
  </si>
  <si>
    <t>Lario Odendaal</t>
  </si>
  <si>
    <t>lblom4@gmail.com</t>
  </si>
  <si>
    <t>2025-8736</t>
  </si>
  <si>
    <t>Achievement Malungani</t>
  </si>
  <si>
    <t>malunganiachievement@gmail.com</t>
  </si>
  <si>
    <t>2025-8644</t>
  </si>
  <si>
    <t>Gabisile Radebe</t>
  </si>
  <si>
    <t>gabisileradebe858@gmail.com</t>
  </si>
  <si>
    <t>2025-8460</t>
  </si>
  <si>
    <t>August Herbert</t>
  </si>
  <si>
    <t>augustherbert.professional@gmail.com</t>
  </si>
  <si>
    <t>2025-9240</t>
  </si>
  <si>
    <t>Kenan Mpisi</t>
  </si>
  <si>
    <t>202100109@spu.ac.za</t>
  </si>
  <si>
    <t>2025-9145</t>
  </si>
  <si>
    <t>Nhlamulo Risenga</t>
  </si>
  <si>
    <t>nhlamulorisenga1@gmail.com</t>
  </si>
  <si>
    <t>2025-8997</t>
  </si>
  <si>
    <t>LONDOLANI BERTHA MUNZHEDZI</t>
  </si>
  <si>
    <t>londolaniberthamunzhedzi@gmail.com</t>
  </si>
  <si>
    <t>2025-8504</t>
  </si>
  <si>
    <t>Tumelo Motlhabane</t>
  </si>
  <si>
    <t>tkmotlh@gmail.com</t>
  </si>
  <si>
    <t>2025-9054</t>
  </si>
  <si>
    <t>Nhlanhla Rihlampfu</t>
  </si>
  <si>
    <t>nhlanhlarihlampfu@icloud.com</t>
  </si>
  <si>
    <t>2025-8221</t>
  </si>
  <si>
    <t>Riyaaz Davids</t>
  </si>
  <si>
    <t>riyaaz.davids@spu.ac.za</t>
  </si>
  <si>
    <t>2025-8900</t>
  </si>
  <si>
    <t>Busisiwe Motlogeloa</t>
  </si>
  <si>
    <t>2398808@students.wits.ac.za</t>
  </si>
  <si>
    <t>2025-9672</t>
  </si>
  <si>
    <t>Emily Grant</t>
  </si>
  <si>
    <t>emily01grant@gmail.com</t>
  </si>
  <si>
    <t>2025-9263</t>
  </si>
  <si>
    <t>Tshedza Nethonzhe</t>
  </si>
  <si>
    <t>nethtshedza4@gmail.com</t>
  </si>
  <si>
    <t>2025-9666</t>
  </si>
  <si>
    <t>Wei-Yu Feng</t>
  </si>
  <si>
    <t>wei.yu.louis.feng@gmail.com</t>
  </si>
  <si>
    <t>Asian</t>
  </si>
  <si>
    <t>2025-8358</t>
  </si>
  <si>
    <t>MICHAEL IFEANYICHUKWU EDEH</t>
  </si>
  <si>
    <t>edehmichael16@gmail.com</t>
  </si>
  <si>
    <t>2025-8914</t>
  </si>
  <si>
    <t>Asanda Ngwenya</t>
  </si>
  <si>
    <t>sandamichelle22@gmail.com</t>
  </si>
  <si>
    <t>2025-8751</t>
  </si>
  <si>
    <t>Yeukai Pedzisa</t>
  </si>
  <si>
    <t>Pedzisayeukai@gmail.com</t>
  </si>
  <si>
    <t>2025-8215</t>
  </si>
  <si>
    <t>Gabrielle Da Silva</t>
  </si>
  <si>
    <t>22292519@sun.ac.za</t>
  </si>
  <si>
    <t>2025-8392</t>
  </si>
  <si>
    <t>Andile Madlala</t>
  </si>
  <si>
    <t>mandile251@gmail.com</t>
  </si>
  <si>
    <t>2025-9299</t>
  </si>
  <si>
    <t>Dorcas Njanjeni</t>
  </si>
  <si>
    <t>dnjanjeni@gmail.com</t>
  </si>
  <si>
    <t>2025-9430</t>
  </si>
  <si>
    <t>Zerfie Marshet Mihabaw</t>
  </si>
  <si>
    <t>ziye2112@gmail.com</t>
  </si>
  <si>
    <t>2025-8491</t>
  </si>
  <si>
    <t>Anthea le Roux</t>
  </si>
  <si>
    <t>anthea735@gmail.com</t>
  </si>
  <si>
    <t>2025-8876</t>
  </si>
  <si>
    <t>Mompati Mpho Bulayani</t>
  </si>
  <si>
    <t>bulayanimpho45@gmail.com</t>
  </si>
  <si>
    <t>2025-9630</t>
  </si>
  <si>
    <t>Kwazi Mazibuko</t>
  </si>
  <si>
    <t>kwazim@sun.ac.za</t>
  </si>
  <si>
    <t>2025-8776</t>
  </si>
  <si>
    <t>SIKELWA NXADI</t>
  </si>
  <si>
    <t>juliesaidbe@gmail.com</t>
  </si>
  <si>
    <t>2025-9621</t>
  </si>
  <si>
    <t>Nokubonga Mkhonto</t>
  </si>
  <si>
    <t>nokubongamkhonto99@gmail.com</t>
  </si>
  <si>
    <t>2025-9018</t>
  </si>
  <si>
    <t>Mogamat Rida Desai</t>
  </si>
  <si>
    <t>rida.desai999@gmail.com</t>
  </si>
  <si>
    <t>2025-9317</t>
  </si>
  <si>
    <t>Thobeka Fortunate Vilakazi</t>
  </si>
  <si>
    <t>thobekafortunatevilakazi82@gmail.com</t>
  </si>
  <si>
    <t>2025-9532</t>
  </si>
  <si>
    <t>Nelisiwe Nokubonga Sithole</t>
  </si>
  <si>
    <t>nelisiwes677@gmail.com</t>
  </si>
  <si>
    <t>2025-8245</t>
  </si>
  <si>
    <t>Sisonke Sigonya</t>
  </si>
  <si>
    <t>sigonyasisonke@gmail.com</t>
  </si>
  <si>
    <t>2025-9525</t>
  </si>
  <si>
    <t>Kamogelo Molapisi</t>
  </si>
  <si>
    <t>kamogelomolapisi208@gmail.com</t>
  </si>
  <si>
    <t>2025-9425</t>
  </si>
  <si>
    <t>Ayrton Griffin-Ellis</t>
  </si>
  <si>
    <t>ayrtongriffinellis@gmail.com</t>
  </si>
  <si>
    <t>2025-9597</t>
  </si>
  <si>
    <t>William Arthur Bishop</t>
  </si>
  <si>
    <t>abishop@sun.ac.za</t>
  </si>
  <si>
    <t>2025-9262</t>
  </si>
  <si>
    <t>Arunprasad Jayaraman</t>
  </si>
  <si>
    <t>arunaug21@gmail.com</t>
  </si>
  <si>
    <t>2025-9006</t>
  </si>
  <si>
    <t>Chwayita Ntwasa</t>
  </si>
  <si>
    <t>chwayita07@gmail.com</t>
  </si>
  <si>
    <t>2025-9314</t>
  </si>
  <si>
    <t>MOTSEOTSILE ISAAC MOSOAILE</t>
  </si>
  <si>
    <t>motseisaac98@gmail.com</t>
  </si>
  <si>
    <t>2025-9572</t>
  </si>
  <si>
    <t>RENEILWE ANNAH MAPOTSE</t>
  </si>
  <si>
    <t>gail43260@gmail.com</t>
  </si>
  <si>
    <t>2025-9560</t>
  </si>
  <si>
    <t>Ntombenhle Philisiwe Mchunu</t>
  </si>
  <si>
    <t>202014592@stu.unizulu.ac.za</t>
  </si>
  <si>
    <t>2025-9061</t>
  </si>
  <si>
    <t>Louvina Elizabeth van der Laan</t>
  </si>
  <si>
    <t>vdlaan@sun.ac.za</t>
  </si>
  <si>
    <t>2025-9037</t>
  </si>
  <si>
    <t>Shirah Theron</t>
  </si>
  <si>
    <t>20698976@sun.ac.za</t>
  </si>
  <si>
    <t>2025-9551</t>
  </si>
  <si>
    <t>Rowan Madzamba</t>
  </si>
  <si>
    <t>rowanmadzamba@gmail.com</t>
  </si>
  <si>
    <t>2025-9555</t>
  </si>
  <si>
    <t>bonginkosit@uj.ac.za</t>
  </si>
  <si>
    <t>2025-8289</t>
  </si>
  <si>
    <t>Amanda Dludla</t>
  </si>
  <si>
    <t>amandadludla998@gmail.com</t>
  </si>
  <si>
    <t>2025-9233</t>
  </si>
  <si>
    <t>Sarel Marais</t>
  </si>
  <si>
    <t>sarelmetalz@gmail.com</t>
  </si>
  <si>
    <t>2025-8712</t>
  </si>
  <si>
    <t>Thandolwethu Shisa</t>
  </si>
  <si>
    <t>thandolwethutshisa@gmail.com</t>
  </si>
  <si>
    <t>2025-8432</t>
  </si>
  <si>
    <t>THABISO MAKGATA</t>
  </si>
  <si>
    <t>ThabisoMakgata04@gmail.com</t>
  </si>
  <si>
    <t>2025-9544</t>
  </si>
  <si>
    <t>Muhluri Lesley Baloyi</t>
  </si>
  <si>
    <t>Muhlurilesley98@gmail.com</t>
  </si>
  <si>
    <t>2025-8544</t>
  </si>
  <si>
    <t>Kuhle Mcinga</t>
  </si>
  <si>
    <t>mcingakuhle@gmail.com</t>
  </si>
  <si>
    <t>2025-9528</t>
  </si>
  <si>
    <t>Deon van der Mescht</t>
  </si>
  <si>
    <t>flyingwxsa@gmail.com</t>
  </si>
  <si>
    <t>2025-9354</t>
  </si>
  <si>
    <t>Rentia Lourens</t>
  </si>
  <si>
    <t>rentialourens17@gmail.com</t>
  </si>
  <si>
    <t>2025-8585</t>
  </si>
  <si>
    <t>Muneiwa Mudau</t>
  </si>
  <si>
    <t>mmuneiwa032@gmail.com</t>
  </si>
  <si>
    <t>2025-8608</t>
  </si>
  <si>
    <t>ntokozo dladla</t>
  </si>
  <si>
    <t>dladlantokozo1@gmail.com</t>
  </si>
  <si>
    <t>Complete ,Drafts</t>
  </si>
  <si>
    <t xml:space="preserve">Complete </t>
  </si>
  <si>
    <t>Complete,ID not uploaded under the personal info tab</t>
  </si>
  <si>
    <t>complete</t>
  </si>
  <si>
    <t>2025-9957</t>
  </si>
  <si>
    <t>2025-10096</t>
  </si>
  <si>
    <t>2025-8753</t>
  </si>
  <si>
    <t>2025-9919</t>
  </si>
  <si>
    <t>2025-10024</t>
  </si>
  <si>
    <t>2025-9933</t>
  </si>
  <si>
    <t>2025-8629</t>
  </si>
  <si>
    <t>2025-9613</t>
  </si>
  <si>
    <t>2025-8576</t>
  </si>
  <si>
    <t>2025-9819</t>
  </si>
  <si>
    <t>2025-10067</t>
  </si>
  <si>
    <t>2025-9989</t>
  </si>
  <si>
    <t>2025-9137</t>
  </si>
  <si>
    <t>2025-9949</t>
  </si>
  <si>
    <t>2025-10095</t>
  </si>
  <si>
    <t>2025-8626</t>
  </si>
  <si>
    <t>2025-10004</t>
  </si>
  <si>
    <t>2025-9999</t>
  </si>
  <si>
    <t>2025-8467</t>
  </si>
  <si>
    <t>2025-9617</t>
  </si>
  <si>
    <t>2025-8371</t>
  </si>
  <si>
    <t>2025-9116</t>
  </si>
  <si>
    <t>2025-9322</t>
  </si>
  <si>
    <t>2025-8442</t>
  </si>
  <si>
    <t>2025-9151</t>
  </si>
  <si>
    <t>2025-9725</t>
  </si>
  <si>
    <t>2025-9886</t>
  </si>
  <si>
    <t>2025-9678</t>
  </si>
  <si>
    <t>2025-9785</t>
  </si>
  <si>
    <t>2025-9511</t>
  </si>
  <si>
    <t>2025-8604</t>
  </si>
  <si>
    <t>2025-9942</t>
  </si>
  <si>
    <t>2025-9789</t>
  </si>
  <si>
    <t>2025-9860</t>
  </si>
  <si>
    <t>2025-8891</t>
  </si>
  <si>
    <t>2025-10060</t>
  </si>
  <si>
    <t>2025-9759</t>
  </si>
  <si>
    <t>2025-10071</t>
  </si>
  <si>
    <t>2025-9703</t>
  </si>
  <si>
    <t>2025-10055</t>
  </si>
  <si>
    <t>2025-9978</t>
  </si>
  <si>
    <t>2025-9616</t>
  </si>
  <si>
    <t>2025-9991</t>
  </si>
  <si>
    <t>2025-8416</t>
  </si>
  <si>
    <t>2025-10014</t>
  </si>
  <si>
    <t>2025-9951</t>
  </si>
  <si>
    <t>2025-9476</t>
  </si>
  <si>
    <t>2025-9994</t>
  </si>
  <si>
    <t>2025-9207</t>
  </si>
  <si>
    <t>2025-10021</t>
  </si>
  <si>
    <t>2025-9967</t>
  </si>
  <si>
    <t>2025-9133</t>
  </si>
  <si>
    <t>2025-9175</t>
  </si>
  <si>
    <t>2025-8510</t>
  </si>
  <si>
    <t>2025-9460</t>
  </si>
  <si>
    <t>2025-8727</t>
  </si>
  <si>
    <t>2025-9679</t>
  </si>
  <si>
    <t>2025-8355</t>
  </si>
  <si>
    <t>2025-10092</t>
  </si>
  <si>
    <t>2025-9012</t>
  </si>
  <si>
    <t>2025-9818</t>
  </si>
  <si>
    <t>2025-8273</t>
  </si>
  <si>
    <t>2025-9279</t>
  </si>
  <si>
    <t>2025-9720</t>
  </si>
  <si>
    <t>2025-8413</t>
  </si>
  <si>
    <t>2025-9284</t>
  </si>
  <si>
    <t>2025-9271</t>
  </si>
  <si>
    <t>2025-9810</t>
  </si>
  <si>
    <t>2025-10086</t>
  </si>
  <si>
    <t>2025-10064</t>
  </si>
  <si>
    <t>2025-10031</t>
  </si>
  <si>
    <t>2025-9645</t>
  </si>
  <si>
    <t>2025-9955</t>
  </si>
  <si>
    <t>2025-9825</t>
  </si>
  <si>
    <t>2025-9932</t>
  </si>
  <si>
    <t>2025-9926</t>
  </si>
  <si>
    <t>2025-8588</t>
  </si>
  <si>
    <t>2025-8896</t>
  </si>
  <si>
    <t>2025-8284</t>
  </si>
  <si>
    <t>2025-10084</t>
  </si>
  <si>
    <t>2025-9939</t>
  </si>
  <si>
    <t>2025-8812</t>
  </si>
  <si>
    <t>2025-8513</t>
  </si>
  <si>
    <t>2025-8225</t>
  </si>
  <si>
    <t>2025-8662</t>
  </si>
  <si>
    <t>2025-10078</t>
  </si>
  <si>
    <t>2025-8599</t>
  </si>
  <si>
    <t>2025-9958</t>
  </si>
  <si>
    <t>2025-9626</t>
  </si>
  <si>
    <t>2025-9735</t>
  </si>
  <si>
    <t>2025-9598</t>
  </si>
  <si>
    <t>2025-9817</t>
  </si>
  <si>
    <t>2025-10045</t>
  </si>
  <si>
    <t>2025-9667</t>
  </si>
  <si>
    <t>2025-9871</t>
  </si>
  <si>
    <t>2025-9194</t>
  </si>
  <si>
    <t>2025-7883</t>
  </si>
  <si>
    <t>2025-9766</t>
  </si>
  <si>
    <t>2025-10056</t>
  </si>
  <si>
    <t>2025-9996</t>
  </si>
  <si>
    <t>2025-9835</t>
  </si>
  <si>
    <t>2025-10009</t>
  </si>
  <si>
    <t>2025-9000</t>
  </si>
  <si>
    <t>2025-9482</t>
  </si>
  <si>
    <t>2025-9577</t>
  </si>
  <si>
    <t>2025-9660</t>
  </si>
  <si>
    <t>2025-8690</t>
  </si>
  <si>
    <t>2025-9366</t>
  </si>
  <si>
    <t>2025-10035</t>
  </si>
  <si>
    <t>2025-9664</t>
  </si>
  <si>
    <t>2025-9950</t>
  </si>
  <si>
    <t>2025-9127</t>
  </si>
  <si>
    <t>2025-8948</t>
  </si>
  <si>
    <t>2025-9952</t>
  </si>
  <si>
    <t>2025-9274</t>
  </si>
  <si>
    <t>2025-9699</t>
  </si>
  <si>
    <t>2025-8356</t>
  </si>
  <si>
    <t>2025-9650</t>
  </si>
  <si>
    <t>2025-9030</t>
  </si>
  <si>
    <t>2025-9025</t>
  </si>
  <si>
    <t>2025-9846</t>
  </si>
  <si>
    <t>2025-8479</t>
  </si>
  <si>
    <t>2025-8282</t>
  </si>
  <si>
    <t>2025-10000</t>
  </si>
  <si>
    <t>2025-9623</t>
  </si>
  <si>
    <t>2025-10050</t>
  </si>
  <si>
    <t>2025-9714</t>
  </si>
  <si>
    <t>2025-8198</t>
  </si>
  <si>
    <t>2025-8311</t>
  </si>
  <si>
    <t>2025-9607</t>
  </si>
  <si>
    <t>2025-9922</t>
  </si>
  <si>
    <t>2025-9747</t>
  </si>
  <si>
    <t>2025-9357</t>
  </si>
  <si>
    <t>2025-9938</t>
  </si>
  <si>
    <t>2025-9733</t>
  </si>
  <si>
    <t>2025-9468</t>
  </si>
  <si>
    <t>2025-8420</t>
  </si>
  <si>
    <t>2025-9568</t>
  </si>
  <si>
    <t>2025-9196</t>
  </si>
  <si>
    <t>2025-9332</t>
  </si>
  <si>
    <t>2025-9624</t>
  </si>
  <si>
    <t>2025-9929</t>
  </si>
  <si>
    <t>2025-9948</t>
  </si>
  <si>
    <t>2025-10066</t>
  </si>
  <si>
    <t>2025-10022</t>
  </si>
  <si>
    <t>2025-9992</t>
  </si>
  <si>
    <t>2025-9756</t>
  </si>
  <si>
    <t>2025-9582</t>
  </si>
  <si>
    <t>2025-8455</t>
  </si>
  <si>
    <t>2025-10082</t>
  </si>
  <si>
    <t>2025-9868</t>
  </si>
  <si>
    <t>2025-9676</t>
  </si>
  <si>
    <t>2025-10005</t>
  </si>
  <si>
    <t>2025-9436</t>
  </si>
  <si>
    <t>2025-10029</t>
  </si>
  <si>
    <t>2025-8552</t>
  </si>
  <si>
    <t>2025-9887</t>
  </si>
  <si>
    <t>2025-8778</t>
  </si>
  <si>
    <t>2025-8831</t>
  </si>
  <si>
    <t>2025-8408</t>
  </si>
  <si>
    <t>2025-8247</t>
  </si>
  <si>
    <t>2025-9912</t>
  </si>
  <si>
    <t>2025-9830</t>
  </si>
  <si>
    <t>2025-10019</t>
  </si>
  <si>
    <t>2025-9904</t>
  </si>
  <si>
    <t>2025-10018</t>
  </si>
  <si>
    <t>2025-9124</t>
  </si>
  <si>
    <t>2025-10069</t>
  </si>
  <si>
    <t>2025-9309</t>
  </si>
  <si>
    <t>2025-9520</t>
  </si>
  <si>
    <t>2025-9605</t>
  </si>
  <si>
    <t>2025-9838</t>
  </si>
  <si>
    <t>2025-8981</t>
  </si>
  <si>
    <t>2025-8360</t>
  </si>
  <si>
    <t>2025-8568</t>
  </si>
  <si>
    <t>2025-9421</t>
  </si>
  <si>
    <t>2025-9485</t>
  </si>
  <si>
    <t>2025-9908</t>
  </si>
  <si>
    <t>2025-8745</t>
  </si>
  <si>
    <t>2025-8542</t>
  </si>
  <si>
    <t>2025-9434</t>
  </si>
  <si>
    <t>2025-8570</t>
  </si>
  <si>
    <t>2025-9959</t>
  </si>
  <si>
    <t>2025-8296</t>
  </si>
  <si>
    <t>2025-8424</t>
  </si>
  <si>
    <t>2025-10026</t>
  </si>
  <si>
    <t>2025-8688</t>
  </si>
  <si>
    <t>2025-9656</t>
  </si>
  <si>
    <t>2025-9902</t>
  </si>
  <si>
    <t>2025-9237</t>
  </si>
  <si>
    <t>2025-9659</t>
  </si>
  <si>
    <t>2025-9961</t>
  </si>
  <si>
    <t>2025-9856</t>
  </si>
  <si>
    <t>2025-9518</t>
  </si>
  <si>
    <t>2025-9296</t>
  </si>
  <si>
    <t>2025-10043</t>
  </si>
  <si>
    <t>2025-9974</t>
  </si>
  <si>
    <t>2025-9310</t>
  </si>
  <si>
    <t>2025-9680</t>
  </si>
  <si>
    <t>2025-10013</t>
  </si>
  <si>
    <t>2025-8421</t>
  </si>
  <si>
    <t>2025-9879</t>
  </si>
  <si>
    <t>2025-9448</t>
  </si>
  <si>
    <t>2025-8951</t>
  </si>
  <si>
    <t>2025-9909</t>
  </si>
  <si>
    <t>2025-9874</t>
  </si>
  <si>
    <t>2025-9821</t>
  </si>
  <si>
    <t>2025-9884</t>
  </si>
  <si>
    <t>2025-9280</t>
  </si>
  <si>
    <t>2025-10057</t>
  </si>
  <si>
    <t>2025-8209</t>
  </si>
  <si>
    <t>2025-8937</t>
  </si>
  <si>
    <t>2025-8653</t>
  </si>
  <si>
    <t>2025-9554</t>
  </si>
  <si>
    <t>2025-8710</t>
  </si>
  <si>
    <t>2025-10037</t>
  </si>
  <si>
    <t>2025-9965</t>
  </si>
  <si>
    <t>2025-8666</t>
  </si>
  <si>
    <t>2025-10007</t>
  </si>
  <si>
    <t>2025-8211</t>
  </si>
  <si>
    <t>2025-9500</t>
  </si>
  <si>
    <t>2025-9782</t>
  </si>
  <si>
    <t>2025-8614</t>
  </si>
  <si>
    <t>2025-9751</t>
  </si>
  <si>
    <t>2025-9960</t>
  </si>
  <si>
    <t>2025-9875</t>
  </si>
  <si>
    <t>2025-8970</t>
  </si>
  <si>
    <t>2025-9236</t>
  </si>
  <si>
    <t>2025-8450</t>
  </si>
  <si>
    <t>2025-9098</t>
  </si>
  <si>
    <t>2025-8579</t>
  </si>
  <si>
    <t>2025-8606</t>
  </si>
  <si>
    <t>2025-9851</t>
  </si>
  <si>
    <t>2025-9498</t>
  </si>
  <si>
    <t>2025-9604</t>
  </si>
  <si>
    <t>2025-9802</t>
  </si>
  <si>
    <t>2025-9070</t>
  </si>
  <si>
    <t>2025-8454</t>
  </si>
  <si>
    <t>2025-9652</t>
  </si>
  <si>
    <t>2025-10049</t>
  </si>
  <si>
    <t>2025-9538</t>
  </si>
  <si>
    <t>2025-9862</t>
  </si>
  <si>
    <t>2025-10040</t>
  </si>
  <si>
    <t>2025-9808</t>
  </si>
  <si>
    <t>2025-9816</t>
  </si>
  <si>
    <t>2025-9692</t>
  </si>
  <si>
    <t>2025-9586</t>
  </si>
  <si>
    <t>2025-9229</t>
  </si>
  <si>
    <t>2025-9501</t>
  </si>
  <si>
    <t>2025-8438</t>
  </si>
  <si>
    <t>2025-8761</t>
  </si>
  <si>
    <t>2025-8447</t>
  </si>
  <si>
    <t>2025-9197</t>
  </si>
  <si>
    <t>2025-9689</t>
  </si>
  <si>
    <t>2025-9797</t>
  </si>
  <si>
    <t>2025-9444</t>
  </si>
  <si>
    <t>2025-8779</t>
  </si>
  <si>
    <t>2025-8924</t>
  </si>
  <si>
    <t>2025-10047</t>
  </si>
  <si>
    <t>2025-9173</t>
  </si>
  <si>
    <t>2025-9304</t>
  </si>
  <si>
    <t>2025-9053</t>
  </si>
  <si>
    <t>2025-9183</t>
  </si>
  <si>
    <t>2025-8657</t>
  </si>
  <si>
    <t>2025-8377</t>
  </si>
  <si>
    <t>2025-8327</t>
  </si>
  <si>
    <t>2025-9396</t>
  </si>
  <si>
    <t>2025-9864</t>
  </si>
  <si>
    <t>2025-9935</t>
  </si>
  <si>
    <t>2025-10041</t>
  </si>
  <si>
    <t>2025-9811</t>
  </si>
  <si>
    <t>2025-8338</t>
  </si>
  <si>
    <t>2025-9863</t>
  </si>
  <si>
    <t>2025-9651</t>
  </si>
  <si>
    <t>2025-9953</t>
  </si>
  <si>
    <t>2025-9906</t>
  </si>
  <si>
    <t>2025-9962</t>
  </si>
  <si>
    <t>2025-8266</t>
  </si>
  <si>
    <t>2025-9324</t>
  </si>
  <si>
    <t>2025-9512</t>
  </si>
  <si>
    <t>2025-9362</t>
  </si>
  <si>
    <t>2025-10036</t>
  </si>
  <si>
    <t>2025-9494</t>
  </si>
  <si>
    <t>2025-8425</t>
  </si>
  <si>
    <t>2025-9388</t>
  </si>
  <si>
    <t>2025-8612</t>
  </si>
  <si>
    <t>2025-9980</t>
  </si>
  <si>
    <t>2025-9451</t>
  </si>
  <si>
    <t>2025-9534</t>
  </si>
  <si>
    <t>2025-9704</t>
  </si>
  <si>
    <t>2025-9669</t>
  </si>
  <si>
    <t>2025-9447</t>
  </si>
  <si>
    <t>2025-9343</t>
  </si>
  <si>
    <t>2025-8578</t>
  </si>
  <si>
    <t>2025-9104</t>
  </si>
  <si>
    <t>2025-9178</t>
  </si>
  <si>
    <t>2025-8401</t>
  </si>
  <si>
    <t>2025-9575</t>
  </si>
  <si>
    <t>2025-9648</t>
  </si>
  <si>
    <t>2025-9135</t>
  </si>
  <si>
    <t>2025-9784</t>
  </si>
  <si>
    <t>2025-10023</t>
  </si>
  <si>
    <t>2025-8805</t>
  </si>
  <si>
    <t>2025-8883</t>
  </si>
  <si>
    <t>2025-9424</t>
  </si>
  <si>
    <t>2025-9190</t>
  </si>
  <si>
    <t>2025-9067</t>
  </si>
  <si>
    <t>2025-8277</t>
  </si>
  <si>
    <t>2025-8545</t>
  </si>
  <si>
    <t>2025-8567</t>
  </si>
  <si>
    <t>2025-9461</t>
  </si>
  <si>
    <t>2025-8259</t>
  </si>
  <si>
    <t>2025-8321</t>
  </si>
  <si>
    <t>2025-9267</t>
  </si>
  <si>
    <t>2025-9073</t>
  </si>
  <si>
    <t>2025-8703</t>
  </si>
  <si>
    <t>2025-8705</t>
  </si>
  <si>
    <t>2025-9963</t>
  </si>
  <si>
    <t>2025-9275</t>
  </si>
  <si>
    <t>2025-9783</t>
  </si>
  <si>
    <t>2025-9293</t>
  </si>
  <si>
    <t>2025-8648</t>
  </si>
  <si>
    <t>2025-9079</t>
  </si>
  <si>
    <t>2025-9465</t>
  </si>
  <si>
    <t>2025-8723</t>
  </si>
  <si>
    <t>2025-9966</t>
  </si>
  <si>
    <t>2025-9254</t>
  </si>
  <si>
    <t>2025-9892</t>
  </si>
  <si>
    <t>2025-9456</t>
  </si>
  <si>
    <t>2025-8984</t>
  </si>
  <si>
    <t>2025-9251</t>
  </si>
  <si>
    <t>2025-8208</t>
  </si>
  <si>
    <t>2025-9641</t>
  </si>
  <si>
    <t>2025-9773</t>
  </si>
  <si>
    <t>2025-8628</t>
  </si>
  <si>
    <t>2025-10006</t>
  </si>
  <si>
    <t>2025-9479</t>
  </si>
  <si>
    <t>2025-9072</t>
  </si>
  <si>
    <t>2025-8556</t>
  </si>
  <si>
    <t>2025-9836</t>
  </si>
  <si>
    <t>2025-9920</t>
  </si>
  <si>
    <t>2025-9469</t>
  </si>
  <si>
    <t>2025-9995</t>
  </si>
  <si>
    <t>2025-9998</t>
  </si>
  <si>
    <t>2025-9200</t>
  </si>
  <si>
    <t>2025-9673</t>
  </si>
  <si>
    <t>2025-9433</t>
  </si>
  <si>
    <t>2025-8498</t>
  </si>
  <si>
    <t>2025-9418</t>
  </si>
  <si>
    <t>2025-9216</t>
  </si>
  <si>
    <t>2025-9983</t>
  </si>
  <si>
    <t>2025-9272</t>
  </si>
  <si>
    <t>2025-8750</t>
  </si>
  <si>
    <t>2025-9210</t>
  </si>
  <si>
    <t>2025-8522</t>
  </si>
  <si>
    <t>2025-9256</t>
  </si>
  <si>
    <t>2025-9647</t>
  </si>
  <si>
    <t>2025-9878</t>
  </si>
  <si>
    <t>2025-9487</t>
  </si>
  <si>
    <t>2025-9767</t>
  </si>
  <si>
    <t>2025-9947</t>
  </si>
  <si>
    <t>2025-9477</t>
  </si>
  <si>
    <t>2025-9954</t>
  </si>
  <si>
    <t>2025-9661</t>
  </si>
  <si>
    <t>2025-9993</t>
  </si>
  <si>
    <t>2025-9745</t>
  </si>
  <si>
    <t>2025-9882</t>
  </si>
  <si>
    <t>2025-8470</t>
  </si>
  <si>
    <t>2025-9614</t>
  </si>
  <si>
    <t>2025-9225</t>
  </si>
  <si>
    <t>2025-8452</t>
  </si>
  <si>
    <t>2025-8602</t>
  </si>
  <si>
    <t>2025-9625</t>
  </si>
  <si>
    <t>2025-8581</t>
  </si>
  <si>
    <t>2025-9248</t>
  </si>
  <si>
    <t>2025-8647</t>
  </si>
  <si>
    <t>2025-8655</t>
  </si>
  <si>
    <t>2025-8368</t>
  </si>
  <si>
    <t>2025-9201</t>
  </si>
  <si>
    <t>2025-9542</t>
  </si>
  <si>
    <t>2025-9048</t>
  </si>
  <si>
    <t>2025-9746</t>
  </si>
  <si>
    <t>2025-9398</t>
  </si>
  <si>
    <t>2025-9043</t>
  </si>
  <si>
    <t>2025-8262</t>
  </si>
  <si>
    <t>2025-9182</t>
  </si>
  <si>
    <t>2025-9740</t>
  </si>
  <si>
    <t>2025-9750</t>
  </si>
  <si>
    <t>2025-9606</t>
  </si>
  <si>
    <t>2025-9502</t>
  </si>
  <si>
    <t>2025-8325</t>
  </si>
  <si>
    <t>2025-8457</t>
  </si>
  <si>
    <t>2025-8901</t>
  </si>
  <si>
    <t>2025-9536</t>
  </si>
  <si>
    <t>2025-9235</t>
  </si>
  <si>
    <t>2025-8955</t>
  </si>
  <si>
    <t>2025-8983</t>
  </si>
  <si>
    <t>2025-9861</t>
  </si>
  <si>
    <t>2025-8293</t>
  </si>
  <si>
    <t>2025-9288</t>
  </si>
  <si>
    <t>2025-9281</t>
  </si>
  <si>
    <t>2025-9480</t>
  </si>
  <si>
    <t>2025-9924</t>
  </si>
  <si>
    <t>2025-9515</t>
  </si>
  <si>
    <t>2025-9015</t>
  </si>
  <si>
    <t>2025-9880</t>
  </si>
  <si>
    <t>2025-8197</t>
  </si>
  <si>
    <t>2025-9463</t>
  </si>
  <si>
    <t>2025-8329</t>
  </si>
  <si>
    <t>2025-9232</t>
  </si>
  <si>
    <t>2025-8422</t>
  </si>
  <si>
    <t>2025-8877</t>
  </si>
  <si>
    <t>2025-9040</t>
  </si>
  <si>
    <t>2025-9905</t>
  </si>
  <si>
    <t>2025-9602</t>
  </si>
  <si>
    <t>2025-9682</t>
  </si>
  <si>
    <t>2025-9382</t>
  </si>
  <si>
    <t>2025-8495</t>
  </si>
  <si>
    <t>2025-9823</t>
  </si>
  <si>
    <t>2025-9306</t>
  </si>
  <si>
    <t>2025-8691</t>
  </si>
  <si>
    <t>2025-9618</t>
  </si>
  <si>
    <t>2025-9085</t>
  </si>
  <si>
    <t>2025-9698</t>
  </si>
  <si>
    <t>2025-8529</t>
  </si>
  <si>
    <t>2025-9944</t>
  </si>
  <si>
    <t>2025-9843</t>
  </si>
  <si>
    <t>2025-8200</t>
  </si>
  <si>
    <t>2025-8497</t>
  </si>
  <si>
    <t>2025-9384</t>
  </si>
  <si>
    <t>2025-9622</t>
  </si>
  <si>
    <t>2025-8348</t>
  </si>
  <si>
    <t>2025-9253</t>
  </si>
  <si>
    <t>2025-9325</t>
  </si>
  <si>
    <t>2025-8393</t>
  </si>
  <si>
    <t>2025-9734</t>
  </si>
  <si>
    <t>2025-8771</t>
  </si>
  <si>
    <t>2025-9405</t>
  </si>
  <si>
    <t>2025-9777</t>
  </si>
  <si>
    <t>2025-8216</t>
  </si>
  <si>
    <t>2025-9016</t>
  </si>
  <si>
    <t>2025-9471</t>
  </si>
  <si>
    <t>2025-8566</t>
  </si>
  <si>
    <t>2025-8206</t>
  </si>
  <si>
    <t>2025-9420</t>
  </si>
  <si>
    <t>2025-9307</t>
  </si>
  <si>
    <t>2025-9483</t>
  </si>
  <si>
    <t>2025-9342</t>
  </si>
  <si>
    <t>2025-9927</t>
  </si>
  <si>
    <t>2025-9649</t>
  </si>
  <si>
    <t>2025-8903</t>
  </si>
  <si>
    <t>2025-8584</t>
  </si>
  <si>
    <t>2025-9898</t>
  </si>
  <si>
    <t>2025-8873</t>
  </si>
  <si>
    <t>2025-9832</t>
  </si>
  <si>
    <t>2025-9295</t>
  </si>
  <si>
    <t>2025-9883</t>
  </si>
  <si>
    <t>2025-9873</t>
  </si>
  <si>
    <t>2025-8738</t>
  </si>
  <si>
    <t>2025-9535</t>
  </si>
  <si>
    <t>2025-8466</t>
  </si>
  <si>
    <t>2025-9900</t>
  </si>
  <si>
    <t>2025-9796</t>
  </si>
  <si>
    <t>2025-9562</t>
  </si>
  <si>
    <t>2025-9896</t>
  </si>
  <si>
    <t>2025-8388</t>
  </si>
  <si>
    <t>2025-9588</t>
  </si>
  <si>
    <t>2025-8389</t>
  </si>
  <si>
    <t>2025-8246</t>
  </si>
  <si>
    <t>2025-8807</t>
  </si>
  <si>
    <t>2025-8772</t>
  </si>
  <si>
    <t>2025-8869</t>
  </si>
  <si>
    <t>2025-8523</t>
  </si>
  <si>
    <t>2025-9753</t>
  </si>
  <si>
    <t>2025-8494</t>
  </si>
  <si>
    <t>2025-8357</t>
  </si>
  <si>
    <t>2025-9584</t>
  </si>
  <si>
    <t>2025-8694</t>
  </si>
  <si>
    <t>2025-8696</t>
  </si>
  <si>
    <t>2025-8349</t>
  </si>
  <si>
    <t>2025-8547</t>
  </si>
  <si>
    <t>2025-9495</t>
  </si>
  <si>
    <t>2025-8419</t>
  </si>
  <si>
    <t>2025-8894</t>
  </si>
  <si>
    <t>2025-9907</t>
  </si>
  <si>
    <t>2025-9771</t>
  </si>
  <si>
    <t>2025-8463</t>
  </si>
  <si>
    <t>2025-9496</t>
  </si>
  <si>
    <t>2025-9540</t>
  </si>
  <si>
    <t>2025-9837</t>
  </si>
  <si>
    <t>2025-8565</t>
  </si>
  <si>
    <t>2025-9854</t>
  </si>
  <si>
    <t>2025-8844</t>
  </si>
  <si>
    <t>2025-8326</t>
  </si>
  <si>
    <t>2025-8857</t>
  </si>
  <si>
    <t>2025-9859</t>
  </si>
  <si>
    <t>2025-9755</t>
  </si>
  <si>
    <t>2025-9380</t>
  </si>
  <si>
    <t>2025-9541</t>
  </si>
  <si>
    <t>2025-9707</t>
  </si>
  <si>
    <t>2025-9858</t>
  </si>
  <si>
    <t>2025-8735</t>
  </si>
  <si>
    <t>2025-8487</t>
  </si>
  <si>
    <t>2025-9729</t>
  </si>
  <si>
    <t>2025-9844</t>
  </si>
  <si>
    <t>2025-8591</t>
  </si>
  <si>
    <t>2025-9779</t>
  </si>
  <si>
    <t>2025-9395</t>
  </si>
  <si>
    <t>2025-9791</t>
  </si>
  <si>
    <t>2025-9713</t>
  </si>
  <si>
    <t>2025-9260</t>
  </si>
  <si>
    <t>2025-9345</t>
  </si>
  <si>
    <t>2025-9831</t>
  </si>
  <si>
    <t>2025-9813</t>
  </si>
  <si>
    <t>2025-9328</t>
  </si>
  <si>
    <t>2025-9386</t>
  </si>
  <si>
    <t>2025-9261</t>
  </si>
  <si>
    <t>2025-8707</t>
  </si>
  <si>
    <t>2025-9218</t>
  </si>
  <si>
    <t>2025-8559</t>
  </si>
  <si>
    <t>2025-8231</t>
  </si>
  <si>
    <t>2025-9162</t>
  </si>
  <si>
    <t>2025-8391</t>
  </si>
  <si>
    <t>2025-8592</t>
  </si>
  <si>
    <t>2025-9799</t>
  </si>
  <si>
    <t>2025-9146</t>
  </si>
  <si>
    <t>2025-9696</t>
  </si>
  <si>
    <t>2025-9677</t>
  </si>
  <si>
    <t>2025-9671</t>
  </si>
  <si>
    <t>2025-9028</t>
  </si>
  <si>
    <t>2025-9834</t>
  </si>
  <si>
    <t>2025-9347</t>
  </si>
  <si>
    <t>2025-9508</t>
  </si>
  <si>
    <t>2025-8508</t>
  </si>
  <si>
    <t>2025-8767</t>
  </si>
  <si>
    <t>2025-9506</t>
  </si>
  <si>
    <t>2025-9452</t>
  </si>
  <si>
    <t>2025-9277</t>
  </si>
  <si>
    <t>2025-8533</t>
  </si>
  <si>
    <t>2025-9412</t>
  </si>
  <si>
    <t>2025-8331</t>
  </si>
  <si>
    <t>2025-8947</t>
  </si>
  <si>
    <t>2025-9308</t>
  </si>
  <si>
    <t>2025-8312</t>
  </si>
  <si>
    <t>Musa Jaiteh</t>
  </si>
  <si>
    <t>mjaiteh1993@gmail.com</t>
  </si>
  <si>
    <t>Wilton KHUMALO</t>
  </si>
  <si>
    <t>d.w.kwilton@gmail.com</t>
  </si>
  <si>
    <t>Kanyiso Kezile</t>
  </si>
  <si>
    <t>kezilekanyiso88@gmail.com</t>
  </si>
  <si>
    <t>Mduduzi Vilakazi</t>
  </si>
  <si>
    <t>2483004@students.wits.ac.za</t>
  </si>
  <si>
    <t>Sindisiwe Magubane</t>
  </si>
  <si>
    <t>sindimagubane05@gmail.com</t>
  </si>
  <si>
    <t>Tamsyn Alexander</t>
  </si>
  <si>
    <t>tamsynalex@gmail.com</t>
  </si>
  <si>
    <t>NV Maninjwa</t>
  </si>
  <si>
    <t>viwemaninjwa@icloud.com</t>
  </si>
  <si>
    <t>William Kah Chu</t>
  </si>
  <si>
    <t>onekind21@gmail.com</t>
  </si>
  <si>
    <t>Primrose Mbonani</t>
  </si>
  <si>
    <t>primrosenombuso26@gmail.com</t>
  </si>
  <si>
    <t>Anelisa Mahlungulu</t>
  </si>
  <si>
    <t>anelisamahlungulu@gmail.com</t>
  </si>
  <si>
    <t>Hannah Hall</t>
  </si>
  <si>
    <t>hannahhall12@icloud.com</t>
  </si>
  <si>
    <t>Ntsika Tyopo</t>
  </si>
  <si>
    <t>ntsikatyopo@gmail.com</t>
  </si>
  <si>
    <t>Oliver Kieser</t>
  </si>
  <si>
    <t>okieser@gmail.com</t>
  </si>
  <si>
    <t>Yusuf Isa</t>
  </si>
  <si>
    <t>yusufisa@yahoo.com</t>
  </si>
  <si>
    <t>Munashe Alvin Rukuni</t>
  </si>
  <si>
    <t>202100311@ufh.ac.za</t>
  </si>
  <si>
    <t>Samuel Leareng</t>
  </si>
  <si>
    <t>sleareng@gmail.com</t>
  </si>
  <si>
    <t>Leonard Johannes Pelser</t>
  </si>
  <si>
    <t>lenpelser@gmail.com</t>
  </si>
  <si>
    <t>Theto Ramogale</t>
  </si>
  <si>
    <t>thetoramogale@gmail.com</t>
  </si>
  <si>
    <t>Majahonkhe Shabangu</t>
  </si>
  <si>
    <t>majahonkhe.shabangu@uct.ac.za</t>
  </si>
  <si>
    <t>Sienne Molepo</t>
  </si>
  <si>
    <t>moleposienne@gmail.com</t>
  </si>
  <si>
    <t>S'busiso Blessing Gumede</t>
  </si>
  <si>
    <t>sbusisoblessingg@gmail.com</t>
  </si>
  <si>
    <t>Sarah Abi Rowe</t>
  </si>
  <si>
    <t>sarahabiirowe@gmail.com</t>
  </si>
  <si>
    <t>Andiswa Njilo</t>
  </si>
  <si>
    <t>u24137490@tuks.co.za</t>
  </si>
  <si>
    <t>Brent January</t>
  </si>
  <si>
    <t>brentjanuary1305@gmail.com</t>
  </si>
  <si>
    <t>Ross Van Herzeele</t>
  </si>
  <si>
    <t>rossvh1408@gmail.com</t>
  </si>
  <si>
    <t>Dara Kell</t>
  </si>
  <si>
    <t>dara.kell@gmail.com</t>
  </si>
  <si>
    <t>Danile Mata</t>
  </si>
  <si>
    <t>danilemata2@gmail.com</t>
  </si>
  <si>
    <t>Keith Dube</t>
  </si>
  <si>
    <t>28800621@sun.ac.za</t>
  </si>
  <si>
    <t>Jarid du Plooy</t>
  </si>
  <si>
    <t>duplooyjarid@gmail.com</t>
  </si>
  <si>
    <t>Seemeen Wookey</t>
  </si>
  <si>
    <t>201703165@spu.ac.za</t>
  </si>
  <si>
    <t>Camila Nkhama Nkhama</t>
  </si>
  <si>
    <t>camila.nkhama@gmail.com</t>
  </si>
  <si>
    <t>Sahil Dowra</t>
  </si>
  <si>
    <t>19021690@sun.ac.za</t>
  </si>
  <si>
    <t>Zukiswa Zanazo</t>
  </si>
  <si>
    <t>znzzuk001@myuct.ac.za</t>
  </si>
  <si>
    <t>Wycliffe Oluoch</t>
  </si>
  <si>
    <t>wycliffeoluoch1@gmail.com</t>
  </si>
  <si>
    <t>Zama Mkhwanazi</t>
  </si>
  <si>
    <t>zamamkhwanazi71@gmail.com</t>
  </si>
  <si>
    <t>Zizikazi Sodzidzi</t>
  </si>
  <si>
    <t>zizikazis@gmail.com</t>
  </si>
  <si>
    <t>Zama Mahlobo</t>
  </si>
  <si>
    <t>pzamah@sun.ac.za</t>
  </si>
  <si>
    <t>Tony Noveld</t>
  </si>
  <si>
    <t>noveldtony@gmail.com</t>
  </si>
  <si>
    <t>Mufudzi Chihambakwe</t>
  </si>
  <si>
    <t>mufudzi@worldspinecare.org</t>
  </si>
  <si>
    <t>Sithabile Mngadi-Ncube</t>
  </si>
  <si>
    <t>sithabilemngadi64@gmail.com</t>
  </si>
  <si>
    <t>Nic-Quinlyn Titus</t>
  </si>
  <si>
    <t>nic.quinlyntitus@gmail.com</t>
  </si>
  <si>
    <t>Fezeka Ntsanwisi</t>
  </si>
  <si>
    <t>fntsanwisi7@gmail.com</t>
  </si>
  <si>
    <t>Andzani Mdaka</t>
  </si>
  <si>
    <t>carren.mdaka56@gmail.com</t>
  </si>
  <si>
    <t>Kutlwano Kgaoganyeng</t>
  </si>
  <si>
    <t>kutlwikgao91@gmail.com</t>
  </si>
  <si>
    <t>Thozama Njobe</t>
  </si>
  <si>
    <t>thozama.njobe@gmail.com</t>
  </si>
  <si>
    <t>Lucy Bischof</t>
  </si>
  <si>
    <t>lucybischof03@gmail.com</t>
  </si>
  <si>
    <t>Maphatu Mashaba</t>
  </si>
  <si>
    <t>maphatum@gmail.com</t>
  </si>
  <si>
    <t>Ephraim Maphasa</t>
  </si>
  <si>
    <t>Ephraimmaphasa@gmail.com</t>
  </si>
  <si>
    <t>Bafokeng Sekaleli</t>
  </si>
  <si>
    <t>Bafokengsekaleli@gmail.com</t>
  </si>
  <si>
    <t>Khazimla Songo Joba</t>
  </si>
  <si>
    <t>jobakhazimla@gmail.com</t>
  </si>
  <si>
    <t>Monique van Bers</t>
  </si>
  <si>
    <t>Moniquevb321@gmail.com</t>
  </si>
  <si>
    <t>Nobuhle Kambunga</t>
  </si>
  <si>
    <t>27729753@sun.ac.za</t>
  </si>
  <si>
    <t>Betty Sehlola</t>
  </si>
  <si>
    <t>bettysehlola@gmail.com</t>
  </si>
  <si>
    <t>Bontle Lesego Bonolo Kgothule</t>
  </si>
  <si>
    <t>kbontle910@gmail.com</t>
  </si>
  <si>
    <t>Mbali Dhlamini</t>
  </si>
  <si>
    <t>mbalidhlamini@yahoo.co.uk</t>
  </si>
  <si>
    <t>Juanita Karol Chinemerem Nwachukwu</t>
  </si>
  <si>
    <t>nwcjua001@myuct.ac.za</t>
  </si>
  <si>
    <t>Tshepiso Monare</t>
  </si>
  <si>
    <t>tshepimonare01@gmail.com</t>
  </si>
  <si>
    <t>Mahlorhi Baloyi</t>
  </si>
  <si>
    <t>mahlorhiprince@gmail.com</t>
  </si>
  <si>
    <t>Tanya Megan van der Merwe</t>
  </si>
  <si>
    <t>tanyavdm@outlook.com</t>
  </si>
  <si>
    <t>Katlego Malatji</t>
  </si>
  <si>
    <t>valenciamalatji22@gmail.com</t>
  </si>
  <si>
    <t>Penelope Rampedi</t>
  </si>
  <si>
    <t>Ofentse1.sib@gmail.com</t>
  </si>
  <si>
    <t>Tyler Gibbons</t>
  </si>
  <si>
    <t>tgibbons@sun.ac.za</t>
  </si>
  <si>
    <t>Matt Lourens</t>
  </si>
  <si>
    <t>lourensmattj@gmail.com</t>
  </si>
  <si>
    <t>Charlize Hermans</t>
  </si>
  <si>
    <t>charlizehermans08@gmail.com</t>
  </si>
  <si>
    <t>Denny Mabetha</t>
  </si>
  <si>
    <t>denny.mabetha@wits.ac.za</t>
  </si>
  <si>
    <t>Alex Pennington</t>
  </si>
  <si>
    <t>zoopennington@gmail.com</t>
  </si>
  <si>
    <t>Emily Robertson</t>
  </si>
  <si>
    <t>emrobertson97@gmail.com</t>
  </si>
  <si>
    <t>Andile Ramalamula</t>
  </si>
  <si>
    <t>zaneleandile@gmail.com</t>
  </si>
  <si>
    <t>Liam Slabbert</t>
  </si>
  <si>
    <t>slabbertliam@gmail.com</t>
  </si>
  <si>
    <t>Ndivhuwo Shumbula</t>
  </si>
  <si>
    <t>ndivhuwos@mintek.co.za</t>
  </si>
  <si>
    <t>Robert Dugmore</t>
  </si>
  <si>
    <t>rtdugmore@gmail.com</t>
  </si>
  <si>
    <t>Onthatile Moseki</t>
  </si>
  <si>
    <t>onthatilemoseki@gmail.com</t>
  </si>
  <si>
    <t>Oluwadamilola Makinde</t>
  </si>
  <si>
    <t>makinde2020@gmail.com</t>
  </si>
  <si>
    <t>Mmaphuti Charity Lewatle</t>
  </si>
  <si>
    <t>Mmaphuti.lewatle@mrc.ac.za</t>
  </si>
  <si>
    <t>Gavin Foster</t>
  </si>
  <si>
    <t>fstgav002@myuct.ac.za</t>
  </si>
  <si>
    <t>Palesa Seganye</t>
  </si>
  <si>
    <t>1573774@students.wits.ac.za</t>
  </si>
  <si>
    <t>Testimony Gabe-Oji</t>
  </si>
  <si>
    <t>GBJTES001@myuct.ac.za</t>
  </si>
  <si>
    <t>Lizanne Andrag</t>
  </si>
  <si>
    <t>andrag.lizanne.la@gmail.com</t>
  </si>
  <si>
    <t>Promise Mazibuko</t>
  </si>
  <si>
    <t>promiselandmazibukos@gmail.com</t>
  </si>
  <si>
    <t>Gomolemo Perseverence Shabangu</t>
  </si>
  <si>
    <t>Kgomolemoshabangu@gmail.com</t>
  </si>
  <si>
    <t>Nomabhongo Masana</t>
  </si>
  <si>
    <t>nnomabhongo@gmail.com</t>
  </si>
  <si>
    <t>Raphael De Sousa</t>
  </si>
  <si>
    <t>raphaeldesousa2003@gmail.com</t>
  </si>
  <si>
    <t>LERATO MLABA</t>
  </si>
  <si>
    <t>leratomlaba1@gmail.com</t>
  </si>
  <si>
    <t>Natalie Bezerra</t>
  </si>
  <si>
    <t>23798629@sun.ac.za</t>
  </si>
  <si>
    <t>Rabelani Mudzuli</t>
  </si>
  <si>
    <t>rabemudzuli@icloud.com</t>
  </si>
  <si>
    <t>Simon Wolfson</t>
  </si>
  <si>
    <t>simonwolfson3@gmail.com</t>
  </si>
  <si>
    <t>Simone Barry</t>
  </si>
  <si>
    <t>simonebarry84@gmail.com</t>
  </si>
  <si>
    <t>ZAINAB KHARVA</t>
  </si>
  <si>
    <t>zainab.kharva@gmail.com</t>
  </si>
  <si>
    <t>Andiswa Simelane</t>
  </si>
  <si>
    <t>simelane.ats@gmail.com</t>
  </si>
  <si>
    <t>Thandiwe Ntomfuthi Mkhatshwa</t>
  </si>
  <si>
    <t>thandiwe.mkhatshwa@ul.ac.za</t>
  </si>
  <si>
    <t>Benjamin Abraham</t>
  </si>
  <si>
    <t>abrahamb@sun.ac.za</t>
  </si>
  <si>
    <t>Dzanga Rambuda</t>
  </si>
  <si>
    <t>dzangarambuda839@gmail.com</t>
  </si>
  <si>
    <t>Sandiswa Thobeka Mntambo</t>
  </si>
  <si>
    <t>mntambosandiswa@gmail.com</t>
  </si>
  <si>
    <t>Mandita Rakei</t>
  </si>
  <si>
    <t>2303880@students.wits.ac.za</t>
  </si>
  <si>
    <t>Ramakgahlela Betty Sebati</t>
  </si>
  <si>
    <t>bettysebati800@gmail.com</t>
  </si>
  <si>
    <t>Alistair Christmas</t>
  </si>
  <si>
    <t>21861404@sun.ac.za</t>
  </si>
  <si>
    <t>Thandokuhle Nkambule</t>
  </si>
  <si>
    <t>mcebo.mthandos17@gmail.com</t>
  </si>
  <si>
    <t>Letlhogonolo Latin Lokoae</t>
  </si>
  <si>
    <t>LatinLokoae@gmail.com</t>
  </si>
  <si>
    <t>Micaela Boardman</t>
  </si>
  <si>
    <t>micciboardman@gmail.com</t>
  </si>
  <si>
    <t>Carly Burmeister</t>
  </si>
  <si>
    <t>carlyburmeister6@gmail.com</t>
  </si>
  <si>
    <t>Matlhogonolo Rapelang Mookisi</t>
  </si>
  <si>
    <t>mookisirapelang@gmail.com</t>
  </si>
  <si>
    <t>Cicero Skweza</t>
  </si>
  <si>
    <t>Cwengasikweza98@gmail.com</t>
  </si>
  <si>
    <t>Tamar Abigail Jansen</t>
  </si>
  <si>
    <t>25422685@sun.ac.za</t>
  </si>
  <si>
    <t>Bayanda Yende</t>
  </si>
  <si>
    <t>yendebayanda@gmail.com</t>
  </si>
  <si>
    <t>Elizabeth Tikiso</t>
  </si>
  <si>
    <t>lizzietikiso@gmail.com</t>
  </si>
  <si>
    <t>Khethani Thendo Mathikhi</t>
  </si>
  <si>
    <t>thendzm@gmail.com</t>
  </si>
  <si>
    <t>Jonathan Hughes</t>
  </si>
  <si>
    <t>hughesjonathan3@gmail.com</t>
  </si>
  <si>
    <t>Zelalem Sintayehu Shibeshi</t>
  </si>
  <si>
    <t>z.shibeshi@ru.ac.za</t>
  </si>
  <si>
    <t>Siboniso Magoso</t>
  </si>
  <si>
    <t>sbohdainnor@gmail.com</t>
  </si>
  <si>
    <t>Ronelle Burger</t>
  </si>
  <si>
    <t>rburger@sun.ac.za</t>
  </si>
  <si>
    <t>Emma Kruger</t>
  </si>
  <si>
    <t>emmakruger263@gmail.com</t>
  </si>
  <si>
    <t>Keletso Matshwele</t>
  </si>
  <si>
    <t>keletsomatsoele@icloud.com</t>
  </si>
  <si>
    <t>Michael Hough</t>
  </si>
  <si>
    <t>gnr.enco@gmail.com</t>
  </si>
  <si>
    <t>Luke-John Daniels</t>
  </si>
  <si>
    <t>ljdaniels56@gmail.com</t>
  </si>
  <si>
    <t>Juliet Nagawa</t>
  </si>
  <si>
    <t>juliet.nagawa@uct.ac.za</t>
  </si>
  <si>
    <t>Banele Banda</t>
  </si>
  <si>
    <t>banelefk@gmail.com</t>
  </si>
  <si>
    <t>Nicola Danielle Rohwer</t>
  </si>
  <si>
    <t>25336991@sun.ac.za</t>
  </si>
  <si>
    <t>John Richard Faul</t>
  </si>
  <si>
    <t>johnfaul.ri@gmail.com</t>
  </si>
  <si>
    <t>Kyle Craninx</t>
  </si>
  <si>
    <t>kcraninx@gmail.com</t>
  </si>
  <si>
    <t>Seamogelo Charity Sephiri</t>
  </si>
  <si>
    <t>seamosephiri@gmail.com</t>
  </si>
  <si>
    <t>Olivia Page-Macdonald</t>
  </si>
  <si>
    <t>PGMOLI001@myuct.ac.za</t>
  </si>
  <si>
    <t>Moleboheng Phiri</t>
  </si>
  <si>
    <t>mamiky.phiri@up.ac.za</t>
  </si>
  <si>
    <t>Ntsikelelo Kama</t>
  </si>
  <si>
    <t>ntsikelelokama022@gmail.com</t>
  </si>
  <si>
    <t>Katleho Habi</t>
  </si>
  <si>
    <t>2439983@students.wits.ac.za</t>
  </si>
  <si>
    <t>KAMOGELO MOGOTSI</t>
  </si>
  <si>
    <t>Raemogotsi205@gmail.com</t>
  </si>
  <si>
    <t>Samuel Menbere</t>
  </si>
  <si>
    <t>mnbsam002@myuct.ac.za</t>
  </si>
  <si>
    <t>Raelene Jones-Sappor</t>
  </si>
  <si>
    <t>raelene.b.jones@gmail.com</t>
  </si>
  <si>
    <t>Cade Peters</t>
  </si>
  <si>
    <t>caderibeiropeters@gmail.com</t>
  </si>
  <si>
    <t>Pia Scharein</t>
  </si>
  <si>
    <t>schareinpia@gmail.com</t>
  </si>
  <si>
    <t>Nokuzotha Nkiwane</t>
  </si>
  <si>
    <t>nkwnok011@myuct.ac.za</t>
  </si>
  <si>
    <t>Lukho Witbooi</t>
  </si>
  <si>
    <t>Witjabo@Gmail.com</t>
  </si>
  <si>
    <t>Hayley Marais</t>
  </si>
  <si>
    <t>hayleyjoanmarais@gmail.com</t>
  </si>
  <si>
    <t>Xolile Mbi</t>
  </si>
  <si>
    <t>xolilembi@gmail.com</t>
  </si>
  <si>
    <t>Nina Barnett</t>
  </si>
  <si>
    <t>nina@ninabarnett.org</t>
  </si>
  <si>
    <t>Martin Kiwanuka</t>
  </si>
  <si>
    <t>martin2kiwanuka@gmail.com</t>
  </si>
  <si>
    <t>Letlhogonolo Mokaleng</t>
  </si>
  <si>
    <t>mokalengletlhogonolo5@gmail.com</t>
  </si>
  <si>
    <t>Ava van Huyssteen</t>
  </si>
  <si>
    <t>avavanhuyssteen@gmail.com</t>
  </si>
  <si>
    <t>Asamkela Ketelo</t>
  </si>
  <si>
    <t>asamkela@gmail.com</t>
  </si>
  <si>
    <t>Cathrine Manengena</t>
  </si>
  <si>
    <t>202235266@spu.ac.za</t>
  </si>
  <si>
    <t>Daniel Holgate</t>
  </si>
  <si>
    <t>hlgdan001@myuct.ac.za</t>
  </si>
  <si>
    <t>Charles Abimbola Faseyi</t>
  </si>
  <si>
    <t>charles.faseyi@uct.ac.za</t>
  </si>
  <si>
    <t>Noluthando Manyisa</t>
  </si>
  <si>
    <t>manyisanr@gmail.com</t>
  </si>
  <si>
    <t>Khanyisa  Hoko</t>
  </si>
  <si>
    <t>hokokhanyisa@gmail.com</t>
  </si>
  <si>
    <t>Tanaka Ndongwe</t>
  </si>
  <si>
    <t>tanakandongwe9@gmail.com</t>
  </si>
  <si>
    <t>Jenniver Basetsana Molatlhwa</t>
  </si>
  <si>
    <t>molatlhwabasetsana@gmail.com</t>
  </si>
  <si>
    <t>Wilene Theron</t>
  </si>
  <si>
    <t>wilenetheron@gmail.com</t>
  </si>
  <si>
    <t>Nomcebo Sithole</t>
  </si>
  <si>
    <t>nomcebonsithole@gmail.com</t>
  </si>
  <si>
    <t>De Wet Meyer</t>
  </si>
  <si>
    <t>deem8842@gmail.com</t>
  </si>
  <si>
    <t>Nestene Botha</t>
  </si>
  <si>
    <t>nestene@exploreprotech.com</t>
  </si>
  <si>
    <t>Ayesha Shaik</t>
  </si>
  <si>
    <t>20150113@sun.ac.za</t>
  </si>
  <si>
    <t>Patience Shoko</t>
  </si>
  <si>
    <t>shokovimbai2@gmail.com</t>
  </si>
  <si>
    <t>Tebogo Mahlobogoane</t>
  </si>
  <si>
    <t>tebogomahlobogoane@gmail.com</t>
  </si>
  <si>
    <t>Molokotima Kekana</t>
  </si>
  <si>
    <t>ultimategohan.mok@gmail.com</t>
  </si>
  <si>
    <t>Amalia Naita Awala</t>
  </si>
  <si>
    <t>amalia.awala@uct.ac.za</t>
  </si>
  <si>
    <t>Raymond Bott</t>
  </si>
  <si>
    <t>raymondbott7@gmail.com</t>
  </si>
  <si>
    <t>Karabo Mohale</t>
  </si>
  <si>
    <t>ntswakikarabo8@gmail.com</t>
  </si>
  <si>
    <t>Jennifer Tempest</t>
  </si>
  <si>
    <t>Sean.fp.tempest@gmail.com</t>
  </si>
  <si>
    <t>Zwiande Ramadwa</t>
  </si>
  <si>
    <t>Zwiandegerold@gmail.com</t>
  </si>
  <si>
    <t>Abongile Nkamisa</t>
  </si>
  <si>
    <t>abongilenk@gmail.com</t>
  </si>
  <si>
    <t>Chiara Mzizi</t>
  </si>
  <si>
    <t>MZZCHI002@myuct.ac.za</t>
  </si>
  <si>
    <t>Mutubatsa Tshuma</t>
  </si>
  <si>
    <t>mutubatsa.tshuma@gmail.com</t>
  </si>
  <si>
    <t>Mbali Kuze</t>
  </si>
  <si>
    <t>mbalikuze77@gmail.com</t>
  </si>
  <si>
    <t>Lebogang Makgolokwe</t>
  </si>
  <si>
    <t>lebogangcom265@gmail.com</t>
  </si>
  <si>
    <t>Mpumelelo Nxumalo</t>
  </si>
  <si>
    <t>2020587131@ufs4life.ac.za</t>
  </si>
  <si>
    <t>Molise Michael Sebatana</t>
  </si>
  <si>
    <t>molisesebatana@gmail.com</t>
  </si>
  <si>
    <t>Nomthandazo Msipha</t>
  </si>
  <si>
    <t>nomthims@gmail.com</t>
  </si>
  <si>
    <t>kealeboga molokoane</t>
  </si>
  <si>
    <t>kealebogamolokoane2001@gmail.com</t>
  </si>
  <si>
    <t>Neo Mokhuoane</t>
  </si>
  <si>
    <t>neomokhuoane@gmail.com</t>
  </si>
  <si>
    <t>Mieke Struwig</t>
  </si>
  <si>
    <t>19458673@sun.ac.za</t>
  </si>
  <si>
    <t>Mbali Sangweni</t>
  </si>
  <si>
    <t>sangwenimbalenhle9@gmail.com</t>
  </si>
  <si>
    <t>Merriam Mamorena Leeuw</t>
  </si>
  <si>
    <t>457921@students.wits.ac.za</t>
  </si>
  <si>
    <t>Gabriela Singh</t>
  </si>
  <si>
    <t>snggab002@myuct.ac.za</t>
  </si>
  <si>
    <t>Gabriel De Freitas</t>
  </si>
  <si>
    <t>gabbi.defreitas@gmail.com</t>
  </si>
  <si>
    <t>Abenathi Magaqa</t>
  </si>
  <si>
    <t>abenathimagaqa@gmail.com</t>
  </si>
  <si>
    <t>Marnie McGowan</t>
  </si>
  <si>
    <t>marnie.mcgowan@gmail.com</t>
  </si>
  <si>
    <t>Cheyann Dare</t>
  </si>
  <si>
    <t>1852761@students.wits.ac.za</t>
  </si>
  <si>
    <t>Amogelang Ratlhogo</t>
  </si>
  <si>
    <t>ratlhogoamo1532@gmail.com</t>
  </si>
  <si>
    <t>Sipho Mfazi</t>
  </si>
  <si>
    <t>Mfazisipho@gmail.com</t>
  </si>
  <si>
    <t>Bernett Nkwayi Mulungo</t>
  </si>
  <si>
    <t>mulungob@gmail.com</t>
  </si>
  <si>
    <t>Florence Muzenda</t>
  </si>
  <si>
    <t>fmuzenda@sun.ac.za</t>
  </si>
  <si>
    <t>Sibusiso Trevor Dlamini</t>
  </si>
  <si>
    <t>2619692@students.wits.ac.za</t>
  </si>
  <si>
    <t>Mukesh Kumar Verma</t>
  </si>
  <si>
    <t>VermaM@ukzn.ac.za</t>
  </si>
  <si>
    <t>Nomthandazo Nxasane</t>
  </si>
  <si>
    <t>nomthandazonxasane@gmail.com</t>
  </si>
  <si>
    <t>Veronique De Jager</t>
  </si>
  <si>
    <t>djgver001@myuct.ac.za</t>
  </si>
  <si>
    <t>Samkelo Radebe</t>
  </si>
  <si>
    <t>2022157040@ufs4life.ac.za</t>
  </si>
  <si>
    <t>Gabriela Carolus</t>
  </si>
  <si>
    <t>gcarolus@sun.ac.za</t>
  </si>
  <si>
    <t>Whoghuwah Muntonia Heidi Makena</t>
  </si>
  <si>
    <t>mknwho001@myuct.ac.za</t>
  </si>
  <si>
    <t>Tendani Goodnes Nethomboni</t>
  </si>
  <si>
    <t>tendigoodnethomboni@gmail.com</t>
  </si>
  <si>
    <t>Megan Jacobs</t>
  </si>
  <si>
    <t>24833703@sun.ac.za</t>
  </si>
  <si>
    <t>Tallulah Rose Glasby</t>
  </si>
  <si>
    <t>23540303@sun.ac.za</t>
  </si>
  <si>
    <t>Kwakhanya Dyantyi</t>
  </si>
  <si>
    <t>kdyantyi17@gmail.com</t>
  </si>
  <si>
    <t>Makhado Ledwaba</t>
  </si>
  <si>
    <t>24406732@sun.ac.za</t>
  </si>
  <si>
    <t>Chandelé Montgomery</t>
  </si>
  <si>
    <t>1349460@students.wits.ac.za</t>
  </si>
  <si>
    <t>Bongekile Radebe</t>
  </si>
  <si>
    <t>bongekileradebe1308@gmail.com</t>
  </si>
  <si>
    <t>Karabo Ramafoko</t>
  </si>
  <si>
    <t>ramafokokarabo@gmail.com</t>
  </si>
  <si>
    <t>Benedict Moyo</t>
  </si>
  <si>
    <t>u23932679@tuks.co.za</t>
  </si>
  <si>
    <t>Nirveda Alleck</t>
  </si>
  <si>
    <t>nirvedaalleck@gmail.com</t>
  </si>
  <si>
    <t>Thirusha Mohabir</t>
  </si>
  <si>
    <t>thirushamohabir@gmail.com</t>
  </si>
  <si>
    <t>Aneska Richter</t>
  </si>
  <si>
    <t>28885260@mynwu.ac.za</t>
  </si>
  <si>
    <t>Isabel de Beer</t>
  </si>
  <si>
    <t>isabel.debeer8@gmail.com</t>
  </si>
  <si>
    <t>Karabelo Shirinde</t>
  </si>
  <si>
    <t>Karabeloshirinde@gmail.com</t>
  </si>
  <si>
    <t>Christine Mkhonto</t>
  </si>
  <si>
    <t>chresimkhonto@gmail.com</t>
  </si>
  <si>
    <t>Onethemba Xoma</t>
  </si>
  <si>
    <t>onethembaxoma@gmail.com</t>
  </si>
  <si>
    <t>Olufemi Olubodun</t>
  </si>
  <si>
    <t>olubodun.olufemi@gmail.com</t>
  </si>
  <si>
    <t>Lilitha Cengani</t>
  </si>
  <si>
    <t>cnglil001@myuct.ac.za</t>
  </si>
  <si>
    <t>Bevin Davids</t>
  </si>
  <si>
    <t>davidsbevin@gmail.com</t>
  </si>
  <si>
    <t>Amber Sneddon</t>
  </si>
  <si>
    <t>sndamb002@myuct.ac.za</t>
  </si>
  <si>
    <t>Sereko Erasmus</t>
  </si>
  <si>
    <t>sereko.erasmus@gmail.com</t>
  </si>
  <si>
    <t>william Moloto</t>
  </si>
  <si>
    <t>william.moloto@live.com</t>
  </si>
  <si>
    <t>Okhwathisa Nemunzhele</t>
  </si>
  <si>
    <t>nemunzheleo@gmail.com</t>
  </si>
  <si>
    <t>Fisseha Andualem Bezza</t>
  </si>
  <si>
    <t>fissehaandualem@gmail.com</t>
  </si>
  <si>
    <t>Masentle Phophi</t>
  </si>
  <si>
    <t>nyakallomasentle@gmail.com</t>
  </si>
  <si>
    <t>Joshua Pearse</t>
  </si>
  <si>
    <t>notartjosh@gmail.com</t>
  </si>
  <si>
    <t>Karabelo Plaatjie</t>
  </si>
  <si>
    <t>karabelo30@icloud.com</t>
  </si>
  <si>
    <t>Rudorwedu Blessing Shanduka</t>
  </si>
  <si>
    <t>shandukarb0331@gmail.com</t>
  </si>
  <si>
    <t>Eldridge Anthony Makamu</t>
  </si>
  <si>
    <t>eldridge.makamu@gmail.com</t>
  </si>
  <si>
    <t>Ronaldo Mukhari</t>
  </si>
  <si>
    <t>roniemukhari@gmail.com</t>
  </si>
  <si>
    <t>Lungile Buthelezi</t>
  </si>
  <si>
    <t>lungilesondiah@gmail.com</t>
  </si>
  <si>
    <t>Dillon Croshaw</t>
  </si>
  <si>
    <t>dillonarthurcroshaw@gmail.com</t>
  </si>
  <si>
    <t>Baphiwe Mlondo</t>
  </si>
  <si>
    <t>baphiwemlondo@gmail.com</t>
  </si>
  <si>
    <t>Nontobeko Gcabashe</t>
  </si>
  <si>
    <t>220012265@stu.ukzn.ac.za</t>
  </si>
  <si>
    <t>KANYA PADAYACHEE</t>
  </si>
  <si>
    <t>padayacheek@ufs.ac.za</t>
  </si>
  <si>
    <t>Annelet Dippenaar</t>
  </si>
  <si>
    <t>anneletdip@gmail.com</t>
  </si>
  <si>
    <t>Brenda Motlalepula Nkareng</t>
  </si>
  <si>
    <t>202001418@spu.ac.za</t>
  </si>
  <si>
    <t>Alexandra Whitehouse</t>
  </si>
  <si>
    <t>alexwhitehouse10@gmail.com</t>
  </si>
  <si>
    <t>Greta Hechter</t>
  </si>
  <si>
    <t>greta.hechter@tuks.co.za</t>
  </si>
  <si>
    <t>Limpho Thipane</t>
  </si>
  <si>
    <t>THPLIM001@myuct.ac.za</t>
  </si>
  <si>
    <t>Amogelang Ramatsetse</t>
  </si>
  <si>
    <t>ramatsetseamo@gmail.com</t>
  </si>
  <si>
    <t>Kayla Hope Duthie</t>
  </si>
  <si>
    <t>kay.duthie@gmail.com</t>
  </si>
  <si>
    <t>Gemma Field</t>
  </si>
  <si>
    <t>fieldgrn@ufs.ac.za</t>
  </si>
  <si>
    <t>AU Silimela</t>
  </si>
  <si>
    <t>unaliasilimela@gmail.com</t>
  </si>
  <si>
    <t>Iphendule Filtane</t>
  </si>
  <si>
    <t>filtane@sun.ac.za</t>
  </si>
  <si>
    <t>Etresia-Marie Nortje</t>
  </si>
  <si>
    <t>enortje03@gmail.com</t>
  </si>
  <si>
    <t>Mosa Kgasu</t>
  </si>
  <si>
    <t>202112103@spu.ac.za</t>
  </si>
  <si>
    <t>Nosipho Hlalukana</t>
  </si>
  <si>
    <t>nosiphohlalukana@gmail.com</t>
  </si>
  <si>
    <t>Jesse Le Roux</t>
  </si>
  <si>
    <t>23868775@sun.ac.za</t>
  </si>
  <si>
    <t>Chloë Netta</t>
  </si>
  <si>
    <t>chloenetta@gmail.com</t>
  </si>
  <si>
    <t>Matthew O'Kelly</t>
  </si>
  <si>
    <t>matthew.a.okelly@gmail.com</t>
  </si>
  <si>
    <t>Sibusiso Mangciphu</t>
  </si>
  <si>
    <t>Sibusisomangciphu0203@gmail.com</t>
  </si>
  <si>
    <t>Christiaan Grobler</t>
  </si>
  <si>
    <t>christiaan.grobler@fabi.up.ac.za</t>
  </si>
  <si>
    <t>Lesedi Moagi</t>
  </si>
  <si>
    <t>Lesegomoagi60@gmail.com</t>
  </si>
  <si>
    <t>Papama Meleni</t>
  </si>
  <si>
    <t>melenipapama@gmail.com</t>
  </si>
  <si>
    <t>Tiisetso Mamabolo</t>
  </si>
  <si>
    <t>tiisetso.mamabolo56@gmail.com</t>
  </si>
  <si>
    <t>Nhlanzeko Mbulu</t>
  </si>
  <si>
    <t>mbulunhlanzeko@gmail.com</t>
  </si>
  <si>
    <t>Thabo Hamiwe</t>
  </si>
  <si>
    <t>thabohamiwe@gmail.com</t>
  </si>
  <si>
    <t>Philip Janney</t>
  </si>
  <si>
    <t>phil.janney@uct.ac.za</t>
  </si>
  <si>
    <t>Meghan Finn</t>
  </si>
  <si>
    <t>meghanrosefinn@gmail.com</t>
  </si>
  <si>
    <t>Keldon Schroeder</t>
  </si>
  <si>
    <t>u21436152@tuks.co.za</t>
  </si>
  <si>
    <t>Thulani Baloyi</t>
  </si>
  <si>
    <t>studentpsych@outlook.com</t>
  </si>
  <si>
    <t>Minenhle Mayisela</t>
  </si>
  <si>
    <t>mmayisela2000@gmail.com</t>
  </si>
  <si>
    <t>Nicola Goosen</t>
  </si>
  <si>
    <t>nixpotter@gmail.com</t>
  </si>
  <si>
    <t>Lerato Lebona</t>
  </si>
  <si>
    <t>lerato.lebona28@gmail.com</t>
  </si>
  <si>
    <t>Ashley Newland-Nell</t>
  </si>
  <si>
    <t>newlandnellashley@gmail.com</t>
  </si>
  <si>
    <t>Tshiamo Setuke</t>
  </si>
  <si>
    <t>setuketshiamo@gmail.com</t>
  </si>
  <si>
    <t>Angela Mibey</t>
  </si>
  <si>
    <t>angmib12@gmail.com</t>
  </si>
  <si>
    <t>Robyn Hocter</t>
  </si>
  <si>
    <t>rhocter@gmail.com</t>
  </si>
  <si>
    <t>Kirsten Miller</t>
  </si>
  <si>
    <t>kirsty@kirstenmiller.co.za</t>
  </si>
  <si>
    <t>Lerato Sekele</t>
  </si>
  <si>
    <t>veralerato@gmail.com</t>
  </si>
  <si>
    <t>Thandekile KUNENE</t>
  </si>
  <si>
    <t>Thandekile.jkunene@gmail.com</t>
  </si>
  <si>
    <t>Sanelisiwe Mhlongo</t>
  </si>
  <si>
    <t>mhlongosanelisiwe68@gmail.com</t>
  </si>
  <si>
    <t>Carolyne Jeptoo</t>
  </si>
  <si>
    <t>carol25jeptoo@gmail.com</t>
  </si>
  <si>
    <t>Bogosi Msutwana</t>
  </si>
  <si>
    <t>bogosi.msutwana@st-annes.ox.ac.uk</t>
  </si>
  <si>
    <t>Jessie Dixon</t>
  </si>
  <si>
    <t>24811467@sun.ac.za</t>
  </si>
  <si>
    <t>Cindy-Melissa Mouton</t>
  </si>
  <si>
    <t>cindymouton.speech@gmail.com</t>
  </si>
  <si>
    <t>Thikho Khakhu</t>
  </si>
  <si>
    <t>thikhokhakhu17@gmail.com</t>
  </si>
  <si>
    <t>Ilara Slabbert</t>
  </si>
  <si>
    <t>slabbertilara2000@gmail.com</t>
  </si>
  <si>
    <t>Neo Raseale</t>
  </si>
  <si>
    <t>neor262@gmail.com</t>
  </si>
  <si>
    <t>Motshabi Selinah Ntsoeu</t>
  </si>
  <si>
    <t>malaika.ntsoeu@gmail.com</t>
  </si>
  <si>
    <t>Siyabonga Sibusisi Mthethwa</t>
  </si>
  <si>
    <t>ciamthethwa@gmail.com</t>
  </si>
  <si>
    <t>Masimba Yuba</t>
  </si>
  <si>
    <t>masimbayuba@gmail.com</t>
  </si>
  <si>
    <t>Gustav Lindemann</t>
  </si>
  <si>
    <t>gustavqs@outlook.com</t>
  </si>
  <si>
    <t>Khomotso Mohlala</t>
  </si>
  <si>
    <t>kittymohlala07@gmail.com</t>
  </si>
  <si>
    <t>Nathan Huysamen</t>
  </si>
  <si>
    <t>Huysamen.nathan@gmail.com</t>
  </si>
  <si>
    <t>Simon Zwelivumile Qobo</t>
  </si>
  <si>
    <t>simon.qobo@gmail.com</t>
  </si>
  <si>
    <t>Memory Ponela</t>
  </si>
  <si>
    <t>memoryponela@gmail.com</t>
  </si>
  <si>
    <t>Damien Gergonne</t>
  </si>
  <si>
    <t>gergonne.damien@gmail.com</t>
  </si>
  <si>
    <t>Yolisa Palesa Tsoaeli</t>
  </si>
  <si>
    <t>yolisa.tsoaeli.work@gmail.com</t>
  </si>
  <si>
    <t>Tebogo Kgatle</t>
  </si>
  <si>
    <t>tebogokgatle133@gmail.com</t>
  </si>
  <si>
    <t>Abi Milella</t>
  </si>
  <si>
    <t>MLLABI004@myuct.ac.za</t>
  </si>
  <si>
    <t>Andrea Webster</t>
  </si>
  <si>
    <t>andrea.webster@tuks.co.za</t>
  </si>
  <si>
    <t>SHANTANISE PHEPHENG</t>
  </si>
  <si>
    <t>shantaniseb@gmail.com</t>
  </si>
  <si>
    <t>Thando Kubheka</t>
  </si>
  <si>
    <t>thandokubheka11@gmail.com</t>
  </si>
  <si>
    <t>Hendrik Coetser</t>
  </si>
  <si>
    <t>josephus.coetser@gmail.com</t>
  </si>
  <si>
    <t>Vimbai Siziba</t>
  </si>
  <si>
    <t>Vimbai.Siziba@wits.ac.za</t>
  </si>
  <si>
    <t>Philani Ngubane</t>
  </si>
  <si>
    <t>ngubanephilani625@gmail.com</t>
  </si>
  <si>
    <t>Thando Juqu</t>
  </si>
  <si>
    <t>Thando.Juqu@gmail.com</t>
  </si>
  <si>
    <t>Takudzwa Matekwe</t>
  </si>
  <si>
    <t>takuemate@gmail.com</t>
  </si>
  <si>
    <t>Bongeka Biyase</t>
  </si>
  <si>
    <t>221058196@stu.ukzn.ac.za</t>
  </si>
  <si>
    <t>Anna Khensane Mayoyo</t>
  </si>
  <si>
    <t>khensanimayoyo09@gmail.com</t>
  </si>
  <si>
    <t>Michaela Papangeli</t>
  </si>
  <si>
    <t>michaela.papangeli@icloud.com</t>
  </si>
  <si>
    <t>Matteo Gregori</t>
  </si>
  <si>
    <t>Nello@sun.ac.za</t>
  </si>
  <si>
    <t>Judith Legodu</t>
  </si>
  <si>
    <t>reffjudith@gmail.com</t>
  </si>
  <si>
    <t>Chantalle Crous</t>
  </si>
  <si>
    <t>21204756@mynwu.ac.za</t>
  </si>
  <si>
    <t>Michell Mpike</t>
  </si>
  <si>
    <t>msmpike@gmail.com</t>
  </si>
  <si>
    <t>Tshegofatso Kgobane</t>
  </si>
  <si>
    <t>tshegofkgobane@gmail.com</t>
  </si>
  <si>
    <t>Stephanus Cloete</t>
  </si>
  <si>
    <t>23496959@mynwu.ac.za</t>
  </si>
  <si>
    <t>Ziyanda Stuurman</t>
  </si>
  <si>
    <t>ziyanda.stuurman@gmail.com</t>
  </si>
  <si>
    <t>Nandipha Swartbooi</t>
  </si>
  <si>
    <t>nandiphaswartbooi.ns@gmail.com</t>
  </si>
  <si>
    <t>Xolisiwe Mhlathi</t>
  </si>
  <si>
    <t>1502991@students.wits.ac.za</t>
  </si>
  <si>
    <t>Nerissa Rajkumar</t>
  </si>
  <si>
    <t>219003070@stu.ukzn.ac.za</t>
  </si>
  <si>
    <t>Stacey Paulse</t>
  </si>
  <si>
    <t>slap447@gmail.com</t>
  </si>
  <si>
    <t>Pontso Angelina Molapo</t>
  </si>
  <si>
    <t>2751154@students.wits.ac.za</t>
  </si>
  <si>
    <t>Asanda Madi</t>
  </si>
  <si>
    <t>718503@students.wits.ac.za</t>
  </si>
  <si>
    <t>Nyasha Melody Gorogodo</t>
  </si>
  <si>
    <t>nyasha.gorogodo@wits.ac.za</t>
  </si>
  <si>
    <t>Molefi Jacob Mazibuko</t>
  </si>
  <si>
    <t>MazibukoM@dws.gov.za</t>
  </si>
  <si>
    <t>Phumla Motsa</t>
  </si>
  <si>
    <t>1948608@students.wits.ac.za</t>
  </si>
  <si>
    <t>Philile Njikija</t>
  </si>
  <si>
    <t>Missnjikija23@gmail.com</t>
  </si>
  <si>
    <t>Taylor Carnie</t>
  </si>
  <si>
    <t>25577735@sun.ac.za</t>
  </si>
  <si>
    <t>Lincon Kgasha Makofane</t>
  </si>
  <si>
    <t>makofanelincon@gmail.com</t>
  </si>
  <si>
    <t>Ingrid Masondo</t>
  </si>
  <si>
    <t>ingridmasondo@gmail.com</t>
  </si>
  <si>
    <t>Emmanuel Adebowale Fajemisin</t>
  </si>
  <si>
    <t>emmafajems16@gmail.com</t>
  </si>
  <si>
    <t>Anneli Beukes</t>
  </si>
  <si>
    <t>annelstheron@gmail.com</t>
  </si>
  <si>
    <t>Glen Maimela</t>
  </si>
  <si>
    <t>glenmaimela95@gmail.com</t>
  </si>
  <si>
    <t>Natalie Davidson</t>
  </si>
  <si>
    <t>nataliedavidson2606@gmail.com</t>
  </si>
  <si>
    <t>Matsatsi Jerminah Teffu</t>
  </si>
  <si>
    <t>jerminahteffu@gmail.com</t>
  </si>
  <si>
    <t>Cameron Garde</t>
  </si>
  <si>
    <t>26243008@sun.ac.za</t>
  </si>
  <si>
    <t>Ipeleng Pooa</t>
  </si>
  <si>
    <t>u18232745@tuks.co.za</t>
  </si>
  <si>
    <t>Arni Le Roux</t>
  </si>
  <si>
    <t>arnileroux@gmail.com</t>
  </si>
  <si>
    <t>Amy Laura Hoad</t>
  </si>
  <si>
    <t>amy.laura.hoad@gmail.com</t>
  </si>
  <si>
    <t>Joshua Passmore</t>
  </si>
  <si>
    <t>joshuapassmore@me.com</t>
  </si>
  <si>
    <t>NOMPILO NOKWANDA NZAMA</t>
  </si>
  <si>
    <t>nzamanompilon@gmail.com</t>
  </si>
  <si>
    <t>Ntando Ndinisa</t>
  </si>
  <si>
    <t>ntandondinisa@gmail.com</t>
  </si>
  <si>
    <t>Kurauone Masungo</t>
  </si>
  <si>
    <t>kuramasungo@gmail.com</t>
  </si>
  <si>
    <t>Sanele Faith Myeni</t>
  </si>
  <si>
    <t>Sanelemyeni75@gmail.com</t>
  </si>
  <si>
    <t>Charissa Shay</t>
  </si>
  <si>
    <t>charissashay92@gmail.com</t>
  </si>
  <si>
    <t>Bonaventure Kgaogelo Mashego</t>
  </si>
  <si>
    <t>kgaubon@gmail.com</t>
  </si>
  <si>
    <t>Gerhard Venter</t>
  </si>
  <si>
    <t>gventer@sun.ac.za</t>
  </si>
  <si>
    <t>Anathi Ntsevu</t>
  </si>
  <si>
    <t>ntsevua@gmail.com</t>
  </si>
  <si>
    <t>Sesam Nomvete</t>
  </si>
  <si>
    <t>2332360@students.wits.ac.za</t>
  </si>
  <si>
    <t>Michael Burgess</t>
  </si>
  <si>
    <t>burgessmichael.mb@gmail.com</t>
  </si>
  <si>
    <t>Tebogo Malope</t>
  </si>
  <si>
    <t>b.t.malope@gmail.com</t>
  </si>
  <si>
    <t>ROBERT RUHANGARIYO</t>
  </si>
  <si>
    <t>rhnrob002@myuct.ac.za</t>
  </si>
  <si>
    <t>Temashengu Tshabalala</t>
  </si>
  <si>
    <t>temashengult@gmail.com</t>
  </si>
  <si>
    <t>Thamsanda William Mayekiso</t>
  </si>
  <si>
    <t>202104017@spu.ac.za</t>
  </si>
  <si>
    <t>Danél Smit</t>
  </si>
  <si>
    <t>danelsmit25@gmail.com</t>
  </si>
  <si>
    <t>Thabo Khumalo</t>
  </si>
  <si>
    <t>thabolebokhumalo@gmail.com</t>
  </si>
  <si>
    <t>Alexandra Kawecki</t>
  </si>
  <si>
    <t>kawecki.alexandra@gmail.com</t>
  </si>
  <si>
    <t>Mbalenhle Ntuli</t>
  </si>
  <si>
    <t>21958092@sun.ac.za</t>
  </si>
  <si>
    <t>Jenna Muhlberg</t>
  </si>
  <si>
    <t>mhljen002@myuct.ac.za</t>
  </si>
  <si>
    <t>Wilika Polla</t>
  </si>
  <si>
    <t>wilkapolla@gmail.com</t>
  </si>
  <si>
    <t>u21482782@tuks.co.za</t>
  </si>
  <si>
    <t>Hope Thulare</t>
  </si>
  <si>
    <t>khanyi.thulare@gmail.com</t>
  </si>
  <si>
    <t>Lauren Marsha Grootboom</t>
  </si>
  <si>
    <t>GRTLAU002@myuct.ac.za</t>
  </si>
  <si>
    <t>Osamamwen Osifo</t>
  </si>
  <si>
    <t>2445330@students.wits.ac.za</t>
  </si>
  <si>
    <t>Neha Seupersad</t>
  </si>
  <si>
    <t>seupersad.neha@gmail.com</t>
  </si>
  <si>
    <t>Phemelo Tshoke</t>
  </si>
  <si>
    <t>tshokeps@gmail.com</t>
  </si>
  <si>
    <t>Thembelihle Myeza</t>
  </si>
  <si>
    <t>thembelihlemyeza124@gmail.com</t>
  </si>
  <si>
    <t>Jess Capstick-Dale</t>
  </si>
  <si>
    <t>jess.capstickdale@gmail.com</t>
  </si>
  <si>
    <t>Zukanye Tshandu</t>
  </si>
  <si>
    <t>1737959@students.wits.ac.za</t>
  </si>
  <si>
    <t>Ariel Renée Monique Buyens</t>
  </si>
  <si>
    <t>buyensariel@gmail.com</t>
  </si>
  <si>
    <t>Brandon Andrews</t>
  </si>
  <si>
    <t>brandonhiltonandrews@gmail.com</t>
  </si>
  <si>
    <t>Lexie Timina</t>
  </si>
  <si>
    <t>timinamay@gmail.com</t>
  </si>
  <si>
    <t>Manohy RAMANGASON</t>
  </si>
  <si>
    <t>manohyramangason@gmail.com</t>
  </si>
  <si>
    <t>Dumisile Precious Ncongwane</t>
  </si>
  <si>
    <t>ncogwanedumisile@gmail.com</t>
  </si>
  <si>
    <t>Curtis Jeaven</t>
  </si>
  <si>
    <t>curtisjeaven@gmail.com</t>
  </si>
  <si>
    <t>Simbulele Charlotte Dunjwa</t>
  </si>
  <si>
    <t>sdunjwa@sun.ac.za</t>
  </si>
  <si>
    <t>Sonja Louw</t>
  </si>
  <si>
    <t>sonja.louw04@gmail.com</t>
  </si>
  <si>
    <t>Lechè Tangee</t>
  </si>
  <si>
    <t>leche.tangee01@gmail.com</t>
  </si>
  <si>
    <t>Muhammad Ilyaas Amien</t>
  </si>
  <si>
    <t>amnmuh004@myuct.ac.za</t>
  </si>
  <si>
    <t>Loriane Yanclo</t>
  </si>
  <si>
    <t>lorianeyanclo@gmail.com</t>
  </si>
  <si>
    <t>Mamaaooa Maoeng</t>
  </si>
  <si>
    <t>Mamaaooa@gmail.com</t>
  </si>
  <si>
    <t>Ndivhuwo Ndou</t>
  </si>
  <si>
    <t>ndivhuwondou164@gmail.com</t>
  </si>
  <si>
    <t>Caltine Cele</t>
  </si>
  <si>
    <t>Bongiwecat03@gmail.com</t>
  </si>
  <si>
    <t>Lihle Mahamba</t>
  </si>
  <si>
    <t>lihlemahamba3@gmail.com</t>
  </si>
  <si>
    <t>Aloise Wepener</t>
  </si>
  <si>
    <t>aloise.wepener@gmail.com</t>
  </si>
  <si>
    <t>Ronewa Ndou</t>
  </si>
  <si>
    <t>newiendou@gmail.com</t>
  </si>
  <si>
    <t>Katlego Ndaba</t>
  </si>
  <si>
    <t>katlegovennesa718@gmail.com</t>
  </si>
  <si>
    <t>Megan Jones</t>
  </si>
  <si>
    <t>Meganfj007@gmail.com</t>
  </si>
  <si>
    <t>Neo Makole</t>
  </si>
  <si>
    <t>neomakole7@gmail.com</t>
  </si>
  <si>
    <t>Amy van der Hoven</t>
  </si>
  <si>
    <t>vhvamy001@myuct.ac.za</t>
  </si>
  <si>
    <t>Vutlhari Mathonsi</t>
  </si>
  <si>
    <t>edgarvutlhari2019@gmail.com</t>
  </si>
  <si>
    <t>Kirsten Stabrey</t>
  </si>
  <si>
    <t>kirstenstabrey@gmail.com</t>
  </si>
  <si>
    <t>Nathalie Andersen</t>
  </si>
  <si>
    <t>nathalieandersen22@gmail.com</t>
  </si>
  <si>
    <t>Itumeleng Adolphina Dikhoba</t>
  </si>
  <si>
    <t>adolphina.itu@gmail.com</t>
  </si>
  <si>
    <t>Khensane Ledwaba</t>
  </si>
  <si>
    <t>Khensamanda@gmail.com</t>
  </si>
  <si>
    <t>Rachel Brown</t>
  </si>
  <si>
    <t>BRWRAC003@myuct.ac.za</t>
  </si>
  <si>
    <t>Thapelo Matlala</t>
  </si>
  <si>
    <t>matlalathapelo0@gmail.com</t>
  </si>
  <si>
    <t>Ridhwaanah Bhana</t>
  </si>
  <si>
    <t>ridhwaanah.jacobs@gmail.com</t>
  </si>
  <si>
    <t>Kyra Janse van Rensburg</t>
  </si>
  <si>
    <t>kyramew@gmail.com</t>
  </si>
  <si>
    <t>Pamela Nkompela</t>
  </si>
  <si>
    <t>202211410@spu.ac.za</t>
  </si>
  <si>
    <t>Juliette Lindup</t>
  </si>
  <si>
    <t>juliettepeta@gmail.com</t>
  </si>
  <si>
    <t>Tilly Weston</t>
  </si>
  <si>
    <t>tillyweston@gmail.com</t>
  </si>
  <si>
    <t>Meghan Mosalisa</t>
  </si>
  <si>
    <t>meghanmosalisa@gmail.com</t>
  </si>
  <si>
    <t>Matthew Estment</t>
  </si>
  <si>
    <t>1866730@students.wits.ac.za</t>
  </si>
  <si>
    <t>Caitlyn O'Connor</t>
  </si>
  <si>
    <t>caitlynoconnor30@gmail.com</t>
  </si>
  <si>
    <t>Alilita Lajoboda</t>
  </si>
  <si>
    <t>gwibalajoboda@gmail.com</t>
  </si>
  <si>
    <t>Fatima Tuz Zahra Aziz</t>
  </si>
  <si>
    <t>fatima.aziz300@gmail.com</t>
  </si>
  <si>
    <t>Lucy Macharia</t>
  </si>
  <si>
    <t>lucy.macharia@uct.ac.za</t>
  </si>
  <si>
    <t>Kim Scholtz</t>
  </si>
  <si>
    <t>3571589@myuwc.ac.za</t>
  </si>
  <si>
    <t>Shannon Misplon</t>
  </si>
  <si>
    <t>shanmisplon@gmail.com</t>
  </si>
  <si>
    <t>Sandisiwe Nkosi</t>
  </si>
  <si>
    <t>SANDIDR.SN@GMAIL.COM</t>
  </si>
  <si>
    <t>Lebogang Omoregie</t>
  </si>
  <si>
    <t>lebogangomoregie@gmail.com</t>
  </si>
  <si>
    <t>Yondela Murhula</t>
  </si>
  <si>
    <t>2028969786@ufs4life.ac.za</t>
  </si>
  <si>
    <t>Thomas Cornelius van der Hoven</t>
  </si>
  <si>
    <t>thomasvanderhoven@gmail.com</t>
  </si>
  <si>
    <t>Tshepo Skosana</t>
  </si>
  <si>
    <t>tshepoenos31@gmail.com</t>
  </si>
  <si>
    <t>tania menezes</t>
  </si>
  <si>
    <t>menezestania210@gmail.com</t>
  </si>
  <si>
    <t>Mandisa Mthombeni</t>
  </si>
  <si>
    <t>mandisamthombeni001@gmail.com</t>
  </si>
  <si>
    <t>Sisipho Khumbuza</t>
  </si>
  <si>
    <t>sisiphokhumbuza18@gmail.com</t>
  </si>
  <si>
    <t>Mariam Hajee</t>
  </si>
  <si>
    <t>mariamhajee0@gmail.com</t>
  </si>
  <si>
    <t>Sonia Mbowa</t>
  </si>
  <si>
    <t>Soniasomeme4s@gmail.com</t>
  </si>
  <si>
    <t>Othembele Gcaba</t>
  </si>
  <si>
    <t>ortizgcaba02@gmail.com</t>
  </si>
  <si>
    <t>Samwel Opiyo</t>
  </si>
  <si>
    <t>27266745@mylife.unisa.ac.za</t>
  </si>
  <si>
    <t>NONDUDUZO SLUNGILE NGEMA</t>
  </si>
  <si>
    <t>nonduduzosngema@gmail.com</t>
  </si>
  <si>
    <t>Masilo Lerato Maupi</t>
  </si>
  <si>
    <t>masilomaupi29@gmail.com</t>
  </si>
  <si>
    <t>Zoe Fortuin</t>
  </si>
  <si>
    <t>zoe.fortuin168@gmail.com</t>
  </si>
  <si>
    <t xml:space="preserve">Nicola  van Tellingen </t>
  </si>
  <si>
    <t>nicolavtellingen@gmail.com</t>
  </si>
  <si>
    <t>Zibusiso Buthelezi</t>
  </si>
  <si>
    <t>mayibongwe.buthelezi@gmail.com</t>
  </si>
  <si>
    <t>Ariel Kraitzick</t>
  </si>
  <si>
    <t>arielkraitzick@gmail.com</t>
  </si>
  <si>
    <t>Pieter Conradie</t>
  </si>
  <si>
    <t>pconradie0531@gmail.com</t>
  </si>
  <si>
    <t>Stephanie Dwyer</t>
  </si>
  <si>
    <t>dwyersteph@gmail.com</t>
  </si>
  <si>
    <t>Luke Stoffels</t>
  </si>
  <si>
    <t>lukestoffels.light147@gmail.com</t>
  </si>
  <si>
    <t>Namhla Faith Mtukushe</t>
  </si>
  <si>
    <t>607147@students.wits.ac.za</t>
  </si>
  <si>
    <t>Johanna Nambili</t>
  </si>
  <si>
    <t>joeynambili@gmail.com</t>
  </si>
  <si>
    <t>Anneliese Mehnert</t>
  </si>
  <si>
    <t>mehneah@unisa.ac.za</t>
  </si>
  <si>
    <t>Chavonne Sukdaven</t>
  </si>
  <si>
    <t>sukchavvy@gmail.com</t>
  </si>
  <si>
    <t>Sophia Trollip</t>
  </si>
  <si>
    <t>sophiatrollip@outlook.com</t>
  </si>
  <si>
    <t>Mosa Mahamane</t>
  </si>
  <si>
    <t>mosamahamane@gmail.com</t>
  </si>
  <si>
    <t>Sodiq Alimi</t>
  </si>
  <si>
    <t>alimi.sodiq@gmail.com</t>
  </si>
  <si>
    <t>Mildith Bosch</t>
  </si>
  <si>
    <t>mildie.b@gmail.com</t>
  </si>
  <si>
    <t>Gwen Ironsi</t>
  </si>
  <si>
    <t>IRNGWE001@myuct.ac.za</t>
  </si>
  <si>
    <t>Lungelo Mthembu</t>
  </si>
  <si>
    <t>mthlun058@myuct.ac.za</t>
  </si>
  <si>
    <t>Tlakuso Bechas Makhuva</t>
  </si>
  <si>
    <t>2456473@students.wits.ac.za</t>
  </si>
  <si>
    <t>Kelebogile Ramaphoko</t>
  </si>
  <si>
    <t>alettakelebogile@gmail.com</t>
  </si>
  <si>
    <t>Pontsho Dube</t>
  </si>
  <si>
    <t>dubepontsho@gmail.com</t>
  </si>
  <si>
    <t>Noluthando Sawuka</t>
  </si>
  <si>
    <t>noluthandosawuka01@gmail.com</t>
  </si>
  <si>
    <t>Zolani Potane</t>
  </si>
  <si>
    <t>zolanipotane@gmail.com</t>
  </si>
  <si>
    <t>Marcel Kruger</t>
  </si>
  <si>
    <t>marcelkruger143@gmail.com</t>
  </si>
  <si>
    <t>Sinovuyo Halana</t>
  </si>
  <si>
    <t>sinovuyo.halana@gmail.com</t>
  </si>
  <si>
    <t>Carmen Schoeman</t>
  </si>
  <si>
    <t>carmenschoeman2505@gmail.com</t>
  </si>
  <si>
    <t>Yamkela Ntantiso</t>
  </si>
  <si>
    <t>yamkelantantiso@gmail.com</t>
  </si>
  <si>
    <t>Odwa Biko</t>
  </si>
  <si>
    <t>ody@sun.ac.za</t>
  </si>
  <si>
    <t>Itumeleng Makhubela</t>
  </si>
  <si>
    <t>itumeleng.makhubelaa@gmail.com</t>
  </si>
  <si>
    <t>Blessing Gumbu</t>
  </si>
  <si>
    <t>blessgumbu98@gmail.com</t>
  </si>
  <si>
    <t>Shawana Mafuna</t>
  </si>
  <si>
    <t>shawanapulanemafuna@gmail.com</t>
  </si>
  <si>
    <t>Vuyisani Mkwambi</t>
  </si>
  <si>
    <t>mkwvuy006@myuct.ac.za</t>
  </si>
  <si>
    <t>Monique Williams</t>
  </si>
  <si>
    <t>monique.williams@uct.ac.za</t>
  </si>
  <si>
    <t>Bianca Wessels</t>
  </si>
  <si>
    <t>Biancawessels29@gmail.com</t>
  </si>
  <si>
    <t>Martine van den Berg</t>
  </si>
  <si>
    <t>martinevdb1@gmail.com</t>
  </si>
  <si>
    <t>Kirstin Davies</t>
  </si>
  <si>
    <t>DVSKIR003@myuct.ac.za</t>
  </si>
  <si>
    <t>Hannah Wesson</t>
  </si>
  <si>
    <t>hannahwesson666@gmail.com</t>
  </si>
  <si>
    <t>Albert Kagande</t>
  </si>
  <si>
    <t>kagandealbert@gmail.com</t>
  </si>
  <si>
    <t>Lineo Sakoane</t>
  </si>
  <si>
    <t>Lsakoane@yahoo.co.uk</t>
  </si>
  <si>
    <t>Qiniso Mavuso</t>
  </si>
  <si>
    <t>mavusoqiniso11@gmail.com</t>
  </si>
  <si>
    <t>Anelisiwe Qetuka</t>
  </si>
  <si>
    <t>qetukaanelisiwe@gmail.com</t>
  </si>
  <si>
    <t>Rirhandzu Chantel Nukeri</t>
  </si>
  <si>
    <t>Chantelnukeri@gmail.com</t>
  </si>
  <si>
    <t>Rudzani Mashau</t>
  </si>
  <si>
    <t>Rudzanim@nicd.ac.za</t>
  </si>
  <si>
    <t>Ayanda Boitumelo Mafadza</t>
  </si>
  <si>
    <t>mafadzaboitumelo@gmail.com</t>
  </si>
  <si>
    <t>Lorraine Thandiwe Matshazi</t>
  </si>
  <si>
    <t>thandiwelm92@gmail.com</t>
  </si>
  <si>
    <t>Sankwetea Prudent Mokgokong</t>
  </si>
  <si>
    <t>sankwetea@gmail.com</t>
  </si>
  <si>
    <t>Willem Hendrik Boshoff</t>
  </si>
  <si>
    <t>willembshff763@gmail.com</t>
  </si>
  <si>
    <t>Enrike Groenewald</t>
  </si>
  <si>
    <t>enrikegroenewald@gmail.com</t>
  </si>
  <si>
    <t>Thembelihle Siduduzo Ngwenya</t>
  </si>
  <si>
    <t>2096897@students.wits.ac.za</t>
  </si>
  <si>
    <t>Roseline Hwati</t>
  </si>
  <si>
    <t>683975@students.wits.ac.za</t>
  </si>
  <si>
    <t>Sbonakaliso Zwane</t>
  </si>
  <si>
    <t>sbonakalisomsizeni@gmail.com</t>
  </si>
  <si>
    <t>Akholiwe Lawrance Ndevu</t>
  </si>
  <si>
    <t>23791950@sun.ac.za</t>
  </si>
  <si>
    <t>Arnold Mugwagwa</t>
  </si>
  <si>
    <t>arnoldmugwagwa@gmail.com</t>
  </si>
  <si>
    <t>Thaboluhle Mkwananzi</t>
  </si>
  <si>
    <t>MKWTHA036@myuct.ac.za</t>
  </si>
  <si>
    <t>Sage Naidoo</t>
  </si>
  <si>
    <t>sage.k.naidoo@gmail.com</t>
  </si>
  <si>
    <t>Zahn Stanvliet</t>
  </si>
  <si>
    <t>zstanvliet@sun.ac.za</t>
  </si>
  <si>
    <t>John William Robert Davids</t>
  </si>
  <si>
    <t>john.davids@uct.ac.za</t>
  </si>
  <si>
    <t>Abongile Pindo</t>
  </si>
  <si>
    <t>zamapindo@gmail.com</t>
  </si>
  <si>
    <t>Megan Collings</t>
  </si>
  <si>
    <t>megancollings@gmail.com</t>
  </si>
  <si>
    <t>Olivia Jones</t>
  </si>
  <si>
    <t>oliviajones@sun.ac.za</t>
  </si>
  <si>
    <t>Siyabonga Mahlangu</t>
  </si>
  <si>
    <t>sphephilesiyabonga8@gmail.com</t>
  </si>
  <si>
    <t>Jordan Bougardt</t>
  </si>
  <si>
    <t>jordan.bougardt@gmail.com</t>
  </si>
  <si>
    <t>Skye de Pontes</t>
  </si>
  <si>
    <t>skyevera58@gmail.com</t>
  </si>
  <si>
    <t>Graham Maseli</t>
  </si>
  <si>
    <t>gtmaseli@gmail.com</t>
  </si>
  <si>
    <t>Parthiban Pandian</t>
  </si>
  <si>
    <t>dr.parthi2009@gmail.com</t>
  </si>
  <si>
    <t>Lindokuhle Biyela</t>
  </si>
  <si>
    <t>lindo.biyela@tuks.co.za</t>
  </si>
  <si>
    <t>Sarah Frances Summers</t>
  </si>
  <si>
    <t>soema.summers@gmail.com</t>
  </si>
  <si>
    <t>Kiera Hürlimann</t>
  </si>
  <si>
    <t>HRLKIE001@myuct.ac.za</t>
  </si>
  <si>
    <t>Pieter de Wet</t>
  </si>
  <si>
    <t>pieter.dewet@tuks.co.za</t>
  </si>
  <si>
    <t>Tafara Makunike</t>
  </si>
  <si>
    <t>makunike52@gmail.com</t>
  </si>
  <si>
    <t>Charl Johan Broekman</t>
  </si>
  <si>
    <t>charlbroekman11@gmail.com</t>
  </si>
  <si>
    <t>NGOM NGOM Justice Tresor</t>
  </si>
  <si>
    <t>justicengom@gmail.com</t>
  </si>
  <si>
    <t>Zifikile Mose</t>
  </si>
  <si>
    <t>mosezifikile@gmail.com</t>
  </si>
  <si>
    <t>Rubina Razack</t>
  </si>
  <si>
    <t>rubina@sun.ac.za</t>
  </si>
  <si>
    <t>Darlington Ashiegbu</t>
  </si>
  <si>
    <t>darlingtonashiegbu1985@yahoo.com</t>
  </si>
  <si>
    <t>Professor Zodwa Dlamini</t>
  </si>
  <si>
    <t>Zodwa.Dlamini@up.ac.za</t>
  </si>
  <si>
    <t>KUTLO MABATI</t>
  </si>
  <si>
    <t>kutlokevin3@gmail.com</t>
  </si>
  <si>
    <t>Boitumelo Sebiloane</t>
  </si>
  <si>
    <t>boitumlo.sebiloane@gmail.com</t>
  </si>
  <si>
    <t>Nischette Willemse</t>
  </si>
  <si>
    <t>nischette@gmail.com</t>
  </si>
  <si>
    <t>Ntsako Khosa</t>
  </si>
  <si>
    <t>KHSNSA001@myuct.ac.za</t>
  </si>
  <si>
    <t>Craig Lucas</t>
  </si>
  <si>
    <t>4116564@myuwc.ac.za</t>
  </si>
  <si>
    <t>Pius Loupa</t>
  </si>
  <si>
    <t>ploupa89@gmail.com</t>
  </si>
  <si>
    <t>Tendani Matamela</t>
  </si>
  <si>
    <t>matamelatendani0202@gmail.com</t>
  </si>
  <si>
    <t>Thalukanyo Mudau</t>
  </si>
  <si>
    <t>divinethalu@gmail.com</t>
  </si>
  <si>
    <t>Babalwa Nontiya</t>
  </si>
  <si>
    <t>nontiyababalwa@gmail.com</t>
  </si>
  <si>
    <t>ANDIMA MARIA KULA</t>
  </si>
  <si>
    <t>andimamariak@gmail.com</t>
  </si>
  <si>
    <t>Isabelle Joubert</t>
  </si>
  <si>
    <t>isabelleelenajoubert@gmail.com</t>
  </si>
  <si>
    <t>Monica Shekunyenge</t>
  </si>
  <si>
    <t>moshekunyenge@gmail.com</t>
  </si>
  <si>
    <t>Shahen Ramnath</t>
  </si>
  <si>
    <t>shahenr003@gmail.com</t>
  </si>
  <si>
    <t>Kundai Gwembere</t>
  </si>
  <si>
    <t>kundiegwembere@gmail.com</t>
  </si>
  <si>
    <t>Lelebrigitar Masalesa</t>
  </si>
  <si>
    <t>lelemasalesa@gmail.com</t>
  </si>
  <si>
    <t>Orevaoghene Eterigho-Ikelegbe</t>
  </si>
  <si>
    <t>eterighoo@gmail.com</t>
  </si>
  <si>
    <t>Thamizhthendral Dhanasekaran</t>
  </si>
  <si>
    <t>thamizhthendral12@gmail.com</t>
  </si>
  <si>
    <t>Cheron Rudolf</t>
  </si>
  <si>
    <t>Cheronrudolf@gmail.com</t>
  </si>
  <si>
    <t>Oluwaseyi Samuel Olanrewaju</t>
  </si>
  <si>
    <t>olusam777@gmail.com</t>
  </si>
  <si>
    <t>CRUSADER MATHEBULA</t>
  </si>
  <si>
    <t>crusadermathebula@gmail.com</t>
  </si>
  <si>
    <t>Ayanda Johnson</t>
  </si>
  <si>
    <t>radebe.ayanda.ar@gmail.com</t>
  </si>
  <si>
    <t>Johannes van der Walt</t>
  </si>
  <si>
    <t>walliescycle@gmail.com</t>
  </si>
  <si>
    <t>Thabo Matshoba</t>
  </si>
  <si>
    <t>mtstha085@myuct.ac.za</t>
  </si>
  <si>
    <t>Khona Maziya</t>
  </si>
  <si>
    <t>sibusisiwe.maziya@gmail.com</t>
  </si>
  <si>
    <t>Katharine Khoury</t>
  </si>
  <si>
    <t>katharinekhoury@gmail.com</t>
  </si>
  <si>
    <t>Sandra Bhaiwa</t>
  </si>
  <si>
    <t>chitavasandra@gmail.com</t>
  </si>
  <si>
    <t>Precious Maenzanise</t>
  </si>
  <si>
    <t>precious.maenzanise@uct.ac.za</t>
  </si>
  <si>
    <t>Nomcebo Shongwe</t>
  </si>
  <si>
    <t>Nomceboshongwe0105@gmail.com</t>
  </si>
  <si>
    <t>Itshephe Malapane</t>
  </si>
  <si>
    <t>nkwanemalapane@gmail.com</t>
  </si>
  <si>
    <t>Tolu Soogun</t>
  </si>
  <si>
    <t>tolanre2003@gmail.com</t>
  </si>
  <si>
    <t>Ankit N-A</t>
  </si>
  <si>
    <t>224196173@stu.ukzn.ac.za</t>
  </si>
  <si>
    <t>Kwenama Buthelezi</t>
  </si>
  <si>
    <t>kwenamahbuthelezi@gmail.com</t>
  </si>
  <si>
    <t>Gerald Chikowore</t>
  </si>
  <si>
    <t>gkchikore@gmail.com</t>
  </si>
  <si>
    <t>Meaka Garland</t>
  </si>
  <si>
    <t>meakagarland@gmail.com</t>
  </si>
  <si>
    <t>Anotidaishe Muradya</t>
  </si>
  <si>
    <t>anotida.nicole@gmail.com</t>
  </si>
  <si>
    <t>Rovhofhololwa Malindi</t>
  </si>
  <si>
    <t>rovho18@gmail.com</t>
  </si>
  <si>
    <t>Michael Koning</t>
  </si>
  <si>
    <t>michaelkoning4@gmail.com</t>
  </si>
  <si>
    <t>Dylan le Roux</t>
  </si>
  <si>
    <t>dylanlr98@gmail.com</t>
  </si>
  <si>
    <t>JC Schoeman</t>
  </si>
  <si>
    <t>jcschoeman@sun.ac.za</t>
  </si>
  <si>
    <t>Mphatso Sumani</t>
  </si>
  <si>
    <t>mphasumani@gmail.com</t>
  </si>
  <si>
    <t>Seipati Gift Aphane</t>
  </si>
  <si>
    <t>aphaneseipati9@gmail.com</t>
  </si>
  <si>
    <t>Annabel Nyongwana</t>
  </si>
  <si>
    <t>annabelnyongwana@gmail.com</t>
  </si>
  <si>
    <t>Yonwaba Feni</t>
  </si>
  <si>
    <t>3731108@myuwc.ac.za</t>
  </si>
  <si>
    <t>Keatlegile Mabena</t>
  </si>
  <si>
    <t>Keatlegilemabena@gmail.com</t>
  </si>
  <si>
    <t>Vuwani Makuya</t>
  </si>
  <si>
    <t>vuwani.makuya19@gmail.com</t>
  </si>
  <si>
    <t>Lungisani Khubone</t>
  </si>
  <si>
    <t>lkhuboni97@gmail.com</t>
  </si>
  <si>
    <t>SIYABONGA ZWANE</t>
  </si>
  <si>
    <t>shakirsiyabongazwane@gmail.com</t>
  </si>
  <si>
    <t>Peter Lungu</t>
  </si>
  <si>
    <t>peterlungu280@gmail.com</t>
  </si>
  <si>
    <t>Morgan Naidoo</t>
  </si>
  <si>
    <t>naidoo.morgan1@gmail.com</t>
  </si>
  <si>
    <t>Rachel Munango</t>
  </si>
  <si>
    <t>rachelmunango@gmail.com</t>
  </si>
  <si>
    <t>Helena Seebran</t>
  </si>
  <si>
    <t>helenaseebran@gmail.com</t>
  </si>
  <si>
    <t>Ryan Forbes</t>
  </si>
  <si>
    <t>rforbes0502@gmail.com</t>
  </si>
  <si>
    <t>Dumisile Mpangane</t>
  </si>
  <si>
    <t>1907689@students.wits.ac.za</t>
  </si>
  <si>
    <t>Saarah Mkansi</t>
  </si>
  <si>
    <t>Saarahmkansi@gmail.com</t>
  </si>
  <si>
    <t>Chimwemne Mwewa</t>
  </si>
  <si>
    <t>mwewalisa24@gmail.com</t>
  </si>
  <si>
    <t>Gcobisile Matafeni</t>
  </si>
  <si>
    <t>matafenigcobisile@gmail.com</t>
  </si>
  <si>
    <t>Sugandran Kisten</t>
  </si>
  <si>
    <t>nandiconstech@icloud.com</t>
  </si>
  <si>
    <t>Sidney Simons</t>
  </si>
  <si>
    <t>sidneysimons8@gmail.com</t>
  </si>
  <si>
    <t>Samukelisiwe Ndimande</t>
  </si>
  <si>
    <t>ndimandesamuke@gmail.com</t>
  </si>
  <si>
    <t>Gift Maimela</t>
  </si>
  <si>
    <t>mpho.maimela71@gmail.com</t>
  </si>
  <si>
    <t>Ashley Tafadzwa Nerwande</t>
  </si>
  <si>
    <t>ashner14@yahoo.com</t>
  </si>
  <si>
    <t>Nhlakanipho Nkosi</t>
  </si>
  <si>
    <t>Nhlakaniphon012@gmail.com</t>
  </si>
  <si>
    <t>Garrick Bakker</t>
  </si>
  <si>
    <t>26119404@sun.ac.za</t>
  </si>
  <si>
    <t>FitzPatrick Institute of African Ornithology, University of Cape Town</t>
  </si>
  <si>
    <t>Understanding the Drivers of Seabird Demography in a Changing Ocean: Insights from Long-term Studies of Giant Petrels</t>
  </si>
  <si>
    <t xml:space="preserve">_x000D_
316000_x000D_
</t>
  </si>
  <si>
    <t xml:space="preserve">_x000D_
271000_x000D_
</t>
  </si>
  <si>
    <t xml:space="preserve">_x000D_
313000_x000D_
</t>
  </si>
  <si>
    <t>Health Economics</t>
  </si>
  <si>
    <t xml:space="preserve">_x000D_
195500_x000D_
</t>
  </si>
  <si>
    <t>University College of London</t>
  </si>
  <si>
    <t>MSc Physics and Engineering in Medicine by distance learning</t>
  </si>
  <si>
    <t xml:space="preserve">_x000D_
234381.56_x000D_
</t>
  </si>
  <si>
    <t xml:space="preserve">_x000D_
368661.62_x000D_
</t>
  </si>
  <si>
    <t xml:space="preserve">_x000D_
335700.15_x000D_
</t>
  </si>
  <si>
    <t>Macroeconomics</t>
  </si>
  <si>
    <t>Cardiometabolic risk prediction in people living with HIV from the Western Cape utilizing conventional statistics and artificial intelligence</t>
  </si>
  <si>
    <t xml:space="preserve">_x000D_
215350_x000D_
</t>
  </si>
  <si>
    <t xml:space="preserve">_x000D_
232877_x000D_
</t>
  </si>
  <si>
    <t xml:space="preserve">_x000D_
234496_x000D_
</t>
  </si>
  <si>
    <t>Holistic Approaches to Mitigating Eutrophication in South African Water Resources</t>
  </si>
  <si>
    <t xml:space="preserve">_x000D_
-303800_x000D_
</t>
  </si>
  <si>
    <t xml:space="preserve">_x000D_
-294300_x000D_
</t>
  </si>
  <si>
    <t xml:space="preserve">_x000D_
-284000_x000D_
</t>
  </si>
  <si>
    <t>Real Estate Investment Trusts and Sustainable Investments: A Performance Study of Alternative Investments in the South African Market.</t>
  </si>
  <si>
    <t xml:space="preserve">_x000D_
360000_x000D_
</t>
  </si>
  <si>
    <t>Howard University</t>
  </si>
  <si>
    <t>Jazz</t>
  </si>
  <si>
    <t xml:space="preserve">_x000D_
9104634_x000D_
</t>
  </si>
  <si>
    <t>The implementation of Pan-Africanism:RECs in promoting peace and security</t>
  </si>
  <si>
    <t xml:space="preserve">_x000D_
-166140_x000D_
</t>
  </si>
  <si>
    <t xml:space="preserve">_x000D_
-138140_x000D_
</t>
  </si>
  <si>
    <t xml:space="preserve">_x000D_
-107140_x000D_
</t>
  </si>
  <si>
    <t>Fabrication and evaluation of ligand-functionalized resins for the recovery of precious metals from mine waste rocks</t>
  </si>
  <si>
    <t>UNIVERSITY OF JOHANNESBURG</t>
  </si>
  <si>
    <t>Machine Learning-Based Analysis of PCB Test Data</t>
  </si>
  <si>
    <t xml:space="preserve">_x000D_
103000_x000D_
</t>
  </si>
  <si>
    <t>Pharmaceutical Sciences</t>
  </si>
  <si>
    <t>The role of principals in fostering school culture, supporting staff relationships and enhancing student achievement in South African schools.</t>
  </si>
  <si>
    <t>ESG Risk and Affordability in Underwriting: A Study of how South African Insurers balance climate risks   Social Inclusion</t>
  </si>
  <si>
    <t xml:space="preserve">_x000D_
67000_x000D_
</t>
  </si>
  <si>
    <t>Investigating the Driving Factors of IPV Perpetration Among Men Living with HIV: A Mixed Methods Study</t>
  </si>
  <si>
    <t xml:space="preserve">_x000D_
31490_x000D_
</t>
  </si>
  <si>
    <t>UCT GSB</t>
  </si>
  <si>
    <t>Assessing the Impact of Housing Finance for Low-Income Earners in South Africa: Micro-Mortgages and Rent-to-Own Models</t>
  </si>
  <si>
    <t>Maternal Nutritional Profile and Neonatal Body Composition: A Study Utilising Air Displacement Plethysmography at Universitas Academic Hospital, Bloemfontein, South Africa</t>
  </si>
  <si>
    <t xml:space="preserve">_x000D_
148157.26_x000D_
</t>
  </si>
  <si>
    <t>Carbonization of Banana Peels as anode in Microbial Fuel Cell</t>
  </si>
  <si>
    <t xml:space="preserve">_x000D_
81555_x000D_
</t>
  </si>
  <si>
    <t>Waste Management</t>
  </si>
  <si>
    <t xml:space="preserve">_x000D_
177400_x000D_
</t>
  </si>
  <si>
    <t>UCT, WITS, UP</t>
  </si>
  <si>
    <t>Intellectual Property Law</t>
  </si>
  <si>
    <t>Purdue University</t>
  </si>
  <si>
    <t>Combustion, Propulsion and Engineering</t>
  </si>
  <si>
    <t xml:space="preserve">_x000D_
926229_x000D_
</t>
  </si>
  <si>
    <t>Fungal genetics and pathology</t>
  </si>
  <si>
    <t xml:space="preserve">_x000D_
193500_x000D_
</t>
  </si>
  <si>
    <t>Application of big data analytics to develop machine learning algorithms for predicting adolescent girls and young women’s HIV risk behaviors in South Africa.</t>
  </si>
  <si>
    <t xml:space="preserve">_x000D_
33000_x000D_
</t>
  </si>
  <si>
    <t>FitzPatrick Institute Of African Ornithology, University of Cape Town</t>
  </si>
  <si>
    <t>Climate change impacts on large surface-nesting seabirds at their breeding sites in the Southern Ocean.</t>
  </si>
  <si>
    <t xml:space="preserve">_x000D_
164000_x000D_
</t>
  </si>
  <si>
    <t xml:space="preserve">_x000D_
279150_x000D_
</t>
  </si>
  <si>
    <t xml:space="preserve">_x000D_
315207.5_x000D_
</t>
  </si>
  <si>
    <t>Effect of Different Growing Media on the Growth, Yield, Nutritional Composition, and Phytochemical properties of Cleome gynandra in Aquaponic Conditions</t>
  </si>
  <si>
    <t xml:space="preserve">_x000D_
152100_x000D_
</t>
  </si>
  <si>
    <t>Feminism, Gender Studies</t>
  </si>
  <si>
    <t xml:space="preserve">_x000D_
238732_x000D_
</t>
  </si>
  <si>
    <t xml:space="preserve">_x000D_
259463_x000D_
</t>
  </si>
  <si>
    <t xml:space="preserve">_x000D_
276281_x000D_
</t>
  </si>
  <si>
    <t>Drug discovery</t>
  </si>
  <si>
    <t xml:space="preserve">_x000D_
251562_x000D_
</t>
  </si>
  <si>
    <t>My focus on the African Continental Free Trade Area (AfCFTA) and its implications for vulnerable children address several critical social justice issues.</t>
  </si>
  <si>
    <t xml:space="preserve">_x000D_
1732.4_x000D_
</t>
  </si>
  <si>
    <t xml:space="preserve">_x000D_
95558.4_x000D_
</t>
  </si>
  <si>
    <t>Diabetes and people of colour: A qualitative study exploring the lived experiences of Black and Indian patients diagnosed with diabetes.</t>
  </si>
  <si>
    <t xml:space="preserve">_x000D_
125398_x000D_
</t>
  </si>
  <si>
    <t>Rhodes University, University of Cape Town, University of Johannesburg (Accepted at Rhodes, waiting UCT decision as my first choice, otherwise I will join Rhodes)</t>
  </si>
  <si>
    <t>From Hashtags to Firewalls: Digital Activism and AI’s Algorithmic Censorship, Implications for Media Freedom in Kenya</t>
  </si>
  <si>
    <t>=Geochemical modelling of the physical-chemical behaviour of microplastics</t>
  </si>
  <si>
    <t xml:space="preserve">_x000D_
370000_x000D_
</t>
  </si>
  <si>
    <t>University of Witwatersrand, Johannesburg</t>
  </si>
  <si>
    <t>Chemoselective transfer hydrogenation of ketones and aldehydes catalyzed by simple ruthenium(II) catalysts in water</t>
  </si>
  <si>
    <t xml:space="preserve">_x000D_
110000_x000D_
</t>
  </si>
  <si>
    <t>Universidad del Witwatersrand</t>
  </si>
  <si>
    <t>Architectural Competitions</t>
  </si>
  <si>
    <t xml:space="preserve">_x000D_
93598_x000D_
</t>
  </si>
  <si>
    <t xml:space="preserve">_x000D_
98981_x000D_
</t>
  </si>
  <si>
    <t xml:space="preserve">_x000D_
102376_x000D_
</t>
  </si>
  <si>
    <t>Between global goals and continental goals: A critical study on the impact and effects of SDG dominance over agenda 2063 in Africa</t>
  </si>
  <si>
    <t xml:space="preserve">_x000D_
118560_x000D_
</t>
  </si>
  <si>
    <t xml:space="preserve">_x000D_
123560_x000D_
</t>
  </si>
  <si>
    <t>Investigating experiences of parents with autistic children in the Northern Cape, South Africa, regarding inclusivity and Ubuntu in the education system</t>
  </si>
  <si>
    <t>Exploring how faith communities can work to prevent GBV, support survivors and promote gender equality</t>
  </si>
  <si>
    <t xml:space="preserve">_x000D_
66000_x000D_
</t>
  </si>
  <si>
    <t xml:space="preserve">16SrRNA-based bacterial community profiling of Haemonchus contortus infecting goats using nextgeneration sequencing </t>
  </si>
  <si>
    <t>Neurodevelopmental Biology</t>
  </si>
  <si>
    <t xml:space="preserve">_x000D_
197530_x000D_
</t>
  </si>
  <si>
    <t>Kimberley High School Teachers Perceptions of Curriculum and Assessment Policy Statement History Curriculums Influence on their Well Being.</t>
  </si>
  <si>
    <t>The posture profiles and attitudes of adolescent high school learners in Limpopo on daily and classroom activities</t>
  </si>
  <si>
    <t xml:space="preserve">_x000D_
45130.15_x000D_
</t>
  </si>
  <si>
    <t xml:space="preserve">_x000D_
28305.72_x000D_
</t>
  </si>
  <si>
    <t>AN ASSESSMENT OF LEARNERSHIP AND INTERNSHIP PROGRAMMES IN ADDRESSING YOUTH EMPLOYMENT IN SOUTH AFRICA</t>
  </si>
  <si>
    <t xml:space="preserve">_x000D_
82800_x000D_
</t>
  </si>
  <si>
    <t xml:space="preserve">_x000D_
89800_x000D_
</t>
  </si>
  <si>
    <t>Stellenbosch Business School</t>
  </si>
  <si>
    <t>Infrastructure Project Finance: Challenges and Opportunities in Advancing South Africa’s Mineral Beneficiation Strategy.</t>
  </si>
  <si>
    <t>Sol Plaatje University, University of Johannesburg, Unisa</t>
  </si>
  <si>
    <t>Exploring the effect of a generation gap on teaching and learning in the intermediate phase</t>
  </si>
  <si>
    <t>Carnivore Ecology</t>
  </si>
  <si>
    <t>The Role of Social and Ethics Committees in Advancing ESG Governance</t>
  </si>
  <si>
    <t>Renewable Energy</t>
  </si>
  <si>
    <t xml:space="preserve">_x000D_
180910_x000D_
</t>
  </si>
  <si>
    <t xml:space="preserve">_x000D_
144780_x000D_
</t>
  </si>
  <si>
    <t>Fictionalising the collective self: strategies of representation in selected African novels</t>
  </si>
  <si>
    <t>Artificial Intelligence Safety in the African Context</t>
  </si>
  <si>
    <t>University of Johannesburg (UJ)</t>
  </si>
  <si>
    <t>Application of structural biology techniques for rational discovery and design of druggable compounds against Mycobacterium tuberculosis and zika virus.</t>
  </si>
  <si>
    <t xml:space="preserve">_x000D_
171800_x000D_
</t>
  </si>
  <si>
    <t>Homogeneous Catalysis</t>
  </si>
  <si>
    <t xml:space="preserve">_x000D_
163385_x000D_
</t>
  </si>
  <si>
    <t>Efficacy of Specialised Training Programs for Frontline Social Workers Working with Asylum Seekers, Migrants, and Refugee Children: A Case Study of South Africa</t>
  </si>
  <si>
    <t xml:space="preserve">_x000D_
258500_x000D_
</t>
  </si>
  <si>
    <t xml:space="preserve">_x000D_
263500_x000D_
</t>
  </si>
  <si>
    <t xml:space="preserve">_x000D_
273500_x000D_
</t>
  </si>
  <si>
    <t>Comparative foreign Policy: comparing Brazilian and South African foreign policy positions towards Israel and Palestine since October 7 2023</t>
  </si>
  <si>
    <t xml:space="preserve">_x000D_
133739.19_x000D_
</t>
  </si>
  <si>
    <t xml:space="preserve">_x000D_
67550_x000D_
</t>
  </si>
  <si>
    <t>Reimagining School Science Education: Interrogating Indigenous Knowledge Integration in Environmental Studies.</t>
  </si>
  <si>
    <t xml:space="preserve">_x000D_
276000_x000D_
</t>
  </si>
  <si>
    <t xml:space="preserve">_x000D_
314000_x000D_
</t>
  </si>
  <si>
    <t>Exploring the effect of shift work on sleep quality and mental health among South African miners</t>
  </si>
  <si>
    <t xml:space="preserve">_x000D_
92467_x000D_
</t>
  </si>
  <si>
    <t xml:space="preserve">_x000D_
183667_x000D_
</t>
  </si>
  <si>
    <t xml:space="preserve">_x000D_
90267_x000D_
</t>
  </si>
  <si>
    <t>CO2 conversion to Carbonates</t>
  </si>
  <si>
    <t xml:space="preserve">_x000D_
223000_x000D_
</t>
  </si>
  <si>
    <t xml:space="preserve">_x000D_
216000_x000D_
</t>
  </si>
  <si>
    <t>Breast cancer metabolism and obesity</t>
  </si>
  <si>
    <t xml:space="preserve">_x000D_
275000_x000D_
</t>
  </si>
  <si>
    <t xml:space="preserve">_x000D_
296000_x000D_
</t>
  </si>
  <si>
    <t xml:space="preserve">_x000D_
317000_x000D_
</t>
  </si>
  <si>
    <t>University Of South Africa</t>
  </si>
  <si>
    <t>Development of Ti-Al-Ni-Zn High-Entropy Alloy Reinforced with Carbon Nanotubes for High-Temperature Applications</t>
  </si>
  <si>
    <t xml:space="preserve">_x000D_
230380_x000D_
</t>
  </si>
  <si>
    <t xml:space="preserve">_x000D_
265380_x000D_
</t>
  </si>
  <si>
    <t xml:space="preserve">_x000D_
270380_x000D_
</t>
  </si>
  <si>
    <t>Entrepreneurial Thinking and Career Transitions in Athletes: A Qualitative Study on South African Footballers</t>
  </si>
  <si>
    <t xml:space="preserve">_x000D_
93110_x000D_
</t>
  </si>
  <si>
    <t xml:space="preserve">_x000D_
168754_x000D_
</t>
  </si>
  <si>
    <t>Literatures &amp; Visual Culture</t>
  </si>
  <si>
    <t xml:space="preserve">_x000D_
332170_x000D_
</t>
  </si>
  <si>
    <t xml:space="preserve">_x000D_
309170_x000D_
</t>
  </si>
  <si>
    <t>Cyber/Medical Law</t>
  </si>
  <si>
    <t>The development of an inclusive framework for high  performance sport centres for athletes with disabilities.</t>
  </si>
  <si>
    <t xml:space="preserve">_x000D_
42000_x000D_
</t>
  </si>
  <si>
    <t xml:space="preserve">_x000D_
51500_x000D_
</t>
  </si>
  <si>
    <t>Investigating Translanguaging Praxis-Possibilities in First-Year Engineering Tutorials for Multilinguals: An Urban South African University Case Study</t>
  </si>
  <si>
    <t xml:space="preserve">_x000D_
99031_x000D_
</t>
  </si>
  <si>
    <t>Exploring Language-in-Education-Policy Praxis: A Case Study of a Gauteng Township Primary School Study</t>
  </si>
  <si>
    <t xml:space="preserve">_x000D_
109488_x000D_
</t>
  </si>
  <si>
    <t>Development of Advanced Composite Materials for Sensor and Energy Storage Applications</t>
  </si>
  <si>
    <t xml:space="preserve">_x000D_
29600_x000D_
</t>
  </si>
  <si>
    <t>Infrastructure and Climate Finance &amp; Capital Mobilisation in Emerging Markets</t>
  </si>
  <si>
    <t>Resolving the tension between achieving fiscal sustainability in the face of an potential fiscal crisis and economic growth amid the rising debt-burden in the South African economy.</t>
  </si>
  <si>
    <t>Why management control systems steer managerial behaviour heterogeneously in the diversity, equity, and inclusion context: the role of individual beliefs</t>
  </si>
  <si>
    <t>Evaluation of Sustainability, Emission Control, and Tribological Characteristics of a CRDI Engine Fueled with Hydrogen and Metal Oxide-Doped Third-Generation Biofuel</t>
  </si>
  <si>
    <t xml:space="preserve">_x000D_
500000_x000D_
</t>
  </si>
  <si>
    <t xml:space="preserve">_x000D_
495000_x000D_
</t>
  </si>
  <si>
    <t>Examining Social Factors Shaping Risky Sexual Behaviour in Adolescent Girls.v</t>
  </si>
  <si>
    <t xml:space="preserve">_x000D_
276900_x000D_
</t>
  </si>
  <si>
    <t xml:space="preserve">_x000D_
231480_x000D_
</t>
  </si>
  <si>
    <t>University of johannesburg and wits</t>
  </si>
  <si>
    <t>teachers collaboration to the effective implementation of the curriculums</t>
  </si>
  <si>
    <t>Clinical Interventions and Therapy</t>
  </si>
  <si>
    <t xml:space="preserve">_x000D_
11600_x000D_
</t>
  </si>
  <si>
    <t xml:space="preserve">_x000D_
16835_x000D_
</t>
  </si>
  <si>
    <t>Synthesis of cellulose based-iodine biosorbents for potential removal of pathogens in contaminated water.</t>
  </si>
  <si>
    <t xml:space="preserve">_x000D_
125000_x000D_
</t>
  </si>
  <si>
    <t>Stellenbosch University (alternative coul dalso be : University of Cape Town)</t>
  </si>
  <si>
    <t>1 Optimising childhood TB meningitis treatment through CSF drug exposure analysis 2  Population pharmacokinetics of clofazimine in children, adults, and pregnant women with rifampicin-resistant TB: Towards harmonised dosing strategies</t>
  </si>
  <si>
    <t xml:space="preserve">_x000D_
1656656.4_x000D_
</t>
  </si>
  <si>
    <t>Philosophy of Sex and Sexual Ethics</t>
  </si>
  <si>
    <t xml:space="preserve">_x000D_
316400_x000D_
</t>
  </si>
  <si>
    <t xml:space="preserve">_x000D_
358160_x000D_
</t>
  </si>
  <si>
    <t>University of KwaZulu-Natal and  Stellenbosch University</t>
  </si>
  <si>
    <t>Migrant Women, Urban Informal Settlements, and the Politics of Food Security in South Africa</t>
  </si>
  <si>
    <t xml:space="preserve">_x000D_
750000_x000D_
</t>
  </si>
  <si>
    <t>University of zululand</t>
  </si>
  <si>
    <t>Synthesis of carboxymethyl cellulose-chitosan-metal oxide hybrid aerogels for enhanced adsorption of heavy metals in polluted water</t>
  </si>
  <si>
    <t>Philosophy of Disability, technology, and access</t>
  </si>
  <si>
    <t xml:space="preserve">_x000D_
223200_x000D_
</t>
  </si>
  <si>
    <t>Governance (Development and Economics)</t>
  </si>
  <si>
    <t xml:space="preserve">_x000D_
181466_x000D_
</t>
  </si>
  <si>
    <t>WITS UNIVERSITY</t>
  </si>
  <si>
    <t>Glycaemic Control and Cardiovascular Exercise</t>
  </si>
  <si>
    <t xml:space="preserve">_x000D_
262000_x000D_
</t>
  </si>
  <si>
    <t xml:space="preserve">_x000D_
259000_x000D_
</t>
  </si>
  <si>
    <t>Creating an African near telomere-to-telomere genome and investigating its usefulness in an African population.</t>
  </si>
  <si>
    <t xml:space="preserve">_x000D_
224049.92_x000D_
</t>
  </si>
  <si>
    <t xml:space="preserve">_x000D_
212461.73_x000D_
</t>
  </si>
  <si>
    <t xml:space="preserve">_x000D_
28000_x000D_
</t>
  </si>
  <si>
    <t>Mountain wave induced turbulence features forming inland from the Tsitsikamma Mountains during south westerly wind events.</t>
  </si>
  <si>
    <t xml:space="preserve">_x000D_
103720_x000D_
</t>
  </si>
  <si>
    <t xml:space="preserve">_x000D_
65170_x000D_
</t>
  </si>
  <si>
    <t>Antimicrobial surveillance in the South African context.</t>
  </si>
  <si>
    <t xml:space="preserve">_x000D_
466000_x000D_
</t>
  </si>
  <si>
    <t>Design and evaluation of pyrazinoic acid loaded PCL nanoparticles to overcome pyrazinamide resistance in mycoacteria</t>
  </si>
  <si>
    <t xml:space="preserve">_x000D_
188045_x000D_
</t>
  </si>
  <si>
    <t>The Organizational Structure and Operations of the National Party,1970-1980</t>
  </si>
  <si>
    <t xml:space="preserve">_x000D_
-18713_x000D_
</t>
  </si>
  <si>
    <t>2025-9760</t>
  </si>
  <si>
    <t>Kunehafo K Kaxuxuena</t>
  </si>
  <si>
    <t>2025-9853</t>
  </si>
  <si>
    <t>Rebone-MogauWaMorena Seolwana</t>
  </si>
  <si>
    <t>2025-9249</t>
  </si>
  <si>
    <t>Sonto Precious Masilela</t>
  </si>
  <si>
    <t>2025-8922</t>
  </si>
  <si>
    <t>Thulile Gamedze</t>
  </si>
  <si>
    <t>2025-8521</t>
  </si>
  <si>
    <t>Vukosi Marivate</t>
  </si>
  <si>
    <t>Adjudicators required</t>
  </si>
  <si>
    <t>Secured</t>
  </si>
  <si>
    <t>Shortfall</t>
  </si>
  <si>
    <t>rounded</t>
  </si>
  <si>
    <t>APPLICATION OF MACHINE LEARNING FOR HIV SURVEILLANCE AMONG ADOLESCENT GIRLS AND YOUNG WOMEN IN SOUTH AFRICA: A FRAMEWORK TOWARD EPIDEMIC CONTROL</t>
  </si>
  <si>
    <t xml:space="preserve">_x000D_
444000_x000D_
</t>
  </si>
  <si>
    <t>The University of the Free State</t>
  </si>
  <si>
    <t>AI-Driven Occupational Dose Monitoring and Radiation Risk Assessment and Mitigation in Interventional Radiology in Eswatini</t>
  </si>
  <si>
    <t xml:space="preserve">_x000D_
99370_x000D_
</t>
  </si>
  <si>
    <t xml:space="preserve">_x000D_
50370_x000D_
</t>
  </si>
  <si>
    <t xml:space="preserve">_x000D_
36670_x000D_
</t>
  </si>
  <si>
    <t>Evaluating the efficacy of contractual remedies in smart contracts: A comparative study of South African laws and selected jurisdictions</t>
  </si>
  <si>
    <t>Histomorphological changes in major arterial vessels of white South African geriatric population</t>
  </si>
  <si>
    <t>“Faith, Identity, and Psychological Well-being: Women’s Mental Health Experiences in Age-Disparate and Polygynous Marriages within Isonto lamaNazaretha.”</t>
  </si>
  <si>
    <t xml:space="preserve">_x000D_
51000_x000D_
</t>
  </si>
  <si>
    <t>‘Re-signifying “Coloured” identity in South Africa: Liminal performativity, vernacular humour, and trickster logics in the Third Space’</t>
  </si>
  <si>
    <t>Navigating the Regulatory Landscape: A Comparative Analysis of Timber Adoption in South Africa and Lessons from the Global North</t>
  </si>
  <si>
    <t xml:space="preserve">_x000D_
1108000_x000D_
</t>
  </si>
  <si>
    <t>SAHA-Functionalized Arene Ru(II) Complexes for Targeted Cancer Therapy and DNA Sensing</t>
  </si>
  <si>
    <t xml:space="preserve">_x000D_
445500_x000D_
</t>
  </si>
  <si>
    <t xml:space="preserve">_x000D_
457000_x000D_
</t>
  </si>
  <si>
    <t>The impact of increased screen time on normative sexualized play of children aged 2 to 5 in South Africa</t>
  </si>
  <si>
    <t>Amagokra (Heroes)—A One-Act Opera Composed by Sibusiso Njeza with a Libretto by Asanda Chuma Sopotela: Gender-Based Violence Addressed through Opera</t>
  </si>
  <si>
    <t xml:space="preserve">_x000D_
122140_x000D_
</t>
  </si>
  <si>
    <t>Culture and Media Studies</t>
  </si>
  <si>
    <t xml:space="preserve">_x000D_
23968_x000D_
</t>
  </si>
  <si>
    <t xml:space="preserve">_x000D_
8633_x000D_
</t>
  </si>
  <si>
    <t>Development and Characterisation of Hydrogen-Bonded Organic Frameworks (HOFs) for  Effluent Gas Capture and Storage</t>
  </si>
  <si>
    <t xml:space="preserve">_x000D_
166000_x000D_
</t>
  </si>
  <si>
    <t>Sleep Physiology, Obstructive apnoea of people living with HIV</t>
  </si>
  <si>
    <t xml:space="preserve">_x000D_
234000_x000D_
</t>
  </si>
  <si>
    <t xml:space="preserve">_x000D_
234000.4_x000D_
</t>
  </si>
  <si>
    <t>Joint Bioenergy Institute, USA and Multiphase flows and reactors engineering and education laboratory  Linda and Bipin Doshi Department of chemical and biochemical engineering, Missouri Science and Technology.</t>
  </si>
  <si>
    <t>Biomass as a tool for decentralised, circular and just energy systems</t>
  </si>
  <si>
    <t xml:space="preserve">_x000D_
945936_x000D_
</t>
  </si>
  <si>
    <t xml:space="preserve">UCT &amp; UWC </t>
  </si>
  <si>
    <t>Strict IP Laws v Human Rights: Balancing the two in the new age of the 4IR</t>
  </si>
  <si>
    <t xml:space="preserve">_x000D_
152000_x000D_
</t>
  </si>
  <si>
    <t xml:space="preserve">_x000D_
132000_x000D_
</t>
  </si>
  <si>
    <t>Microbiome responses for assessment of water quality and chemical exposure in aquatic environments</t>
  </si>
  <si>
    <t>Bridging the STEM Achievement Gap: A Comparative Study of South Africa, China, and  Singapore</t>
  </si>
  <si>
    <t xml:space="preserve">_x000D_
102261.17_x000D_
</t>
  </si>
  <si>
    <t xml:space="preserve">_x000D_
110850_x000D_
</t>
  </si>
  <si>
    <t>UCT, UJ, WITS,UP, University of Stellenbosch</t>
  </si>
  <si>
    <t>Strengthening Patent Enforcement in the Digital Economy: A South African Perspective on TRIPS compliance</t>
  </si>
  <si>
    <t xml:space="preserve">_x000D_
468000_x000D_
</t>
  </si>
  <si>
    <t>Investigating the effects of mechanical forces and inflammatory cues on the structural and functional integrity of the blood-brain and blood-spinal cord barriers.</t>
  </si>
  <si>
    <t xml:space="preserve">_x000D_
460000_x000D_
</t>
  </si>
  <si>
    <t>University of the Western Cape, Institute for Poverty, Land and Agrarian Studies (PLAAS)</t>
  </si>
  <si>
    <t>Financial investments in rural South Africa: The expansion of finance capital on customary land</t>
  </si>
  <si>
    <t xml:space="preserve">_x000D_
255342_x000D_
</t>
  </si>
  <si>
    <t xml:space="preserve">_x000D_
251735_x000D_
</t>
  </si>
  <si>
    <t xml:space="preserve">_x000D_
193735_x000D_
</t>
  </si>
  <si>
    <t>How do informal market dynamics in South Africa shape entrepreneurial resilience, consumer behavior, and socio-economic mobility in urban townships?</t>
  </si>
  <si>
    <t>Health and behavioural economics, intersected with the built environment.</t>
  </si>
  <si>
    <t>A Novel Pan-Cancer Multi-omics Molecular Study of Gynaecologic and Breast Cancers in Africa</t>
  </si>
  <si>
    <t xml:space="preserve">_x000D_
56682_x000D_
</t>
  </si>
  <si>
    <t xml:space="preserve">_x000D_
119022_x000D_
</t>
  </si>
  <si>
    <t>The University of Memphis</t>
  </si>
  <si>
    <t>Performance</t>
  </si>
  <si>
    <t xml:space="preserve">_x000D_
577198.32_x000D_
</t>
  </si>
  <si>
    <t xml:space="preserve">Stellenbosch University </t>
  </si>
  <si>
    <t xml:space="preserve">Economics </t>
  </si>
  <si>
    <t xml:space="preserve">_x000D_
224961_x000D_
</t>
  </si>
  <si>
    <t xml:space="preserve">_x000D_
193585_x000D_
</t>
  </si>
  <si>
    <t>Breathscapes: A Transdisciplinary Inquiry into Air, Race, and Resistance in South Africa’s Sacrifice Zones</t>
  </si>
  <si>
    <t xml:space="preserve">_x000D_
435000_x000D_
</t>
  </si>
  <si>
    <t xml:space="preserve">_x000D_
1185000_x000D_
</t>
  </si>
  <si>
    <t xml:space="preserve">_x000D_
800000_x000D_
</t>
  </si>
  <si>
    <t>Development of heterobimetallic Rh/Ir tandem catalysts for hydroaminomethylation of olefins</t>
  </si>
  <si>
    <t>Bioinformatics and microbial ecology</t>
  </si>
  <si>
    <t>Tuberculosis Detection (Diagnostic tools)</t>
  </si>
  <si>
    <t xml:space="preserve">_x000D_
335000_x000D_
</t>
  </si>
  <si>
    <t xml:space="preserve">_x000D_
382000_x000D_
</t>
  </si>
  <si>
    <t>AI-Powered Water Resource Management for Sustainable Supply and Demand in Kimberley Municipality</t>
  </si>
  <si>
    <t>Becoming the Machine: Investigating the Psychological Effects of Artificial Intelligence on Human Cognition and Identity</t>
  </si>
  <si>
    <t xml:space="preserve">_x000D_
201000_x000D_
</t>
  </si>
  <si>
    <t xml:space="preserve">_x000D_
209500_x000D_
</t>
  </si>
  <si>
    <t>Microbiology</t>
  </si>
  <si>
    <t>Domestic Work</t>
  </si>
  <si>
    <t xml:space="preserve">_x000D_
-17148_x000D_
</t>
  </si>
  <si>
    <t>University of Cape Town Graduate School of Business</t>
  </si>
  <si>
    <t>The Gender Agenda: Structural Barriers and Implications on Women-Owned and Women-Led Microenterprises in Africa</t>
  </si>
  <si>
    <t xml:space="preserve">_x000D_
665000_x000D_
</t>
  </si>
  <si>
    <t xml:space="preserve">_x000D_
657100_x000D_
</t>
  </si>
  <si>
    <t>An investigation on the impact of social and political movements on the development of opera and how that has influenced opera to this day</t>
  </si>
  <si>
    <t>Boron-graphene nanoplatelets incorporated in polyvinylidene fluoride membranes for high flux and adsorption of heavy metals</t>
  </si>
  <si>
    <t xml:space="preserve">_x000D_
440000_x000D_
</t>
  </si>
  <si>
    <t>Microbiome aerobiology: Biological factors associated with the viability of airborne pathogenic bacteria during aerosol transmission.</t>
  </si>
  <si>
    <t xml:space="preserve">_x000D_
248000_x000D_
</t>
  </si>
  <si>
    <t>University of Cape Town, Institute of Infectious Diseases &amp; Immunology</t>
  </si>
  <si>
    <t>Elucidating Synergistic Drug Targets in DNA Metabolism, RNA Synthesis, and Cell Envelope Biogenesis Pathways of Mycobacterium tuberculosis Using a CRISPRi Approach</t>
  </si>
  <si>
    <t xml:space="preserve">_x000D_
196000_x000D_
</t>
  </si>
  <si>
    <t>The unseen NCD: The syndemics of musculoskeletal disorders in Southern Africa</t>
  </si>
  <si>
    <t>Co-designing an Adaptable Multi-Component Intervention to Address Intimate Partner Violence and Mental Health Among Women Living with HIV in South Africa</t>
  </si>
  <si>
    <t xml:space="preserve">_x000D_
162500_x000D_
</t>
  </si>
  <si>
    <t xml:space="preserve">_x000D_
147500_x000D_
</t>
  </si>
  <si>
    <t xml:space="preserve">_x000D_
126000_x000D_
</t>
  </si>
  <si>
    <t>Two-Dimensional Nanomaterial-Functionalized Nanobody Electrolyte-Gated Organic Field Effect Transistor-based Sensing Platform for Electrochemical Respiratory Virus Monitoring</t>
  </si>
  <si>
    <t xml:space="preserve">_x000D_
145500_x000D_
</t>
  </si>
  <si>
    <t>Consent and the Interim Protection of Informal Land Rights Act: How to obtain genuine consent from South African customary communities for access to their land for mining projects</t>
  </si>
  <si>
    <t xml:space="preserve">_x000D_
158500_x000D_
</t>
  </si>
  <si>
    <t>Investigating anti-HIV-1 reverse transcriptase and protease and the apoptotic effect of two plants.</t>
  </si>
  <si>
    <t xml:space="preserve">_x000D_
209300_x000D_
</t>
  </si>
  <si>
    <t>Evaluating The Effectiveness of Setswana Translating Tools in Setswana Formal and Informal Texts: A Comparative Study of Glosbe, Autshumato, and Google Translate.</t>
  </si>
  <si>
    <t>The University of Witwatersrand</t>
  </si>
  <si>
    <t>Transitional Justice: An African Perspective of Memory and Reparative Justice</t>
  </si>
  <si>
    <t xml:space="preserve">_x000D_
259340_x000D_
</t>
  </si>
  <si>
    <t xml:space="preserve">_x000D_
273754_x000D_
</t>
  </si>
  <si>
    <t>Exploring Indigenous Plant Wisdom through Talismanic Art Jewellery as a Vessel of Healing.</t>
  </si>
  <si>
    <t xml:space="preserve">_x000D_
210810_x000D_
</t>
  </si>
  <si>
    <t>City St George's University of London</t>
  </si>
  <si>
    <t>Future Aviation Challenges from Unmanned to Spaceflight Vehicles</t>
  </si>
  <si>
    <t xml:space="preserve">_x000D_
273448_x000D_
</t>
  </si>
  <si>
    <t xml:space="preserve">_x000D_
290538.5_x000D_
</t>
  </si>
  <si>
    <t>Drug discovery for HIV-TB coinfections</t>
  </si>
  <si>
    <t xml:space="preserve">_x000D_
-430000_x000D_
</t>
  </si>
  <si>
    <t xml:space="preserve">_x000D_
-444000_x000D_
</t>
  </si>
  <si>
    <t>Lived experiences of young adults from black African divorced families in Ekurhuleni municipality, Tembisa, South Africa.</t>
  </si>
  <si>
    <t>Direct conversion of carbon dioxide through transition metal catalysis to dimethyl ether for hydrogen storage</t>
  </si>
  <si>
    <t xml:space="preserve">_x000D_
111809_x000D_
</t>
  </si>
  <si>
    <t xml:space="preserve">_x000D_
99260_x000D_
</t>
  </si>
  <si>
    <t>Phonological and Morphosyntactic Documentation of Khwe in Platfontein</t>
  </si>
  <si>
    <t xml:space="preserve">_x000D_
112000_x000D_
</t>
  </si>
  <si>
    <t>Invasion biology: Reconstructing the food web of an apex invader on sub-Antartic Marion Island</t>
  </si>
  <si>
    <t xml:space="preserve">_x000D_
193000_x000D_
</t>
  </si>
  <si>
    <t>Human gut microbiome</t>
  </si>
  <si>
    <t>North -West University</t>
  </si>
  <si>
    <t>Investigating the Impact of Agro-Processing on the Agricultural Value Chains of Smallholder Vegetable Farmers in Limpopo Province, South Africa</t>
  </si>
  <si>
    <t xml:space="preserve">_x000D_
315000_x000D_
</t>
  </si>
  <si>
    <t xml:space="preserve">_x000D_
325000_x000D_
</t>
  </si>
  <si>
    <t xml:space="preserve">_x000D_
290000_x000D_
</t>
  </si>
  <si>
    <t>Development of a label-free Fourier Transform Infrared (FTIR) spectroscopy method for non-invasive mycobacterial detection in bioaerosols</t>
  </si>
  <si>
    <t>Birmingham City University</t>
  </si>
  <si>
    <t>Regenerative Ecologies in practice led research.</t>
  </si>
  <si>
    <t xml:space="preserve">_x000D_
343614.03_x000D_
</t>
  </si>
  <si>
    <t>Machine Learning for Disease Detection in Postmortem LODOX® Investigations: A Novel Approach to Enhancing Forensic Radiology Capabilities in Cases of Pneumonia</t>
  </si>
  <si>
    <t>Evaluating the implementation of EWP6 in supporting learners with special needs in  Quintile 1-3 schools within South Africa</t>
  </si>
  <si>
    <t>Sefako Makgatho Health Science University</t>
  </si>
  <si>
    <t>health economics - Budget impact analysis of initiation of prostate cancer therapy at an academic hospital</t>
  </si>
  <si>
    <t xml:space="preserve">Hydrological extreme events in South Africa </t>
  </si>
  <si>
    <t xml:space="preserve">_x000D_
151670_x000D_
</t>
  </si>
  <si>
    <t xml:space="preserve">_x000D_
159010_x000D_
</t>
  </si>
  <si>
    <t xml:space="preserve">University of the Witwatersrand </t>
  </si>
  <si>
    <t>Smell of death, VOCs released during different decomposition stages: A South African context</t>
  </si>
  <si>
    <t xml:space="preserve">_x000D_
147030_x000D_
</t>
  </si>
  <si>
    <t xml:space="preserve">_x000D_
102410_x000D_
</t>
  </si>
  <si>
    <t>PRECLINICAL DEVELOPMENT AND EVALUATION OF AN INJECTABLE FORMULATION FOR THE PHARMACOTHERAPY OF DRUG RESISTANT TUBERCULOSIS</t>
  </si>
  <si>
    <t xml:space="preserve">_x000D_
109724.8_x000D_
</t>
  </si>
  <si>
    <t>The South African Wind Band: Cultural life across community, education and the profession.</t>
  </si>
  <si>
    <t xml:space="preserve">_x000D_
264400_x000D_
</t>
  </si>
  <si>
    <t>Automated variational ansatz design for quantum many-body systems</t>
  </si>
  <si>
    <t xml:space="preserve">_x000D_
-47400_x000D_
</t>
  </si>
  <si>
    <t xml:space="preserve">_x000D_
106980_x000D_
</t>
  </si>
  <si>
    <t>Sociopolitical history</t>
  </si>
  <si>
    <t xml:space="preserve">_x000D_
260607_x000D_
</t>
  </si>
  <si>
    <t>HIV prevention services for young men</t>
  </si>
  <si>
    <t xml:space="preserve">_x000D_
283000_x000D_
</t>
  </si>
  <si>
    <t xml:space="preserve">_x000D_
420000_x000D_
</t>
  </si>
  <si>
    <t>An image of a dialogical practices that enhances our capacities to relate</t>
  </si>
  <si>
    <t xml:space="preserve">_x000D_
337880_x000D_
</t>
  </si>
  <si>
    <t xml:space="preserve">_x000D_
327215_x000D_
</t>
  </si>
  <si>
    <t xml:space="preserve">_x000D_
342203_x000D_
</t>
  </si>
  <si>
    <t>Low energy availability &amp; RED-s in female endurance athletes</t>
  </si>
  <si>
    <t xml:space="preserve">_x000D_
61613_x000D_
</t>
  </si>
  <si>
    <t xml:space="preserve">_x000D_
51141_x000D_
</t>
  </si>
  <si>
    <t xml:space="preserve">_x000D_
26141_x000D_
</t>
  </si>
  <si>
    <t>INVESTIGATING THE DYNAMICS OF PFAS REMOVAL IN A CONSTRUCTED WETLAND IN A PROTECTED AREA, SOUTH AFRICA</t>
  </si>
  <si>
    <t xml:space="preserve">_x000D_
220000_x000D_
</t>
  </si>
  <si>
    <t>Royal College of Music</t>
  </si>
  <si>
    <t>Music, Bassoon</t>
  </si>
  <si>
    <t xml:space="preserve">_x000D_
380263.63_x000D_
</t>
  </si>
  <si>
    <t>Fabrication of 2D nanomaterials for the detection of water pathogens</t>
  </si>
  <si>
    <t>Development of a ship-mounted RADAR sea-ice depth sensor</t>
  </si>
  <si>
    <t>Consumer awareness and attitudes toward adverse drug reaction reporting: A comparison between rural and urban communities in South Africa</t>
  </si>
  <si>
    <t xml:space="preserve">_x000D_
179500_x000D_
</t>
  </si>
  <si>
    <t xml:space="preserve">_x000D_
169500_x000D_
</t>
  </si>
  <si>
    <t>North West university, Potchefstroom campus, South Africa</t>
  </si>
  <si>
    <t>fungal and mycotoxin assessment of Tigernut (Cyperus esculentus) and its milk product</t>
  </si>
  <si>
    <t xml:space="preserve">_x000D_
336668_x000D_
</t>
  </si>
  <si>
    <t>Epigenetics and Diabetes</t>
  </si>
  <si>
    <t xml:space="preserve">_x000D_
-18575_x000D_
</t>
  </si>
  <si>
    <t xml:space="preserve">_x000D_
-27240_x000D_
</t>
  </si>
  <si>
    <t>Template-based understanding of the control of bipedal agility</t>
  </si>
  <si>
    <t xml:space="preserve">_x000D_
255170_x000D_
</t>
  </si>
  <si>
    <t xml:space="preserve">_x000D_
260510_x000D_
</t>
  </si>
  <si>
    <t xml:space="preserve">_x000D_
266648_x000D_
</t>
  </si>
  <si>
    <t>University of the Witwatersrand (WITS)</t>
  </si>
  <si>
    <t>THE SYNTHESIS AND BIOLOGICAL EVALUATION OF ISOQUINOLINE DERIVATIVES AS NEW, POTENTIAL TRANSMISSION-BLOCKING COMPOUNDS IN THE FIGHT AGAINST MALARIA</t>
  </si>
  <si>
    <t xml:space="preserve">_x000D_
157998_x000D_
</t>
  </si>
  <si>
    <t>Real-Time Dynamic Load Emulation and Regenerative Braking Analysis For Electric Vehicles Using a PMSM Dual Motor Test Bench.</t>
  </si>
  <si>
    <t xml:space="preserve">_x000D_
194600_x000D_
</t>
  </si>
  <si>
    <t>Stellenbosch University - Division of Sport and Exercise Medicine</t>
  </si>
  <si>
    <t>Protecting the health of athletes with cerebral palsy competing in Frame Running</t>
  </si>
  <si>
    <t xml:space="preserve">_x000D_
180600_x000D_
</t>
  </si>
  <si>
    <t xml:space="preserve">_x000D_
306600_x000D_
</t>
  </si>
  <si>
    <t xml:space="preserve">_x000D_
285800_x000D_
</t>
  </si>
  <si>
    <t>North-West university</t>
  </si>
  <si>
    <t>A comparative time series analysis of South African household credit trends with Long Short-Term Memory</t>
  </si>
  <si>
    <t xml:space="preserve">_x000D_
21000_x000D_
</t>
  </si>
  <si>
    <t>Cognitive and Experimental psychology</t>
  </si>
  <si>
    <t>Towards a context-specific framework for improving EHR data quality for Big Data Analytics: A case study of a South African public hospital</t>
  </si>
  <si>
    <t xml:space="preserve">_x000D_
-709977.34_x000D_
</t>
  </si>
  <si>
    <t xml:space="preserve">_x000D_
-763940.92_x000D_
</t>
  </si>
  <si>
    <t xml:space="preserve">_x000D_
-811926.82_x000D_
</t>
  </si>
  <si>
    <t>Applied Mathematics</t>
  </si>
  <si>
    <t xml:space="preserve">_x000D_
176000_x000D_
</t>
  </si>
  <si>
    <t>Exploring Effective Digital and Non-Digital Gamification Methods in Physical Science Lessons</t>
  </si>
  <si>
    <t xml:space="preserve">_x000D_
246981.4_x000D_
</t>
  </si>
  <si>
    <t>Investigating the influence of physicochemical factors on the expression of antibiotic resistance genes across wastewater-freshwater networks in South Africa</t>
  </si>
  <si>
    <t xml:space="preserve">_x000D_
204516_x000D_
</t>
  </si>
  <si>
    <t>Human Papillomavirus (HPV) Research, Vaccinology, Phylogenetic lineages and understanding the genetic relatedness between the high risk-HPV variants, Epitope analysis</t>
  </si>
  <si>
    <t xml:space="preserve">_x000D_
126555_x000D_
</t>
  </si>
  <si>
    <t>Through the Eye/I of the Camera: Damon Galgut’s Cinematic Logic and the Problem of the White Gaze</t>
  </si>
  <si>
    <t xml:space="preserve">_x000D_
268163_x000D_
</t>
  </si>
  <si>
    <t xml:space="preserve">_x000D_
279495_x000D_
</t>
  </si>
  <si>
    <t>Electrochemical detection of tyramine using biogenically synthesized iron-zinc nanocomposites</t>
  </si>
  <si>
    <t xml:space="preserve">_x000D_
305000_x000D_
</t>
  </si>
  <si>
    <t>Public Health</t>
  </si>
  <si>
    <t xml:space="preserve">_x000D_
175000_x000D_
</t>
  </si>
  <si>
    <t>University of stirling</t>
  </si>
  <si>
    <t>Finance and Risk management</t>
  </si>
  <si>
    <t xml:space="preserve">_x000D_
555357.66_x000D_
</t>
  </si>
  <si>
    <t xml:space="preserve">_x000D_
489424_x000D_
</t>
  </si>
  <si>
    <t>Investigating The Potential Causal Associations Between Dietary Intake, The Renin-Angiotensin-Aldosterone System, And Blood Pressure Among Young Adults: Ellisras Longitudinal Study</t>
  </si>
  <si>
    <t xml:space="preserve">_x000D_
202000_x000D_
</t>
  </si>
  <si>
    <t>Understanding Seagrass Resilience and Viral Evolution under Anthropogenic Stress in South African Coastal Regions</t>
  </si>
  <si>
    <t>01 February 2026</t>
  </si>
  <si>
    <t>Assessment of Agro-morphological, Physiological, and Biochemical Responses of Sesamum alatum to Soil Salinity</t>
  </si>
  <si>
    <t xml:space="preserve">_x000D_
99500_x000D_
</t>
  </si>
  <si>
    <t>University of the Witswatersrand</t>
  </si>
  <si>
    <t>Fluid Dynamics: Mathematical Models for Wind Turbines</t>
  </si>
  <si>
    <t xml:space="preserve">_x000D_
144000_x000D_
</t>
  </si>
  <si>
    <t>The impact of U.S. Agency for International Development [USAID] 2025 funding termination on the HIV response in South Africa: Outcomes, implications and sustainability</t>
  </si>
  <si>
    <t>Parisitology, Gut microbiome, mouse study</t>
  </si>
  <si>
    <t xml:space="preserve">_x000D_
110400_x000D_
</t>
  </si>
  <si>
    <t>Managing gender diverse and non-binary classrooms: The perspectives of Township secondary school educators in Clermont.</t>
  </si>
  <si>
    <t xml:space="preserve">_x000D_
83216_x000D_
</t>
  </si>
  <si>
    <t xml:space="preserve">_x000D_
45115_x000D_
</t>
  </si>
  <si>
    <t xml:space="preserve">_x000D_
59107_x000D_
</t>
  </si>
  <si>
    <t>Explainable AI and Hybrid Statistical Models for Decision-Making in Emerging Markets</t>
  </si>
  <si>
    <t>Molecular and cellular biology</t>
  </si>
  <si>
    <t xml:space="preserve">_x000D_
258426.24_x000D_
</t>
  </si>
  <si>
    <t xml:space="preserve">_x000D_
271245.05_x000D_
</t>
  </si>
  <si>
    <t>Cancer research specialising in cervical cancer</t>
  </si>
  <si>
    <t>Parasitology and host-pathogen interactions</t>
  </si>
  <si>
    <t>The enduring effects of colonialism on Xhosa culture: Land, Identity and social structure (1830- 2004).</t>
  </si>
  <si>
    <t>Ancient Assyriology</t>
  </si>
  <si>
    <t xml:space="preserve">_x000D_
-87548.96_x000D_
</t>
  </si>
  <si>
    <t xml:space="preserve">_x000D_
178200_x000D_
</t>
  </si>
  <si>
    <t>From School to University: Representations of the transformative power of education in South African literature</t>
  </si>
  <si>
    <t xml:space="preserve">_x000D_
261340_x000D_
</t>
  </si>
  <si>
    <t xml:space="preserve">_x000D_
287000_x000D_
</t>
  </si>
  <si>
    <t xml:space="preserve">_x000D_
324000_x000D_
</t>
  </si>
  <si>
    <t>Implementation of AI-driven cybersecurity in digital banking usingthe socio-technical framework</t>
  </si>
  <si>
    <t>An investigation of neurobiological mechanisms involved in neurodevelopmental impairments of offspring exposed to HIV Tat protein in utero: a murine model for HIV-exposed uninfected children</t>
  </si>
  <si>
    <t xml:space="preserve">_x000D_
213170_x000D_
</t>
  </si>
  <si>
    <t xml:space="preserve">_x000D_
234487_x000D_
</t>
  </si>
  <si>
    <t xml:space="preserve">_x000D_
257575.7_x000D_
</t>
  </si>
  <si>
    <t>Historical and Contemporary Perspectives on Pipe Organs and Organ Playing in South Africa</t>
  </si>
  <si>
    <t xml:space="preserve">_x000D_
183820_x000D_
</t>
  </si>
  <si>
    <t xml:space="preserve">_x000D_
163820_x000D_
</t>
  </si>
  <si>
    <t xml:space="preserve">_x000D_
158820_x000D_
</t>
  </si>
  <si>
    <t>Skills for Africa Training Institute</t>
  </si>
  <si>
    <t>5g And Beyond Wireless Communication Systems</t>
  </si>
  <si>
    <t xml:space="preserve">_x000D_
68500_x000D_
</t>
  </si>
  <si>
    <t>Ecological and health implications for birds in waste disposal sites in KwaZulu-Natal, South Africa</t>
  </si>
  <si>
    <t xml:space="preserve">_x000D_
116500_x000D_
</t>
  </si>
  <si>
    <t>Bath University; Erasmus University Rotterdam</t>
  </si>
  <si>
    <t>Health Inequality</t>
  </si>
  <si>
    <t xml:space="preserve">_x000D_
211500_x000D_
</t>
  </si>
  <si>
    <t xml:space="preserve">_x000D_
177164_x000D_
</t>
  </si>
  <si>
    <t>Decolonising Education Policy in South Africa: Towards Equitable curriculum transformation for rural learners</t>
  </si>
  <si>
    <t xml:space="preserve">_x000D_
130900_x000D_
</t>
  </si>
  <si>
    <t>Investigating the factors affecting flourishing amongst healthcare professionals working with TB patients in Namibian Regions</t>
  </si>
  <si>
    <t xml:space="preserve">_x000D_
32016.48_x000D_
</t>
  </si>
  <si>
    <t xml:space="preserve">_x000D_
70016.48_x000D_
</t>
  </si>
  <si>
    <t>Facial sciences</t>
  </si>
  <si>
    <t xml:space="preserve">_x000D_
70435_x000D_
</t>
  </si>
  <si>
    <t xml:space="preserve">_x000D_
64885_x000D_
</t>
  </si>
  <si>
    <t>Application of artificial intelligence to classify and predict recovery for dilated cardiomyopathies</t>
  </si>
  <si>
    <t xml:space="preserve">_x000D_
337320_x000D_
</t>
  </si>
  <si>
    <t xml:space="preserve">_x000D_
272320_x000D_
</t>
  </si>
  <si>
    <t>A VIRTUAL REALITY BASED PILOT STUDY OF STRESS REACTIVITY IN SCHIZOPHRENIA</t>
  </si>
  <si>
    <t>Development of BacPROTACs as a novel way of treatment for Gram-negative Bacterial infections</t>
  </si>
  <si>
    <t>Structure-property relationships in flexible MOFs for CO₂ capture</t>
  </si>
  <si>
    <t xml:space="preserve">_x000D_
142915_x000D_
</t>
  </si>
  <si>
    <t>Genetics</t>
  </si>
  <si>
    <t xml:space="preserve">_x000D_
153855_x000D_
</t>
  </si>
  <si>
    <t>The role of national, provincial and local government in realising the right of access to sufficient food in South Africa</t>
  </si>
  <si>
    <t xml:space="preserve">_x000D_
125200_x000D_
</t>
  </si>
  <si>
    <t xml:space="preserve">_x000D_
144100_x000D_
</t>
  </si>
  <si>
    <t>Evolutionary and Conservation genetics</t>
  </si>
  <si>
    <t xml:space="preserve">_x000D_
84170_x000D_
</t>
  </si>
  <si>
    <t xml:space="preserve">_x000D_
84670_x000D_
</t>
  </si>
  <si>
    <t xml:space="preserve">_x000D_
185170_x000D_
</t>
  </si>
  <si>
    <t>Strengthening legal frameworks regulating social workers in south Africa to enhance the protection and welfare of children affected by technology facilitated gender-based violence</t>
  </si>
  <si>
    <t xml:space="preserve">_x000D_
93000_x000D_
</t>
  </si>
  <si>
    <t>Geophysical Investigation of Structural Controls on Hydrogen Gas Occurrences in Mpumalanga, South Africa</t>
  </si>
  <si>
    <t xml:space="preserve">_x000D_
107000_x000D_
</t>
  </si>
  <si>
    <t>Investigation of the Lesotho Highlands Water Project and its effect on the displaced people of Lesotho.</t>
  </si>
  <si>
    <t>YOMBELA! Exploring the Role of Women Traditional Healers and Their Musical Practices in Indigenous Health Systems.</t>
  </si>
  <si>
    <t>Evaluate essentiality of Rv1122 in different in vitro non-replicating models, as well as ex vivo and in vivo systems, complemented by advanced microscopy techniques.</t>
  </si>
  <si>
    <t xml:space="preserve">_x000D_
312300_x000D_
</t>
  </si>
  <si>
    <t xml:space="preserve">_x000D_
322300_x000D_
</t>
  </si>
  <si>
    <t xml:space="preserve">_x000D_
333300_x000D_
</t>
  </si>
  <si>
    <t>A Zebrafish model for investigating muscle regeneration using nanoparticle-facilitated stem cell therapy and genetic regulation</t>
  </si>
  <si>
    <t xml:space="preserve">_x000D_
166106_x000D_
</t>
  </si>
  <si>
    <t xml:space="preserve">_x000D_
186046_x000D_
</t>
  </si>
  <si>
    <t xml:space="preserve">_x000D_
158688_x000D_
</t>
  </si>
  <si>
    <t>Univeristy of the Witwatersrand</t>
  </si>
  <si>
    <t>Optics and Photonics</t>
  </si>
  <si>
    <t xml:space="preserve">_x000D_
49453_x000D_
</t>
  </si>
  <si>
    <t>Cellular neuroscience and electrophysiology (Title: Human silent synapses: from existence to structural substrate across postnatal development)</t>
  </si>
  <si>
    <t xml:space="preserve">_x000D_
283030_x000D_
</t>
  </si>
  <si>
    <t>Automated Viral Discovery Pipeline</t>
  </si>
  <si>
    <t xml:space="preserve">_x000D_
109382_x000D_
</t>
  </si>
  <si>
    <t xml:space="preserve">_x000D_
111382_x000D_
</t>
  </si>
  <si>
    <t>An Exploration of the Individuation of the Postcolonial Subject and the Question of Inner Freedom in  African Critical Thought, Literature and Art.</t>
  </si>
  <si>
    <t xml:space="preserve">_x000D_
220166_x000D_
</t>
  </si>
  <si>
    <t xml:space="preserve">_x000D_
195826_x000D_
</t>
  </si>
  <si>
    <t>Neuroinflammation gene expression</t>
  </si>
  <si>
    <t>Leveraging predictive intelligence for redistributive policy design in South Africa</t>
  </si>
  <si>
    <t xml:space="preserve">_x000D_
131000_x000D_
</t>
  </si>
  <si>
    <t>Book publication based on PhD research, concerning creative responses to water politics</t>
  </si>
  <si>
    <t>Exploring how biomechanical cues influence HPV oncogene-driven cervical cancer progression</t>
  </si>
  <si>
    <t xml:space="preserve">_x000D_
540000_x000D_
</t>
  </si>
  <si>
    <t xml:space="preserve">_x000D_
530000_x000D_
</t>
  </si>
  <si>
    <t>Genomic Characterisation of Antifungal -Resistant Yeasts and Quantification of Antifungals in Mahikeng Boreholes</t>
  </si>
  <si>
    <t>The influence of AI-generated short-form video content and images on popular history and memory</t>
  </si>
  <si>
    <t xml:space="preserve">_x000D_
177580_x000D_
</t>
  </si>
  <si>
    <t xml:space="preserve">_x000D_
193580_x000D_
</t>
  </si>
  <si>
    <t xml:space="preserve">_x000D_
10000_x000D_
</t>
  </si>
  <si>
    <t>Theatre in Education: Finding the Parallels and Interconnection Between Theatre and Education as knowledge systems, and their use in creating an Embodied and Learner-Centred Classroom</t>
  </si>
  <si>
    <t>My research focuses on the re-analysis of the Sibebe cave after 1980 looking at technological changes throughout time, including manufacturing techniques and tool types of Sibebe cave</t>
  </si>
  <si>
    <t xml:space="preserve">_x000D_
141500_x000D_
</t>
  </si>
  <si>
    <t xml:space="preserve">_x000D_
131500_x000D_
</t>
  </si>
  <si>
    <t>Multilingual Story Generation with Open-Source Large Language Models In Addressing Literacy in South Africa</t>
  </si>
  <si>
    <t>Biodiversity and ecosystem functions</t>
  </si>
  <si>
    <t xml:space="preserve">_x000D_
395000_x000D_
</t>
  </si>
  <si>
    <t xml:space="preserve">_x000D_
445000_x000D_
</t>
  </si>
  <si>
    <t>Pharmacogenetics of systemic lupus erythomatosus</t>
  </si>
  <si>
    <t xml:space="preserve">_x000D_
450440_x000D_
</t>
  </si>
  <si>
    <t xml:space="preserve">_x000D_
514450_x000D_
</t>
  </si>
  <si>
    <t>A Study of Land and Residential Disputes through Visual Data Analysis and Urban Governance Practices</t>
  </si>
  <si>
    <t>Synthesis and optimization of camptothecin and apigenin nanocrystals using Hansen Solubility Parameters Software</t>
  </si>
  <si>
    <t xml:space="preserve">_x000D_
410000_x000D_
</t>
  </si>
  <si>
    <t>Marine nematodes as long term bioindicators of pollution across depth gradients in False Bay.</t>
  </si>
  <si>
    <t>Rhodes University (1st)</t>
  </si>
  <si>
    <t>Ethnomusicology- Historiographical Analysis of the Khoekhoe groups during Colonial South Africa</t>
  </si>
  <si>
    <t xml:space="preserve">_x000D_
131464_x000D_
</t>
  </si>
  <si>
    <t xml:space="preserve">_x000D_
114628.8_x000D_
</t>
  </si>
  <si>
    <t>University Of Free State</t>
  </si>
  <si>
    <t>The prevalence of substance induced psychotic disorders amongst the youth leading to recurring hospital admissions.</t>
  </si>
  <si>
    <t>Plant Sciences</t>
  </si>
  <si>
    <t>Designing the Future of Accounting Education: A Multidisciplinary Framework Incorporating Entrepreneurial Minded Learning and AI Interventions</t>
  </si>
  <si>
    <t>The Role of DNA Methylation in Breast Cancer: Epigenetic Insights into Tumour Pathogenesis and Treatment</t>
  </si>
  <si>
    <t xml:space="preserve">_x000D_
69103_x000D_
</t>
  </si>
  <si>
    <t xml:space="preserve">_x000D_
47607_x000D_
</t>
  </si>
  <si>
    <t>T cell responses to MPXV in smallpox vaccinated and mpox convalescent individuals</t>
  </si>
  <si>
    <t xml:space="preserve">_x000D_
202030_x000D_
</t>
  </si>
  <si>
    <t xml:space="preserve">_x000D_
121200_x000D_
</t>
  </si>
  <si>
    <t>Land Dispossession in Post-World War II South Africa: A Study on the Impact of Post-War Resettlement Schemes on the Eersteling Farming Community and  descendants in the 1920s and 1960s.</t>
  </si>
  <si>
    <t xml:space="preserve">_x000D_
29456_x000D_
</t>
  </si>
  <si>
    <t>University of Oxford</t>
  </si>
  <si>
    <t>Nuclear Physics</t>
  </si>
  <si>
    <t xml:space="preserve">_x000D_
1312306.25_x000D_
</t>
  </si>
  <si>
    <t>Neuroimmunogy: host-pathogen interactions in cryptococcal meningitis</t>
  </si>
  <si>
    <t xml:space="preserve">_x000D_
398000_x000D_
</t>
  </si>
  <si>
    <t>Sol Plaatje University and WITS University</t>
  </si>
  <si>
    <t>Contested Spaces: The Preservation and Reinterpretation of Colonial Heritage in Post-Apartheid South Africa</t>
  </si>
  <si>
    <t xml:space="preserve">_x000D_
212500_x000D_
</t>
  </si>
  <si>
    <t>Quantitative sensory testing: Reference data for people of Black South African ancestry</t>
  </si>
  <si>
    <t xml:space="preserve">_x000D_
229000_x000D_
</t>
  </si>
  <si>
    <t xml:space="preserve">_x000D_
231500_x000D_
</t>
  </si>
  <si>
    <t xml:space="preserve">_x000D_
234250_x000D_
</t>
  </si>
  <si>
    <t>The skeletal evidence of disease in the 19th century Koffiefontein Diamond Mine labourers</t>
  </si>
  <si>
    <t xml:space="preserve">_x000D_
143835_x000D_
</t>
  </si>
  <si>
    <t xml:space="preserve">_x000D_
68482_x000D_
</t>
  </si>
  <si>
    <t>Judicial Interpretation of piercing the corporate veil under section 20(9) of the Companies Act in South Africa.</t>
  </si>
  <si>
    <t>I am an accepted candidate at University of London</t>
  </si>
  <si>
    <t>Public International Law</t>
  </si>
  <si>
    <t xml:space="preserve">_x000D_
110697.61_x000D_
</t>
  </si>
  <si>
    <t>The University of Cape Town under the (confirmed) supervision by Dr Thabang Monoa</t>
  </si>
  <si>
    <t>Situated within performance theory, indigenous knowledge systems and psychotherapy, this study explores the influence of isiZulu cosmologies on the development of the therapeutic modality known as 'Family Constellations'. I aim to restore the erased African epistemic contributions to this healing modality and reposition it within both spiritual and artistic discourses.</t>
  </si>
  <si>
    <t xml:space="preserve">_x000D_
184536_x000D_
</t>
  </si>
  <si>
    <t xml:space="preserve">_x000D_
248553_x000D_
</t>
  </si>
  <si>
    <t xml:space="preserve">_x000D_
275582_x000D_
</t>
  </si>
  <si>
    <t>Harmonising Music Cognition and Academic Achievement: An Investigation of Marimba Ensemble Participation and Cognitive Transfer Effects among Intermediate Phase Learners</t>
  </si>
  <si>
    <t xml:space="preserve">_x000D_
34750_x000D_
</t>
  </si>
  <si>
    <t>Data Science</t>
  </si>
  <si>
    <t xml:space="preserve">_x000D_
28850_x000D_
</t>
  </si>
  <si>
    <t>The role of traditional leaders in the South African democratic transition: A case of the !Xun and Khwe in Platfontein Northern Cape</t>
  </si>
  <si>
    <t xml:space="preserve">_x000D_
71000_x000D_
</t>
  </si>
  <si>
    <t>Multispecies ethnography; African epistemology</t>
  </si>
  <si>
    <t>University of the Free State (UFS)</t>
  </si>
  <si>
    <t>The selection, extraction and characterisation of mucilages from sustainable plants (Cactus Pear, Aloe Vera, Spekboom, Agave) and as a functional ingredient in food systems and cosmetics</t>
  </si>
  <si>
    <t xml:space="preserve">_x000D_
241000_x000D_
</t>
  </si>
  <si>
    <t>Interleukin 4 induced gene 1 (IL-4I1) during Nippostronglyus brasiliensis and Schistosoma mansoni.</t>
  </si>
  <si>
    <t xml:space="preserve">_x000D_
281170_x000D_
</t>
  </si>
  <si>
    <t xml:space="preserve">_x000D_
273520_x000D_
</t>
  </si>
  <si>
    <t xml:space="preserve">_x000D_
286961.6_x000D_
</t>
  </si>
  <si>
    <t>North West university</t>
  </si>
  <si>
    <t>Just transformation</t>
  </si>
  <si>
    <t>Urban Regeneration and the Making of Racialized Spatial Inequality in Johannesburg Inner-city.</t>
  </si>
  <si>
    <t xml:space="preserve">_x000D_
227000_x000D_
</t>
  </si>
  <si>
    <t>Music Departments at Historically Black Universities – Histories, Ideologies, and Legacies</t>
  </si>
  <si>
    <t xml:space="preserve">_x000D_
394680_x000D_
</t>
  </si>
  <si>
    <t xml:space="preserve">_x000D_
392493_x000D_
</t>
  </si>
  <si>
    <t>TB</t>
  </si>
  <si>
    <t xml:space="preserve">_x000D_
189760_x000D_
</t>
  </si>
  <si>
    <t>Festivals in Peri-Urban areas; The Smoking Dragons festival as a case study</t>
  </si>
  <si>
    <t xml:space="preserve">_x000D_
207194.9_x000D_
</t>
  </si>
  <si>
    <t>Tuberculous meningitis</t>
  </si>
  <si>
    <t>Cosmology and General Relativity</t>
  </si>
  <si>
    <t xml:space="preserve">_x000D_
247500_x000D_
</t>
  </si>
  <si>
    <t>Multiparameter lead optimization of inhibitors targeting allosteric binding sites of the androgen receptor</t>
  </si>
  <si>
    <t>Neuroscience, Immunology, Neuroimmunology, Bioinformatics, Spatial Omics, Cryptococcal Meningitis</t>
  </si>
  <si>
    <t xml:space="preserve">_x000D_
274743.6_x000D_
</t>
  </si>
  <si>
    <t xml:space="preserve">_x000D_
273027.89_x000D_
</t>
  </si>
  <si>
    <t xml:space="preserve">_x000D_
286959.33_x000D_
</t>
  </si>
  <si>
    <t>Alzheimers Disease</t>
  </si>
  <si>
    <t xml:space="preserve">_x000D_
235696_x000D_
</t>
  </si>
  <si>
    <t>Challenges faced by South Africa in complying with global climate change agreements/ agenda</t>
  </si>
  <si>
    <t xml:space="preserve">_x000D_
87346_x000D_
</t>
  </si>
  <si>
    <t>Recontextualising generational cohorts and their influence on work ethics in the South African workplace</t>
  </si>
  <si>
    <t xml:space="preserve">_x000D_
158400_x000D_
</t>
  </si>
  <si>
    <t>Canterbury Christ Church University</t>
  </si>
  <si>
    <t>South African jazz: the Inflence of Indigenous and Traditional Music on South African Jazz</t>
  </si>
  <si>
    <t xml:space="preserve">_x000D_
-61037.5_x000D_
</t>
  </si>
  <si>
    <t xml:space="preserve">_x000D_
-92777_x000D_
</t>
  </si>
  <si>
    <t>Characterization of the Plasmodium falciparum ER Hsps as potential diagnostic tools.</t>
  </si>
  <si>
    <t>Grass root traits respond to changes in soil biogeochemical gradient in the Maloti-Drakensburg</t>
  </si>
  <si>
    <t>University of Kwazulu Natal , Durban</t>
  </si>
  <si>
    <t>Synthesis, characterization and application of Core-Shell Photocatalysts for Efficient Water Purification</t>
  </si>
  <si>
    <t>Evaluating the temporal effects of regenerative and conventional cropping on soil health</t>
  </si>
  <si>
    <t xml:space="preserve">_x000D_
300333.33_x000D_
</t>
  </si>
  <si>
    <t xml:space="preserve">_x000D_
233666.67_x000D_
</t>
  </si>
  <si>
    <t>Tuberculosis of the Central Nervous System - "Dissecting CNS Tuberculosis Immune Dynamics Through Temporal Single-Cell Transcriptomic and Proteomic Profiling"</t>
  </si>
  <si>
    <t xml:space="preserve">_x000D_
430000_x000D_
</t>
  </si>
  <si>
    <t>A real-time, climate sensitive transferable machine learning groundwater prospectivity model for arid and semi-arid regions of the African continent</t>
  </si>
  <si>
    <t xml:space="preserve">_x000D_
440408_x000D_
</t>
  </si>
  <si>
    <t>Co-designing AI-Driven Storytelling Tools for Type-2 Diabetes Management in African Low and Middle-Income Countries</t>
  </si>
  <si>
    <t xml:space="preserve">_x000D_
409693_x000D_
</t>
  </si>
  <si>
    <t xml:space="preserve">_x000D_
401438_x000D_
</t>
  </si>
  <si>
    <t xml:space="preserve">_x000D_
459410_x000D_
</t>
  </si>
  <si>
    <t>Exploring Gartanin and Long Non-Coding RNA- 286 and as Host-Directed Drug Therapy for  Tuberculosis</t>
  </si>
  <si>
    <t xml:space="preserve">_x000D_
161000_x000D_
</t>
  </si>
  <si>
    <t>Investigating Microglial response to the Nemecheck protocol in Human-Derived brain organoid models of Autism Spectrum disorder</t>
  </si>
  <si>
    <t xml:space="preserve">_x000D_
197887.9_x000D_
</t>
  </si>
  <si>
    <t>Cape Jazz</t>
  </si>
  <si>
    <t xml:space="preserve">_x000D_
213810_x000D_
</t>
  </si>
  <si>
    <t xml:space="preserve">_x000D_
223810_x000D_
</t>
  </si>
  <si>
    <t>The role and importance of biological soil crusts in South African drylands</t>
  </si>
  <si>
    <t xml:space="preserve">_x000D_
179915_x000D_
</t>
  </si>
  <si>
    <t>Cross-linguistics transfer and grammaticality judgments</t>
  </si>
  <si>
    <t>Waste management issues in rural areas</t>
  </si>
  <si>
    <t xml:space="preserve">_x000D_
145181_x000D_
</t>
  </si>
  <si>
    <t>Palaeontology</t>
  </si>
  <si>
    <t xml:space="preserve">_x000D_
346500_x000D_
</t>
  </si>
  <si>
    <t>Application of electron microscopy in pesticide poisoning post-mortem cases as a diagnostic tool</t>
  </si>
  <si>
    <t>Investigating the therapeutic biomarkers of selected medicinal on Parkinson's  disease using in vitro model</t>
  </si>
  <si>
    <t xml:space="preserve">_x000D_
37887_x000D_
</t>
  </si>
  <si>
    <t xml:space="preserve">_x000D_
87887_x000D_
</t>
  </si>
  <si>
    <t>Modelling corruption as a network in South Africa</t>
  </si>
  <si>
    <t xml:space="preserve">_x000D_
237500_x000D_
</t>
  </si>
  <si>
    <t xml:space="preserve">_x000D_
229500_x000D_
</t>
  </si>
  <si>
    <t xml:space="preserve">_x000D_
256500_x000D_
</t>
  </si>
  <si>
    <t>Decolonial representation and aesthetics pertaining to the Indian Ocean islands</t>
  </si>
  <si>
    <t xml:space="preserve">_x000D_
188163_x000D_
</t>
  </si>
  <si>
    <t xml:space="preserve">_x000D_
312363_x000D_
</t>
  </si>
  <si>
    <t xml:space="preserve">_x000D_
298363_x000D_
</t>
  </si>
  <si>
    <t>Stellenborsch University</t>
  </si>
  <si>
    <t>Aging in a Youth-Centred Society: Exploring the Psychological Impact of Societal Invisibility on Older Adults in South Africa.</t>
  </si>
  <si>
    <t xml:space="preserve">_x000D_
306000_x000D_
</t>
  </si>
  <si>
    <t xml:space="preserve">_x000D_
353000_x000D_
</t>
  </si>
  <si>
    <t>North-West University (NWU)</t>
  </si>
  <si>
    <t>Quantifying pollutant transport and exceedances over South Africa and the Highveld CHIMERE chemistry transport model</t>
  </si>
  <si>
    <t xml:space="preserve">_x000D_
146000_x000D_
</t>
  </si>
  <si>
    <t>Medical Microbiology</t>
  </si>
  <si>
    <t xml:space="preserve">_x000D_
247166.45_x000D_
</t>
  </si>
  <si>
    <t>Black Poetics and The New Genre of the Human</t>
  </si>
  <si>
    <t xml:space="preserve">_x000D_
107286_x000D_
</t>
  </si>
  <si>
    <t>Quaternary-doping of Pt, Ir and Ru on the ternary Fe-Ag-Al alloy</t>
  </si>
  <si>
    <t xml:space="preserve">_x000D_
415000_x000D_
</t>
  </si>
  <si>
    <t>Assessing executive functioning in 5–year-old children following Antenatal Maternal Depression Exposure: The Role of Earlier neurodevelopmental changes.</t>
  </si>
  <si>
    <t>Group relatedness and genetic mating system of the facultatively cooperative breeding African pygmy falcon</t>
  </si>
  <si>
    <t xml:space="preserve">_x000D_
523112.25_x000D_
</t>
  </si>
  <si>
    <t xml:space="preserve">_x000D_
558438.5_x000D_
</t>
  </si>
  <si>
    <t>Using flow cytometry to study neuroimmune responses on a murine and human ex vivo model of cryptococcal meningitis</t>
  </si>
  <si>
    <t xml:space="preserve">_x000D_
241970_x000D_
</t>
  </si>
  <si>
    <t>Taal en kulturele identiteit in  die digbundels van Adam Small: n Fokus op  Kitaar my kruis en Klawerjas.</t>
  </si>
  <si>
    <t>Atmospheric Rivers in the Southern Hemisphere</t>
  </si>
  <si>
    <t xml:space="preserve">_x000D_
249170_x000D_
</t>
  </si>
  <si>
    <t xml:space="preserve">_x000D_
229170_x000D_
</t>
  </si>
  <si>
    <t xml:space="preserve">_x000D_
299170_x000D_
</t>
  </si>
  <si>
    <t>Cardiovascular consequences of antiretroviral therapy–induced lipodystrophy in South African HIV-positive adults</t>
  </si>
  <si>
    <t xml:space="preserve">_x000D_
54400_x000D_
</t>
  </si>
  <si>
    <t>MINTEK</t>
  </si>
  <si>
    <t xml:space="preserve">_x000D_
204000_x000D_
</t>
  </si>
  <si>
    <t xml:space="preserve">_x000D_
189000_x000D_
</t>
  </si>
  <si>
    <t>Pure Mathematics</t>
  </si>
  <si>
    <t xml:space="preserve">_x000D_
22610_x000D_
</t>
  </si>
  <si>
    <t>Design and synthesis of high-performance salt resistant novel photothermal membranes for enhanced membrane distillation-based desalination of seawater</t>
  </si>
  <si>
    <t>Public Health and Preventive Medicine</t>
  </si>
  <si>
    <t>Rhodes University, South Africa</t>
  </si>
  <si>
    <t>Accumulation of Loss: Inscriptive Technologies and the Digital Bleek and Lloyd</t>
  </si>
  <si>
    <t xml:space="preserve">_x000D_
218836_x000D_
</t>
  </si>
  <si>
    <t xml:space="preserve">_x000D_
253836_x000D_
</t>
  </si>
  <si>
    <t>This is why I ended her life:  Using Verbatim Theatre to explore the phenomenon of Femicide in post-colonial South Africa.</t>
  </si>
  <si>
    <t xml:space="preserve">_x000D_
318000_x000D_
</t>
  </si>
  <si>
    <t>My research focuses on the use of Bacillus-galacto-oligosaccharide synbiotics as alternatives to antibiotic growth promoters in broiler chicken diets.</t>
  </si>
  <si>
    <t xml:space="preserve">_x000D_
74831_x000D_
</t>
  </si>
  <si>
    <t>University of Glasgow, Scotland, UK</t>
  </si>
  <si>
    <t>Maternal Exposure to Air Pollution and Its Associated Risks with Congenital Anomalies: A Retrospective Cohort Analysis</t>
  </si>
  <si>
    <t xml:space="preserve">_x000D_
1328176_x000D_
</t>
  </si>
  <si>
    <t>The role of maternal methyl donor nutrient supplementation in shaping the intestinal and metabolic health of offspring in rats</t>
  </si>
  <si>
    <t xml:space="preserve">_x000D_
29080_x000D_
</t>
  </si>
  <si>
    <t xml:space="preserve">_x000D_
70380_x000D_
</t>
  </si>
  <si>
    <t>Implications of incorporating Indigenous Knowledge Systems (IKS) in a Mathematics classroom.</t>
  </si>
  <si>
    <t xml:space="preserve">_x000D_
59500_x000D_
</t>
  </si>
  <si>
    <t>Molecular and morphological diversity of an Enteromius spp. complex in South African highveld river systems.</t>
  </si>
  <si>
    <t>Pharmacomicrobiomics</t>
  </si>
  <si>
    <t xml:space="preserve">_x000D_
231400_x000D_
</t>
  </si>
  <si>
    <t>Design and synthesis of novel antitubercular agents using molecular hybridization approach</t>
  </si>
  <si>
    <t>University of the Free State (Qwa Qwa Campus)</t>
  </si>
  <si>
    <t>Transformative Education for building social responsibility in preschoolers in South Africa: An Integral Education and Ubuntu approach to Early Childhood Practitioner Training</t>
  </si>
  <si>
    <t xml:space="preserve">_x000D_
279134.4_x000D_
</t>
  </si>
  <si>
    <t xml:space="preserve">_x000D_
220387.2_x000D_
</t>
  </si>
  <si>
    <t>Age related changes in rumen microbiome population in response to exogenic butyric acid supplementation to pre-weaned lambs</t>
  </si>
  <si>
    <t xml:space="preserve">_x000D_
193034.28_x000D_
</t>
  </si>
  <si>
    <t>Exploring the effects of cultural environment change on language literacy and identity: A comparative case study of the !Xun and Khwe San communities in Platfontein (South Africa), Bwabwata National Park (Namibia) and Ghanzi District (Botswana).</t>
  </si>
  <si>
    <t xml:space="preserve">_x000D_
23500_x000D_
</t>
  </si>
  <si>
    <t>Characterising early host-pathogen interactions of Mycobacterium tuberculosis in ex vivo lung tissue</t>
  </si>
  <si>
    <t xml:space="preserve">_x000D_
161602_x000D_
</t>
  </si>
  <si>
    <t xml:space="preserve">_x000D_
217100_x000D_
</t>
  </si>
  <si>
    <t xml:space="preserve">_x000D_
117400_x000D_
</t>
  </si>
  <si>
    <t>Plant-derived neurological enzyme inhibitors for the symptomatic treatment of Parkinson’s disease.</t>
  </si>
  <si>
    <t xml:space="preserve">_x000D_
41855_x000D_
</t>
  </si>
  <si>
    <t xml:space="preserve">_x000D_
44655_x000D_
</t>
  </si>
  <si>
    <t>Neuroimmunology</t>
  </si>
  <si>
    <t xml:space="preserve">_x000D_
265000_x000D_
</t>
  </si>
  <si>
    <t xml:space="preserve">_x000D_
255000_x000D_
</t>
  </si>
  <si>
    <t>Neuroscience</t>
  </si>
  <si>
    <t xml:space="preserve">_x000D_
155000_x000D_
</t>
  </si>
  <si>
    <t>Cell Biology, Molecular Biology, Molecular Biochemistry, Neurodegenerative Diseases</t>
  </si>
  <si>
    <t xml:space="preserve">_x000D_
190536_x000D_
</t>
  </si>
  <si>
    <t>Rural queerness in contemporary South African literature: Towards a queer pastoral aesthetic in South African fiction</t>
  </si>
  <si>
    <t xml:space="preserve">_x000D_
52750_x000D_
</t>
  </si>
  <si>
    <t xml:space="preserve">_x000D_
54800_x000D_
</t>
  </si>
  <si>
    <t xml:space="preserve">_x000D_
264500_x000D_
</t>
  </si>
  <si>
    <t>Exploring the relationship between natural resource wealth, control of corruption, and illicit financial flows  (IFFs) across African countries, using coefficient and regression analysis</t>
  </si>
  <si>
    <t xml:space="preserve">_x000D_
349790_x000D_
</t>
  </si>
  <si>
    <t>The psychological impact of immigration policy: How pro- and anti-immigrant policies affect the mental health of the migrants</t>
  </si>
  <si>
    <t xml:space="preserve">_x000D_
116544_x000D_
</t>
  </si>
  <si>
    <t xml:space="preserve">_x000D_
124044_x000D_
</t>
  </si>
  <si>
    <t xml:space="preserve">_x000D_
131544_x000D_
</t>
  </si>
  <si>
    <t xml:space="preserve">_x000D_
123059_x000D_
</t>
  </si>
  <si>
    <t>Sol plaatje university</t>
  </si>
  <si>
    <t>The seasonal diet and foraging behaviour of aardvarks in a semi-arid region, South Africa</t>
  </si>
  <si>
    <t>Marine microbial ecology and biotechnology</t>
  </si>
  <si>
    <t xml:space="preserve">_x000D_
301196_x000D_
</t>
  </si>
  <si>
    <t>Maynooth University</t>
  </si>
  <si>
    <t>History</t>
  </si>
  <si>
    <t xml:space="preserve">_x000D_
82387.5_x000D_
</t>
  </si>
  <si>
    <t xml:space="preserve">_x000D_
50488.75_x000D_
</t>
  </si>
  <si>
    <t xml:space="preserve">_x000D_
68867.5_x000D_
</t>
  </si>
  <si>
    <t>Organometallic and organic synthesis</t>
  </si>
  <si>
    <t xml:space="preserve">_x000D_
173705_x000D_
</t>
  </si>
  <si>
    <t>Theology: social scientific study of the Old Testament, focused on wisdom and power in the Old Testament</t>
  </si>
  <si>
    <t xml:space="preserve">_x000D_
339000_x000D_
</t>
  </si>
  <si>
    <t>University of Cape Town and Cape Peninsula University of Technology</t>
  </si>
  <si>
    <t>Access to Basic Services in Joe Slovo Informal Settlement, Langa (Cape Town)</t>
  </si>
  <si>
    <t xml:space="preserve">_x000D_
191943_x000D_
</t>
  </si>
  <si>
    <t>Molecular genetics and biochemistry of Pine and Eucalyptus fungal pathogens</t>
  </si>
  <si>
    <t xml:space="preserve">_x000D_
170810_x000D_
</t>
  </si>
  <si>
    <t>Ecosystem engineering: the white-browed sparrow-weavers shape arid and semi-arid avifauna</t>
  </si>
  <si>
    <t xml:space="preserve">_x000D_
535770_x000D_
</t>
  </si>
  <si>
    <t xml:space="preserve">_x000D_
601135_x000D_
</t>
  </si>
  <si>
    <t xml:space="preserve">_x000D_
478663_x000D_
</t>
  </si>
  <si>
    <t>Economics</t>
  </si>
  <si>
    <t>Clinical Psychology</t>
  </si>
  <si>
    <t xml:space="preserve">_x000D_
177190_x000D_
</t>
  </si>
  <si>
    <t>Exploring the Implication of Collective Action among Waste Pickers in Durban: A Case Study of Buffelsdraai Landfill Site, KwaZulu-Natal</t>
  </si>
  <si>
    <t xml:space="preserve">_x000D_
88924_x000D_
</t>
  </si>
  <si>
    <t>Prevalence and transmission dynamics of methicillin resistant Staphylococcus aureus and carbapenem resistant Pseudomonas aeruginosa at a public intensive care unit in Pretoria, South Africa</t>
  </si>
  <si>
    <t xml:space="preserve">_x000D_
479550_x000D_
</t>
  </si>
  <si>
    <t xml:space="preserve">_x000D_
458500_x000D_
</t>
  </si>
  <si>
    <t>China University of Geosciences-Wuhan</t>
  </si>
  <si>
    <t>Geochemistry &amp; economic geology</t>
  </si>
  <si>
    <t xml:space="preserve">_x000D_
81752_x000D_
</t>
  </si>
  <si>
    <t>London School of Economics, and European University Institute (Florence)</t>
  </si>
  <si>
    <t>private anti-discrimination law in South Africa and comparative contexts</t>
  </si>
  <si>
    <t xml:space="preserve">_x000D_
493710.35_x000D_
</t>
  </si>
  <si>
    <t>Theoretical Chemistry</t>
  </si>
  <si>
    <t xml:space="preserve">_x000D_
145555_x000D_
</t>
  </si>
  <si>
    <t>"The Deepening Relationship between Capital Offences, State-Sanctioned Death, and Sovereignty: An Archival and Ethnographic Study of Punishment, Organized Violence, and the Governance of the Body in Botswana"</t>
  </si>
  <si>
    <t xml:space="preserve">_x000D_
172800_x000D_
</t>
  </si>
  <si>
    <t xml:space="preserve">_x000D_
212000_x000D_
</t>
  </si>
  <si>
    <t>Novel gene discovery and genetic landscape of heart failure in Sub-Saharan Africa</t>
  </si>
  <si>
    <t xml:space="preserve">_x000D_
262735_x000D_
</t>
  </si>
  <si>
    <t xml:space="preserve">_x000D_
275040_x000D_
</t>
  </si>
  <si>
    <t xml:space="preserve">_x000D_
288220_x000D_
</t>
  </si>
  <si>
    <t>Applied Linguistics and Discourse Studies</t>
  </si>
  <si>
    <t>Antiretroviral treatment interruption among men who have sex with men receiving services from a non-governmental organization in Johannesburg, South Africa: A  mixed methods study</t>
  </si>
  <si>
    <t xml:space="preserve">_x000D_
290100_x000D_
</t>
  </si>
  <si>
    <t xml:space="preserve">_x000D_
221800_x000D_
</t>
  </si>
  <si>
    <t>Investigating the effects of cholesterol modulators on CAF-driven tumour microenvironmental effects in CRC organoid co-cultures.</t>
  </si>
  <si>
    <t xml:space="preserve">_x000D_
185000_x000D_
</t>
  </si>
  <si>
    <t>Impact of marketedness and socialization on the functioning and resilience of micro-enterprises</t>
  </si>
  <si>
    <t>Psychosocial well-being of immigrant women in South Africa.</t>
  </si>
  <si>
    <t xml:space="preserve">_x000D_
239430_x000D_
</t>
  </si>
  <si>
    <t xml:space="preserve">_x000D_
177500_x000D_
</t>
  </si>
  <si>
    <t>The University of Pretoria</t>
  </si>
  <si>
    <t>Tokarzcuk, Neurodiversity and a Literature of Tenderness</t>
  </si>
  <si>
    <t>University of Witswatersrand</t>
  </si>
  <si>
    <t>Theatre Management in University Setting</t>
  </si>
  <si>
    <t>Unpacking 'Informal' economy in South Africa focusing on Emic perspectives of street vendors selling consumable goods in Ivory Park and Clayville, Johannesburg South Africa.</t>
  </si>
  <si>
    <t>Race, Disability, and Sexual Abuse: Exploring Mental Health Outcomes Through an Intersectional Lens.</t>
  </si>
  <si>
    <t xml:space="preserve">_x000D_
92000_x000D_
</t>
  </si>
  <si>
    <t>Terahertz over Fiber Transmission System: A Hybrid  Solution for Ultra-High Capacity IoT in 6G Networks</t>
  </si>
  <si>
    <t xml:space="preserve">_x000D_
235800_x000D_
</t>
  </si>
  <si>
    <t xml:space="preserve">_x000D_
331800_x000D_
</t>
  </si>
  <si>
    <t xml:space="preserve">_x000D_
381800_x000D_
</t>
  </si>
  <si>
    <t>Fluid mechanics of tidal stream energy</t>
  </si>
  <si>
    <t xml:space="preserve">_x000D_
641919.18_x000D_
</t>
  </si>
  <si>
    <t xml:space="preserve">_x000D_
624926.34_x000D_
</t>
  </si>
  <si>
    <t>Human Gut Microbiome</t>
  </si>
  <si>
    <t xml:space="preserve">_x000D_
128000_x000D_
</t>
  </si>
  <si>
    <t>The effectiveness of a training program in the transdisciplinary model on the collaboration of rehabilitation professionals working in the early childhood intervention population in South Africa</t>
  </si>
  <si>
    <t>University of free state</t>
  </si>
  <si>
    <t>Investigate the Historical Context of Constitutionalism and its Impact on Contemporary Legal Systems</t>
  </si>
  <si>
    <t>Optimising Antidepressant Patient Information Leaflets for the South African Population</t>
  </si>
  <si>
    <t xml:space="preserve">_x000D_
298520_x000D_
</t>
  </si>
  <si>
    <t xml:space="preserve">_x000D_
373824_x000D_
</t>
  </si>
  <si>
    <t xml:space="preserve">_x000D_
464188_x000D_
</t>
  </si>
  <si>
    <t>Sociology of Education</t>
  </si>
  <si>
    <t xml:space="preserve">_x000D_
53080_x000D_
</t>
  </si>
  <si>
    <t>Topic: Challenges Faced by Artist-Founders in the Daily Running, Strategic Development, Growth, and Sustainability of Arts Organizations in Ekurhuleni, South Africa: A Case Study of Three Arts Organizations</t>
  </si>
  <si>
    <t xml:space="preserve">_x000D_
105959_x000D_
</t>
  </si>
  <si>
    <t>WITS School of Education</t>
  </si>
  <si>
    <t>Foundation Phase teachers’ experiences of Pedagogical Content Knowledge (PCK) for literacy instruction in multilingual inclusive classrooms: A case of Tshwane-West</t>
  </si>
  <si>
    <t xml:space="preserve">_x000D_
64780_x000D_
</t>
  </si>
  <si>
    <t>University of the WitWatersrand</t>
  </si>
  <si>
    <t>Beyond Government: Mentalities in the pursuit of survival among Zimbabweans</t>
  </si>
  <si>
    <t xml:space="preserve">_x000D_
222000_x000D_
</t>
  </si>
  <si>
    <t>South African College of Applied Psychology (SACAP)</t>
  </si>
  <si>
    <t>Community Mental Health Promotion</t>
  </si>
  <si>
    <t xml:space="preserve">_x000D_
94656_x000D_
</t>
  </si>
  <si>
    <t>Impact of population-level HPV Vaccination on Genotype-Specific HPV Prevalence, Incidence, Clearance and Acquisition Among Young Women in KwaZulu-Natal, South Africa</t>
  </si>
  <si>
    <t xml:space="preserve">_x000D_
138371_x000D_
</t>
  </si>
  <si>
    <t xml:space="preserve">_x000D_
139166_x000D_
</t>
  </si>
  <si>
    <t>Boston Conservatory at Berklee</t>
  </si>
  <si>
    <t>Clarinet Performance</t>
  </si>
  <si>
    <t xml:space="preserve">_x000D_
747092.37_x000D_
</t>
  </si>
  <si>
    <t>Domestication of the Mandatory Requirement  of the Newly Adopted WIPO Treaty on Intellectual Property (IP), Genetic Resources (GRs) and Traditional Knowledge (TK) to Promote innovation and achieve the objectives of the Convention on Biodiversity</t>
  </si>
  <si>
    <t xml:space="preserve">_x000D_
2136312.5_x000D_
</t>
  </si>
  <si>
    <t>An interdisciplinary approach to predicting and modelling the development of academic vocabulary among university students.</t>
  </si>
  <si>
    <t xml:space="preserve">_x000D_
154443_x000D_
</t>
  </si>
  <si>
    <t xml:space="preserve">_x000D_
183252_x000D_
</t>
  </si>
  <si>
    <t xml:space="preserve">_x000D_
196081_x000D_
</t>
  </si>
  <si>
    <t>Genomics, Entomology</t>
  </si>
  <si>
    <t xml:space="preserve">_x000D_
4000_x000D_
</t>
  </si>
  <si>
    <t xml:space="preserve">_x000D_
49000_x000D_
</t>
  </si>
  <si>
    <t>SRH University Berlin</t>
  </si>
  <si>
    <t>Social Design and Sustainable Innovation</t>
  </si>
  <si>
    <t xml:space="preserve">_x000D_
458412.5_x000D_
</t>
  </si>
  <si>
    <t>An exploration of the body perception, body image, nutritional experiences and the effect on performance among Latin and ballroom dancers in Gauteng Province.</t>
  </si>
  <si>
    <t xml:space="preserve">_x000D_
70700_x000D_
</t>
  </si>
  <si>
    <t>The human gut microbiome</t>
  </si>
  <si>
    <t>Stress and reproductive hormone monitoring in arid-adapted antelope species</t>
  </si>
  <si>
    <t xml:space="preserve">_x000D_
295000_x000D_
</t>
  </si>
  <si>
    <t xml:space="preserve">_x000D_
245000_x000D_
</t>
  </si>
  <si>
    <t>UOFS / WITS</t>
  </si>
  <si>
    <t>The Effects of Climate Change on the ‡Khomani World Heritage Cultural Landscape in the Northern Cape Province, South Africa.</t>
  </si>
  <si>
    <t>The role of miRNA-181b in HIV-associated aggressive B-cell Lymphoma</t>
  </si>
  <si>
    <t xml:space="preserve">_x000D_
118000_x000D_
</t>
  </si>
  <si>
    <t>HR-HPV and Prostate Cancer in South African Men: Genomic Integration and Oncogenic Implication</t>
  </si>
  <si>
    <t>Study of genomic disease burden to complement Cause of Death investigation in Sub- Saharan Africa: a pilot study from Child Health and Mortality Prevention Surveillance (CHAMPS) Network</t>
  </si>
  <si>
    <t xml:space="preserve">_x000D_
475000_x000D_
</t>
  </si>
  <si>
    <t xml:space="preserve">_x000D_
479000_x000D_
</t>
  </si>
  <si>
    <t>The Association Between Parenting Practices and Adolescent Behavioural Outcomes: A study of South African NGO-Supported Families</t>
  </si>
  <si>
    <t xml:space="preserve">_x000D_
70930_x000D_
</t>
  </si>
  <si>
    <t>Chemistry</t>
  </si>
  <si>
    <t xml:space="preserve">_x000D_
622500_x000D_
</t>
  </si>
  <si>
    <t xml:space="preserve">_x000D_
472500_x000D_
</t>
  </si>
  <si>
    <t>Assessing the Adequacy of South Africa’s Consumer Protection Framework in Regulating Product Liability for Autonomous Goods</t>
  </si>
  <si>
    <t>The main goal of this project is to develop highly effective anti-cancer agents using an integrated approach.</t>
  </si>
  <si>
    <t>Barriers to accessing Mental Health Services Among Low-income Populations</t>
  </si>
  <si>
    <t xml:space="preserve">_x000D_
168100_x000D_
</t>
  </si>
  <si>
    <t>Psychiatric genetics</t>
  </si>
  <si>
    <t xml:space="preserve">_x000D_
106000_x000D_
</t>
  </si>
  <si>
    <t>Environmental Microbiology</t>
  </si>
  <si>
    <t>Heritage and Museum Studies</t>
  </si>
  <si>
    <t xml:space="preserve">_x000D_
139000_x000D_
</t>
  </si>
  <si>
    <t>North-West University Potchefstroom</t>
  </si>
  <si>
    <t>New antimicrobial drug discovery -  expression of recombinant bacterial enzyme targets</t>
  </si>
  <si>
    <t xml:space="preserve">_x000D_
10400_x000D_
</t>
  </si>
  <si>
    <t>Customised Generative-AI chatbots in South African Higher Education Courses: Enablers, Contradictions and Opportunities for Expansive Learning</t>
  </si>
  <si>
    <t xml:space="preserve">_x000D_
302870_x000D_
</t>
  </si>
  <si>
    <t xml:space="preserve">_x000D_
322460_x000D_
</t>
  </si>
  <si>
    <t xml:space="preserve">_x000D_
347950_x000D_
</t>
  </si>
  <si>
    <t>PREVALENCE OF  COMORBIDITIES AND THEIR  ASSOCIATION WITH UPTAKE OF  TB PREVENTION TREATMENT  AMONG PLHIV IN SOUTH  AFRICA, ETHIOPIA AND  ZIMBABWE FROM 2020-2023</t>
  </si>
  <si>
    <t>Development of a novel treatment strategy against snakebite envenomation</t>
  </si>
  <si>
    <t xml:space="preserve">_x000D_
-199000_x000D_
</t>
  </si>
  <si>
    <t>Policing; Politics; Crime</t>
  </si>
  <si>
    <t xml:space="preserve">_x000D_
280167_x000D_
</t>
  </si>
  <si>
    <t xml:space="preserve">_x000D_
293692_x000D_
</t>
  </si>
  <si>
    <t xml:space="preserve">_x000D_
347100_x000D_
</t>
  </si>
  <si>
    <t>African Literatures and Cultures of Migration/Migrations of African Literatures and Cultures: A Discussion of Migration as Romance and Tragedy in Selected African Literatures and Visual Cultures</t>
  </si>
  <si>
    <t xml:space="preserve">_x000D_
46600_x000D_
</t>
  </si>
  <si>
    <t>Assessing the effects of different maceration techniques on the dental and oral anatomy of immature Sus scrofa domesticus</t>
  </si>
  <si>
    <t>Chemistry (Analytical chemistry)</t>
  </si>
  <si>
    <t xml:space="preserve">_x000D_
198847_x000D_
</t>
  </si>
  <si>
    <t xml:space="preserve">_x000D_
177428_x000D_
</t>
  </si>
  <si>
    <t>Stellenborsh Univeristy</t>
  </si>
  <si>
    <t>How a Community of Practice can support Learners living with ADHD in the Foundation Phase in the Francis Baard District</t>
  </si>
  <si>
    <t>Prevalence and factors associated to substance use among clients accessing HIV prevention services in Gauteng, Kwazulu-Natal and Eastern Cape from August 2023 to April 2024</t>
  </si>
  <si>
    <t xml:space="preserve">_x000D_
25430_x000D_
</t>
  </si>
  <si>
    <t>Adolescent neurocognitive development, socio-cultural factors and socio-emotional processes in peri-rural South Africa using the Asenze population cohort.</t>
  </si>
  <si>
    <t xml:space="preserve">_x000D_
288464.6_x000D_
</t>
  </si>
  <si>
    <t xml:space="preserve">_x000D_
406590.2_x000D_
</t>
  </si>
  <si>
    <t>Unlocking the Potential of mRNA Vaccines: A Multifaceted Approach to Boost Efficacy</t>
  </si>
  <si>
    <t xml:space="preserve">_x000D_
51770_x000D_
</t>
  </si>
  <si>
    <t xml:space="preserve">_x000D_
53770_x000D_
</t>
  </si>
  <si>
    <t>Development of a risk framework or strategy for the implementation and monitoring of the Reserve</t>
  </si>
  <si>
    <t xml:space="preserve">_x000D_
267000_x000D_
</t>
  </si>
  <si>
    <t xml:space="preserve">_x000D_
310000_x000D_
</t>
  </si>
  <si>
    <t xml:space="preserve">_x000D_
327000_x000D_
</t>
  </si>
  <si>
    <t>Sustainability of Private Practice in National Health Insurance</t>
  </si>
  <si>
    <t xml:space="preserve">_x000D_
-24000_x000D_
</t>
  </si>
  <si>
    <t xml:space="preserve">_x000D_
41476_x000D_
</t>
  </si>
  <si>
    <t>The University of Kwa-Zulu Natal</t>
  </si>
  <si>
    <t>Exploration of how African practices influence ways of being in South African performers from disadvantaged areas in South Africa</t>
  </si>
  <si>
    <t xml:space="preserve">_x000D_
108105_x000D_
</t>
  </si>
  <si>
    <t>Food Science and Agriscience, specifically 'The impact of harvest maturity and micro-nano bubble pretreatments on drying rate and browning of mango.'</t>
  </si>
  <si>
    <t xml:space="preserve">_x000D_
155486_x000D_
</t>
  </si>
  <si>
    <t>Unravelling oncogenic associations between Epstein-Barr virus (EBV) and HIV in lymphomagenesis through transcriptomic and epigenetic reprogramming</t>
  </si>
  <si>
    <t xml:space="preserve">_x000D_
203000_x000D_
</t>
  </si>
  <si>
    <t xml:space="preserve">_x000D_
208000_x000D_
</t>
  </si>
  <si>
    <t>Exiled archives, near and far</t>
  </si>
  <si>
    <t>University of Cape Town (UCT), South Africa</t>
  </si>
  <si>
    <t>Medical Biotechnology and Cancer Immunotherapy</t>
  </si>
  <si>
    <t xml:space="preserve">_x000D_
164180_x000D_
</t>
  </si>
  <si>
    <t>Disruption of Attachment (most possible topic, yet to be confirmed)</t>
  </si>
  <si>
    <t xml:space="preserve">_x000D_
91000_x000D_
</t>
  </si>
  <si>
    <t>Free State University</t>
  </si>
  <si>
    <t>Understanding Indigenous Communities’ Preparedness Towards the Just Energy Transition: Prospects and Challenges on Sustainable Livelihood</t>
  </si>
  <si>
    <t xml:space="preserve">_x000D_
94950_x000D_
</t>
  </si>
  <si>
    <t xml:space="preserve">_x000D_
54450_x000D_
</t>
  </si>
  <si>
    <t>Beyond Presence: navigating involvement and caring amongst adolescent and young fathers in South Africa. What are adolescent and young fathers’ experiences of involvement in the lives of their children? How best can adolescent fathers be supported to become involved in the lives of their children?</t>
  </si>
  <si>
    <t xml:space="preserve">_x000D_
381764.23_x000D_
</t>
  </si>
  <si>
    <t xml:space="preserve">_x000D_
522461.79_x000D_
</t>
  </si>
  <si>
    <t xml:space="preserve">_x000D_
522764.23_x000D_
</t>
  </si>
  <si>
    <t>Traditional Land, Spatial Inequality, and Sustainable Development: Rethinking Planning Approaches in Rural South Africa</t>
  </si>
  <si>
    <t xml:space="preserve">_x000D_
75150_x000D_
</t>
  </si>
  <si>
    <t xml:space="preserve">_x000D_
93150_x000D_
</t>
  </si>
  <si>
    <t>Numerical Simulation of Wind Mitigation in Natural Draft ACCs for Concentrated Solar Power</t>
  </si>
  <si>
    <t xml:space="preserve">_x000D_
127000_x000D_
</t>
  </si>
  <si>
    <t xml:space="preserve">_x000D_
133350_x000D_
</t>
  </si>
  <si>
    <t>Towards Gene Editing for Resistance against Banana Bunchy Top Virus (BBTV)in Banana (Musa spp.)</t>
  </si>
  <si>
    <t xml:space="preserve">_x000D_
123455_x000D_
</t>
  </si>
  <si>
    <t>University of the Free State, Qwaqwa</t>
  </si>
  <si>
    <t>A first comprehensive Floristic Survey of the Low Free State - KwaZulu Natal Escarpment</t>
  </si>
  <si>
    <t>Nature Conservation</t>
  </si>
  <si>
    <t>Pointfree topology</t>
  </si>
  <si>
    <t xml:space="preserve">_x000D_
285600_x000D_
</t>
  </si>
  <si>
    <t xml:space="preserve">_x000D_
253975_x000D_
</t>
  </si>
  <si>
    <t xml:space="preserve">_x000D_
266839.24_x000D_
</t>
  </si>
  <si>
    <t>Liberating movement pedagogy: An investigation on decolonizing contemporary ballet dance on South African CAPS curriculum in rural public schools- a case study of Nsiwa Primary School grade 7 learners.</t>
  </si>
  <si>
    <t xml:space="preserve">_x000D_
-161418_x000D_
</t>
  </si>
  <si>
    <t>Orthopaedics Spine Research</t>
  </si>
  <si>
    <t xml:space="preserve">_x000D_
290030.05_x000D_
</t>
  </si>
  <si>
    <t xml:space="preserve">_x000D_
296157.47_x000D_
</t>
  </si>
  <si>
    <t xml:space="preserve">_x000D_
328499.73_x000D_
</t>
  </si>
  <si>
    <t>Fostering Political Freedoms for Sustainable Transformation in University</t>
  </si>
  <si>
    <t>Drug repositioning and/ or hybridization as a route to anti-infectives such as malaria</t>
  </si>
  <si>
    <t>(Dis)empowerment of learners on School Governing Bodies in South Africa.</t>
  </si>
  <si>
    <t xml:space="preserve">_x000D_
346210_x000D_
</t>
  </si>
  <si>
    <t xml:space="preserve">_x000D_
345210_x000D_
</t>
  </si>
  <si>
    <t xml:space="preserve">_x000D_
344210_x000D_
</t>
  </si>
  <si>
    <t>University Of Cape Town</t>
  </si>
  <si>
    <t>Built environment conservation, Heritage resource management, Transformative conservation practices, spatial justice and sustainable cultural futures</t>
  </si>
  <si>
    <t xml:space="preserve">_x000D_
150009_x000D_
</t>
  </si>
  <si>
    <t>Hochschule Esslingen - University of Applied Sciences</t>
  </si>
  <si>
    <t>Digital Image Correlation</t>
  </si>
  <si>
    <t xml:space="preserve">_x000D_
148931.25_x000D_
</t>
  </si>
  <si>
    <t>Continuous flow synthesis of a key intermediate toward gemifloxacin</t>
  </si>
  <si>
    <t xml:space="preserve">_x000D_
120070_x000D_
</t>
  </si>
  <si>
    <t>Sociology of Education: An exploration of philosophy departments in South African universities</t>
  </si>
  <si>
    <t xml:space="preserve">_x000D_
133400_x000D_
</t>
  </si>
  <si>
    <t xml:space="preserve">_x000D_
81400_x000D_
</t>
  </si>
  <si>
    <t>Washington University in St. Louis, USA</t>
  </si>
  <si>
    <t>Mechanical/ Aeronautical Engineering</t>
  </si>
  <si>
    <t xml:space="preserve">_x000D_
1349929.5_x000D_
</t>
  </si>
  <si>
    <t xml:space="preserve">_x000D_
1251394.5_x000D_
</t>
  </si>
  <si>
    <t xml:space="preserve">_x000D_
1152859.5_x000D_
</t>
  </si>
  <si>
    <t>In-vitro Effects of Immunomodulatory Strategies in DRESS and TB Immune Responses in HIV</t>
  </si>
  <si>
    <t>INVESTIGATING THE FUNCTION OF SESTRIN 1 AND SESTRIN 2 (SESN1/2) GENE IN LISTERIA MONOCYTOGENES INFECTION</t>
  </si>
  <si>
    <t xml:space="preserve">_x000D_
271200_x000D_
</t>
  </si>
  <si>
    <t>Black and African literature</t>
  </si>
  <si>
    <t>Sol Plaatje University, Wits University and UCT.</t>
  </si>
  <si>
    <t>Faunal Evidence: Subsistence Practices of Later Stone Age Hunter-Gatherers: A Continuation Study at Bundu Farm</t>
  </si>
  <si>
    <t xml:space="preserve">_x000D_
185040_x000D_
</t>
  </si>
  <si>
    <t xml:space="preserve">_x000D_
200040_x000D_
</t>
  </si>
  <si>
    <t>Lindenwood University</t>
  </si>
  <si>
    <t>Criminal Justice</t>
  </si>
  <si>
    <t xml:space="preserve">_x000D_
394140_x000D_
</t>
  </si>
  <si>
    <t>University of Pretoria/University of Johannesburg</t>
  </si>
  <si>
    <t>The Impact of Physical and Psychological Classroom Environment  on Creativity in Early Childhood Education.</t>
  </si>
  <si>
    <t xml:space="preserve">_x000D_
196500_x000D_
</t>
  </si>
  <si>
    <t>AI and citizen science</t>
  </si>
  <si>
    <t xml:space="preserve">_x000D_
341159_x000D_
</t>
  </si>
  <si>
    <t>Neuro Research</t>
  </si>
  <si>
    <t xml:space="preserve">_x000D_
211015_x000D_
</t>
  </si>
  <si>
    <t xml:space="preserve">_x000D_
222500_x000D_
</t>
  </si>
  <si>
    <t>Cancer biology</t>
  </si>
  <si>
    <t xml:space="preserve">_x000D_
63000_x000D_
</t>
  </si>
  <si>
    <t>Borehole logging</t>
  </si>
  <si>
    <t>Human Papillomavirus Research, Vaccinology, Phylogenetic lineages and understanding the genetic relatedness between the HPV variants</t>
  </si>
  <si>
    <t xml:space="preserve">_x000D_
113555_x000D_
</t>
  </si>
  <si>
    <t>Evaluation of the association of BMI and MUAC of the first antenatal care visit before 30 weeks of gestation of women booking at Gugulethu Midwife Obstetrics Unit (GMOU) in the Western Cape, South Africa, to validate the reliability of MUAC as a surrogate for BMI in pregnant women.</t>
  </si>
  <si>
    <t xml:space="preserve">_x000D_
637000_x000D_
</t>
  </si>
  <si>
    <t>Indigenous Knowledge Systems, Women and Water Systems in South Africa</t>
  </si>
  <si>
    <t>Epidemiology and Biostatistics</t>
  </si>
  <si>
    <t>Antimicrobial susceptibility testing</t>
  </si>
  <si>
    <t xml:space="preserve">_x000D_
231000_x000D_
</t>
  </si>
  <si>
    <t xml:space="preserve">_x000D_
258000_x000D_
</t>
  </si>
  <si>
    <t xml:space="preserve">_x000D_
272000_x000D_
</t>
  </si>
  <si>
    <t>Protein Biochemistry and Structural Biology</t>
  </si>
  <si>
    <t>The association of galectin-3 and NKCC-2 with cardiac dysfunction in adenine-induced CKD rats.</t>
  </si>
  <si>
    <t xml:space="preserve">_x000D_
173944_x000D_
</t>
  </si>
  <si>
    <t>The relationship between low income mothers' unpaid care work and their participation in the digital economy</t>
  </si>
  <si>
    <t xml:space="preserve">_x000D_
337985_x000D_
</t>
  </si>
  <si>
    <t xml:space="preserve">_x000D_
262720_x000D_
</t>
  </si>
  <si>
    <t xml:space="preserve">_x000D_
279170_x000D_
</t>
  </si>
  <si>
    <t>The University of the Witwaterstrand</t>
  </si>
  <si>
    <t>Exploring the impact of colonial and apartheid legacies on the economic status of black artists in democratic South Africa.</t>
  </si>
  <si>
    <t xml:space="preserve">_x000D_
177632_x000D_
</t>
  </si>
  <si>
    <t xml:space="preserve">_x000D_
243218_x000D_
</t>
  </si>
  <si>
    <t>Metabolic biomarker discovery for Neonatal Encephalopathy with Suspected Hypoxic-Ischemic Encephalopathy (NESHIE) in a low- and middle-income country cohort.</t>
  </si>
  <si>
    <t xml:space="preserve">_x000D_
263640.6_x000D_
</t>
  </si>
  <si>
    <t xml:space="preserve">_x000D_
211354.66_x000D_
</t>
  </si>
  <si>
    <t>Reimagining the sonic landscape(s) of the Khoekhoe and San people through sites of memory located in the postcolony</t>
  </si>
  <si>
    <t>Blockchain-enabled bioethics for health data sharing</t>
  </si>
  <si>
    <t xml:space="preserve">_x000D_
222170_x000D_
</t>
  </si>
  <si>
    <t xml:space="preserve">_x000D_
223170_x000D_
</t>
  </si>
  <si>
    <t xml:space="preserve">_x000D_
224170_x000D_
</t>
  </si>
  <si>
    <t>Business Management</t>
  </si>
  <si>
    <t xml:space="preserve">_x000D_
303369.56_x000D_
</t>
  </si>
  <si>
    <t xml:space="preserve">_x000D_
338960.4_x000D_
</t>
  </si>
  <si>
    <t>University of the Free Srate</t>
  </si>
  <si>
    <t>Water research</t>
  </si>
  <si>
    <t xml:space="preserve">_x000D_
232000_x000D_
</t>
  </si>
  <si>
    <t>Rock Art Presentation</t>
  </si>
  <si>
    <t xml:space="preserve">_x000D_
140000_x000D_
</t>
  </si>
  <si>
    <t>Polymer Science</t>
  </si>
  <si>
    <t xml:space="preserve">_x000D_
37500_x000D_
</t>
  </si>
  <si>
    <t>How creative drama techniques contribute to education for sustainable development.</t>
  </si>
  <si>
    <t xml:space="preserve">_x000D_
206410_x000D_
</t>
  </si>
  <si>
    <t>Art Therapy</t>
  </si>
  <si>
    <t xml:space="preserve">_x000D_
139353_x000D_
</t>
  </si>
  <si>
    <t xml:space="preserve">_x000D_
108517_x000D_
</t>
  </si>
  <si>
    <t>Imaging genomics of Social Anxiety Disorder</t>
  </si>
  <si>
    <t xml:space="preserve">_x000D_
380000_x000D_
</t>
  </si>
  <si>
    <t>Enhancing mango quality and safety: a comprehensive metagenomic and biochemical approach to postharvest management and value addition</t>
  </si>
  <si>
    <t>A Quantitative Analysis of Urea, Uric Acid, Xanthine, and Hypoxanthine in Cadaver Vitreous Humour and Urine by LC-MS/MS, and Its Application to Post-Mortem Forensic Specimens.</t>
  </si>
  <si>
    <t xml:space="preserve">_x000D_
349000_x000D_
</t>
  </si>
  <si>
    <t xml:space="preserve">_x000D_
348000_x000D_
</t>
  </si>
  <si>
    <t>A MATHEMATICAL MODELLING INTERVENTION TO FOSTER PRE-SERVICE  TEACHERS' COMPETENCY AND ATTITUDES TOWARDS TEACHING  APPLICATIONS OF CALCULUS.</t>
  </si>
  <si>
    <t xml:space="preserve">_x000D_
177083.4_x000D_
</t>
  </si>
  <si>
    <t>The impact of digital literacy and advanced technology adoption on the performance of women-owned SMMEs in South Africa</t>
  </si>
  <si>
    <t xml:space="preserve">_x000D_
122840_x000D_
</t>
  </si>
  <si>
    <t>Structural determination of Mtb GlmS protein towards the discovery of new antituberculosis compounds</t>
  </si>
  <si>
    <t xml:space="preserve">_x000D_
188620_x000D_
</t>
  </si>
  <si>
    <t>Update of the Regional Maximum Floods of South Africa and Namibia and the development of RMF: RI ratios</t>
  </si>
  <si>
    <t xml:space="preserve">_x000D_
80264_x000D_
</t>
  </si>
  <si>
    <t xml:space="preserve">_x000D_
85477_x000D_
</t>
  </si>
  <si>
    <t>Engineering Management</t>
  </si>
  <si>
    <t xml:space="preserve">_x000D_
111915_x000D_
</t>
  </si>
  <si>
    <t xml:space="preserve">_x000D_
79945_x000D_
</t>
  </si>
  <si>
    <t>Characterisation of adenovirus species F, norovirus, and rotavirus detected in patients with gastroenteritis</t>
  </si>
  <si>
    <t xml:space="preserve">_x000D_
128055_x000D_
</t>
  </si>
  <si>
    <t>Climate change and Conservation</t>
  </si>
  <si>
    <t xml:space="preserve">_x000D_
226500_x000D_
</t>
  </si>
  <si>
    <t>University of the free State</t>
  </si>
  <si>
    <t>Development of a Green Analytical Method for the Determination of Biodiesel Purity using Gas Chromatography-Mass Spectrometry (GC-MS)</t>
  </si>
  <si>
    <t>Neural tube organoid generation</t>
  </si>
  <si>
    <t xml:space="preserve">_x000D_
122170_x000D_
</t>
  </si>
  <si>
    <t>Student protests as a tool of strategic communication in South African student movement</t>
  </si>
  <si>
    <t xml:space="preserve">_x000D_
114000_x000D_
</t>
  </si>
  <si>
    <t>Physiological Sciences (Haematology and Coagulation Research Group)</t>
  </si>
  <si>
    <t xml:space="preserve">_x000D_
216862_x000D_
</t>
  </si>
  <si>
    <t>Stem Cell Biology</t>
  </si>
  <si>
    <t xml:space="preserve">_x000D_
182400_x000D_
</t>
  </si>
  <si>
    <t>Explore the lived experiences of male parolees affected by a father's absence and its impact on delinquent behaviour in Limpopo Province.</t>
  </si>
  <si>
    <t>Exploring the Unconscious Dynamics of Queen Bee Behaviour in African Female Leadership: A Systems Psychodynamics and Embodied Black Rage Approach to Competency Framework Development</t>
  </si>
  <si>
    <t xml:space="preserve">_x000D_
256979.12_x000D_
</t>
  </si>
  <si>
    <t xml:space="preserve">_x000D_
269000_x000D_
</t>
  </si>
  <si>
    <t>Neuroscience (Physiology)</t>
  </si>
  <si>
    <t xml:space="preserve">_x000D_
241838_x000D_
</t>
  </si>
  <si>
    <t>Investigating the regulations of indigenous skincare products to enhance consumer safety in Limpopo, South Africa</t>
  </si>
  <si>
    <t xml:space="preserve">_x000D_
149630_x000D_
</t>
  </si>
  <si>
    <t>Development of a novel alpha viral vector for HBV vaccine design and application</t>
  </si>
  <si>
    <t xml:space="preserve">_x000D_
241600_x000D_
</t>
  </si>
  <si>
    <t xml:space="preserve">_x000D_
247300_x000D_
</t>
  </si>
  <si>
    <t>Microplastics and Climate Change on Ecological Biodiversity of Terrestrial Mammals</t>
  </si>
  <si>
    <t xml:space="preserve">_x000D_
550240_x000D_
</t>
  </si>
  <si>
    <t xml:space="preserve">_x000D_
589282.52_x000D_
</t>
  </si>
  <si>
    <t xml:space="preserve">_x000D_
626259.54_x000D_
</t>
  </si>
  <si>
    <t>TRUNCATED r-GENERALIZATIONS OF SOME SPECIAL POLYNOMIALS.</t>
  </si>
  <si>
    <t xml:space="preserve">_x000D_
176159.28_x000D_
</t>
  </si>
  <si>
    <t>Jewellery design: The Extended Self, How Jewellery Can Act as a Signifier for Human-Microbial Entanglement</t>
  </si>
  <si>
    <t xml:space="preserve">_x000D_
139060_x000D_
</t>
  </si>
  <si>
    <t>Adolescent sleep and circadian health</t>
  </si>
  <si>
    <t>Joint PhD with Stellenbosch University and the University of Gröningen</t>
  </si>
  <si>
    <t>Development and feasibility of a cognitive behavioural therapy intervention to improve the impact of deep dyspareunia among Endometriosis patients</t>
  </si>
  <si>
    <t xml:space="preserve">_x000D_
288100_x000D_
</t>
  </si>
  <si>
    <t xml:space="preserve">_x000D_
340200_x000D_
</t>
  </si>
  <si>
    <t xml:space="preserve">_x000D_
293200_x000D_
</t>
  </si>
  <si>
    <t>Analytical chemistry</t>
  </si>
  <si>
    <t xml:space="preserve">_x000D_
278000_x000D_
</t>
  </si>
  <si>
    <t>HIV-1 vaccine development</t>
  </si>
  <si>
    <t xml:space="preserve">_x000D_
203786_x000D_
</t>
  </si>
  <si>
    <t xml:space="preserve">_x000D_
244837_x000D_
</t>
  </si>
  <si>
    <t>Assessing the virulence and immunoreactivity of differentially regulated group B Streptococcus surface proteins using a CRISPRi gene knockdown library.</t>
  </si>
  <si>
    <t xml:space="preserve">_x000D_
161600_x000D_
</t>
  </si>
  <si>
    <t>Cape Peninsula University of Technology</t>
  </si>
  <si>
    <t>The functional impact of the CRY2 rs11605924 variant on hepatic circadian rhythm, glucose metabolism, and lipid regulation in vitro, using CRISPR-edited HepG2 hepatocytes under varying glucose conditions</t>
  </si>
  <si>
    <t>Establishing a zebrafish human cervical cancer xenograft model for anti-cancer drug screening and evaluation of cardiovascular events</t>
  </si>
  <si>
    <t>University of the Western Cape in collaboration with Robben Island Museum and Bristol University</t>
  </si>
  <si>
    <t>Using Next Generation faecal DNA analysis to characterise the diet of mole snakes (Pseudaspis cana) on Robben Island</t>
  </si>
  <si>
    <t xml:space="preserve">_x000D_
470000_x000D_
</t>
  </si>
  <si>
    <t xml:space="preserve">_x000D_
288000_x000D_
</t>
  </si>
  <si>
    <t>Type 2 diabetes and lung function: an African perspective</t>
  </si>
  <si>
    <t>Government and Institutional Contributions to a Sustainable and Diversified Energy Future in South Africa</t>
  </si>
  <si>
    <t>Caregivers’ Perceptions of Access to Health Services for Children with Intellectual Disability in Rural South Africa: A Case Study of uMzimkhulu</t>
  </si>
  <si>
    <t xml:space="preserve">_x000D_
78000_x000D_
</t>
  </si>
  <si>
    <t>University of Glasgow</t>
  </si>
  <si>
    <t>Temperature-dependant alternative splicing in Arabidopsis Thaliana</t>
  </si>
  <si>
    <t xml:space="preserve">_x000D_
914097.6_x000D_
</t>
  </si>
  <si>
    <t>Master of Arts in Cultural Policy and Management (CPM) by coursework and Research Report</t>
  </si>
  <si>
    <t xml:space="preserve">_x000D_
207427.76_x000D_
</t>
  </si>
  <si>
    <t>The Impact of Digital Platforms and Algorithmic Systems on Personal Identity: Investigating Fragmentation, Categorization, and Audience Engagement in South African Contexts</t>
  </si>
  <si>
    <t xml:space="preserve">_x000D_
89757_x000D_
</t>
  </si>
  <si>
    <t xml:space="preserve">_x000D_
84079_x000D_
</t>
  </si>
  <si>
    <t>Characterization of biofilms and extracellular vesicles from Sclerotinia sclerotiorum</t>
  </si>
  <si>
    <t>Studentification and Gentrification: The impact of Sol Plaatje University on housing, space and community in New Park, Kimberley</t>
  </si>
  <si>
    <t>Paper-based electrochemical sensors for the detection of pharmaceuticals in water</t>
  </si>
  <si>
    <t xml:space="preserve">_x000D_
146200_x000D_
</t>
  </si>
  <si>
    <t>Narratives of mental (de)institutionalization among Black South African families with institutionalized loved ones.</t>
  </si>
  <si>
    <t xml:space="preserve">_x000D_
190500_x000D_
</t>
  </si>
  <si>
    <t xml:space="preserve">_x000D_
215500_x000D_
</t>
  </si>
  <si>
    <t>In Vivo Evaluation of the Antitumor and Photodynamic Therapy Potential of Laguncularia racemosa Ethanol Extract in a Xenograft Model of Oesophageal Cancer</t>
  </si>
  <si>
    <t>Nitrogen-doped graphene oxide@X (X=Ni, Ta, Ga, Fe, Ti) nanocomposites for enhancement of biohydrogen production from biomass under anaerobic digestion</t>
  </si>
  <si>
    <t xml:space="preserve">_x000D_
307760_x000D_
</t>
  </si>
  <si>
    <t>Comparing Marriage as Patriarchal Constraint and Space for Self-Reinvention in Ama Ata Aidoo’s Changes: A Love Story and Flora Nwapa’s One Is Enough</t>
  </si>
  <si>
    <t>From waste to wealth: Producing nutritional food, feed and fertiliser using yellow and dark mealworms</t>
  </si>
  <si>
    <t xml:space="preserve">_x000D_
277740_x000D_
</t>
  </si>
  <si>
    <t xml:space="preserve">_x000D_
298740_x000D_
</t>
  </si>
  <si>
    <t xml:space="preserve">_x000D_
270740_x000D_
</t>
  </si>
  <si>
    <t>Gender and Transformation</t>
  </si>
  <si>
    <t>The Constitution and the Law of Unjustified Enrichment</t>
  </si>
  <si>
    <t>Reworking microbial energy trade-offs in the changing Southern Ocean: carbon fixation, stress tolerance, and nutrient acquisition</t>
  </si>
  <si>
    <t xml:space="preserve">_x000D_
154498_x000D_
</t>
  </si>
  <si>
    <t xml:space="preserve">_x000D_
523000_x000D_
</t>
  </si>
  <si>
    <t xml:space="preserve">_x000D_
249328_x000D_
</t>
  </si>
  <si>
    <t xml:space="preserve">_x000D_
243381_x000D_
</t>
  </si>
  <si>
    <t xml:space="preserve">_x000D_
256946_x000D_
</t>
  </si>
  <si>
    <t>Caribbean epic poetry; Oceanic Studies; Postcolonial Critique</t>
  </si>
  <si>
    <t xml:space="preserve">Black holes in general relativity </t>
  </si>
  <si>
    <t xml:space="preserve">_x000D_
68100_x000D_
</t>
  </si>
  <si>
    <t xml:space="preserve">_x000D_
200600_x000D_
</t>
  </si>
  <si>
    <t xml:space="preserve">_x000D_
215100_x000D_
</t>
  </si>
  <si>
    <t>Systems of Oppression</t>
  </si>
  <si>
    <t>Power Smoothing and Integration of Oscillating Water Column Wave Energy Converter into an Isolated DC Microgrid</t>
  </si>
  <si>
    <t>Analysis of Surface waves</t>
  </si>
  <si>
    <t>History education and museum collections as educational resources</t>
  </si>
  <si>
    <t xml:space="preserve">_x000D_
246000_x000D_
</t>
  </si>
  <si>
    <t>Studying the Anticancer and Anti-inflammatory Potential of 12 South African Medicinal Plants</t>
  </si>
  <si>
    <t>TB Host Genetics</t>
  </si>
  <si>
    <t xml:space="preserve">_x000D_
113250_x000D_
</t>
  </si>
  <si>
    <t>Cardiorenal pathophysiology</t>
  </si>
  <si>
    <t>Advancing Diamond Exploration in the Kaapvaal Craton: A Predictive Framework Integrating Multi-Source Geoexploration Data and Machine Learning</t>
  </si>
  <si>
    <t xml:space="preserve">_x000D_
400000_x000D_
</t>
  </si>
  <si>
    <t>An evaluation of the link between mental health practice and the philosophies influencing these practices, within the South African context.</t>
  </si>
  <si>
    <t>Perceptions of the Music Industry in Africa - A Comparative analysis between South Africa and Nigeria</t>
  </si>
  <si>
    <t>Elucidating the dynamics of inhibitory receptor driving force in the nervous system</t>
  </si>
  <si>
    <t xml:space="preserve">_x000D_
151000_x000D_
</t>
  </si>
  <si>
    <t>THE PARADOX OF INFLUENCE: EXPLORING THE TENSION BETWEEN MIMESIS AND POIESIS IN CONTEMPORARY THEATRE WITHIN 21ST-CENTURY AFRICA.</t>
  </si>
  <si>
    <t xml:space="preserve">_x000D_
192093_x000D_
</t>
  </si>
  <si>
    <t>Social media and community activism</t>
  </si>
  <si>
    <t>Examining the Implementation of National Cultural Policy in Grade-9 Arts Education: A Case Study of Public Schools in Thokoza</t>
  </si>
  <si>
    <t xml:space="preserve">_x000D_
77712.15_x000D_
</t>
  </si>
  <si>
    <t xml:space="preserve">_x000D_
42288_x000D_
</t>
  </si>
  <si>
    <t>PLANKTON COMMUNITIES AND ASSOCIATED ECOSYSTEM PROCESSES: A CASE STUDY OF THE WAKKERSTROOM WETLAND, MPUMALANGA, SOUTH AFRICA</t>
  </si>
  <si>
    <t xml:space="preserve">_x000D_
62746_x000D_
</t>
  </si>
  <si>
    <t xml:space="preserve">_x000D_
152746_x000D_
</t>
  </si>
  <si>
    <t>REDIFINING MASCULINITY: A CLINICAL SOCIAL WORK PERSPECTIVE ON EMOTIONAL EXPRESSION IN MEN</t>
  </si>
  <si>
    <t xml:space="preserve">_x000D_
127500_x000D_
</t>
  </si>
  <si>
    <t>Uncovering Hidden Biodiversity: A Dual-Method Approach to Inform Freshwater Fish Conservation in the Limpopo Basin</t>
  </si>
  <si>
    <t xml:space="preserve">_x000D_
260500_x000D_
</t>
  </si>
  <si>
    <t xml:space="preserve">_x000D_
268500_x000D_
</t>
  </si>
  <si>
    <t>The Prevalence of Metabolic Syndrome and Its Association with Vascular Markers in Young South African Adults</t>
  </si>
  <si>
    <t xml:space="preserve">_x000D_
190149.6_x000D_
</t>
  </si>
  <si>
    <t>Nose-to-Brain drug delivery</t>
  </si>
  <si>
    <t xml:space="preserve">_x000D_
159754.5_x000D_
</t>
  </si>
  <si>
    <t xml:space="preserve">_x000D_
165961.25_x000D_
</t>
  </si>
  <si>
    <t>Genomics</t>
  </si>
  <si>
    <t xml:space="preserve">_x000D_
282170_x000D_
</t>
  </si>
  <si>
    <t xml:space="preserve">_x000D_
287170_x000D_
</t>
  </si>
  <si>
    <t xml:space="preserve">_x000D_
297170_x000D_
</t>
  </si>
  <si>
    <t>High-yield production of recombinant bioplastic hydrolases in yeast</t>
  </si>
  <si>
    <t xml:space="preserve">_x000D_
434000_x000D_
</t>
  </si>
  <si>
    <t xml:space="preserve">_x000D_
463200_x000D_
</t>
  </si>
  <si>
    <t xml:space="preserve">_x000D_
443520_x000D_
</t>
  </si>
  <si>
    <t>Finance and Investment.</t>
  </si>
  <si>
    <t xml:space="preserve">_x000D_
363000_x000D_
</t>
  </si>
  <si>
    <t>Neuroimmune response of astrocytes to cryptococcal meningitis</t>
  </si>
  <si>
    <t>Columbia University</t>
  </si>
  <si>
    <t>Creative Producing</t>
  </si>
  <si>
    <t xml:space="preserve">_x000D_
1452718.27_x000D_
</t>
  </si>
  <si>
    <t xml:space="preserve">_x000D_
1522450.49_x000D_
</t>
  </si>
  <si>
    <t>Indigenous knowledge and music innovation: the integrationof African indigenous instruments into commercial music</t>
  </si>
  <si>
    <t>University of East Anglia, United Kingdom</t>
  </si>
  <si>
    <t>Studying iron-sulfur cluster proteins using native mass spectrometry</t>
  </si>
  <si>
    <t xml:space="preserve">_x000D_
126713.85_x000D_
</t>
  </si>
  <si>
    <t>The role of mitochondrial dysfunction and oxidative stress in neurodegenerative disorders and if antioxidant therapy can reduce cognitive decline</t>
  </si>
  <si>
    <t xml:space="preserve">_x000D_
373000_x000D_
</t>
  </si>
  <si>
    <t>Modelling the sensitivity and exposure of small mammals to current and future warming</t>
  </si>
  <si>
    <t xml:space="preserve">_x000D_
195525_x000D_
</t>
  </si>
  <si>
    <t xml:space="preserve">_x000D_
207094_x000D_
</t>
  </si>
  <si>
    <t xml:space="preserve">_x000D_
207014_x000D_
</t>
  </si>
  <si>
    <t>Investigating physiological hyperarousal during sleep in adolescents: Implications for autonomic nervous system regulation and sleep quality</t>
  </si>
  <si>
    <t xml:space="preserve">_x000D_
83000_x000D_
</t>
  </si>
  <si>
    <t>Propaganda and Political Strategy</t>
  </si>
  <si>
    <t xml:space="preserve">_x000D_
145700_x000D_
</t>
  </si>
  <si>
    <t xml:space="preserve">_x000D_
153174_x000D_
</t>
  </si>
  <si>
    <t>Leveraging Non-Profit and Social Enterprise Circular Economy Models for Sustainable Climate-Action in South Africa</t>
  </si>
  <si>
    <t xml:space="preserve">_x000D_
432000_x000D_
</t>
  </si>
  <si>
    <t>University of Kwazulu-Natal</t>
  </si>
  <si>
    <t>The Economic effects of youth unemployment in South Africa, a case study of Alexandra Township.</t>
  </si>
  <si>
    <t>Topic in Topological Data Analysis (TDA)</t>
  </si>
  <si>
    <t xml:space="preserve">_x000D_
205000_x000D_
</t>
  </si>
  <si>
    <t>Mental health experiences of young Xhosa men undergoing traditional male circumcision (ulwaluko) in South Africa</t>
  </si>
  <si>
    <t xml:space="preserve">_x000D_
148000_x000D_
</t>
  </si>
  <si>
    <t>University of the free state</t>
  </si>
  <si>
    <t>The disposal of foetal matter born before viability period: A legal and ethical analysis</t>
  </si>
  <si>
    <t xml:space="preserve">_x000D_
122490_x000D_
</t>
  </si>
  <si>
    <t>Epidemiology of bacterial and fungal invasive infections in neonates in South Africa</t>
  </si>
  <si>
    <t xml:space="preserve">_x000D_
-687000_x000D_
</t>
  </si>
  <si>
    <t>Exploring physical health of social work students at one Higher Education Institution in the Western Cape - The perspective of graduates.</t>
  </si>
  <si>
    <t xml:space="preserve">_x000D_
215600_x000D_
</t>
  </si>
  <si>
    <t xml:space="preserve">_x000D_
215700_x000D_
</t>
  </si>
  <si>
    <t>The Silent Stakeholder: Examining the Unintended Consequences of Gender Equality Policies on Men in South Africa and the Case for Inclusive Reform</t>
  </si>
  <si>
    <t xml:space="preserve">_x000D_
550000_x000D_
</t>
  </si>
  <si>
    <t xml:space="preserve">_x000D_
330000_x000D_
</t>
  </si>
  <si>
    <t>Antibiotic resistance in communal and commercial farms</t>
  </si>
  <si>
    <t xml:space="preserve">_x000D_
175112_x000D_
</t>
  </si>
  <si>
    <t xml:space="preserve">_x000D_
137623.2_x000D_
</t>
  </si>
  <si>
    <t xml:space="preserve">_x000D_
106385.52_x000D_
</t>
  </si>
  <si>
    <t>Chemical Ecology, Psychoactive Plants</t>
  </si>
  <si>
    <t>Investigating the abject embodiment of insects through Contemporary Jewellery</t>
  </si>
  <si>
    <t xml:space="preserve">_x000D_
197518_x000D_
</t>
  </si>
  <si>
    <t>Carbon Dioxide-Assisted Fabrication of Structural Glass-Ceramic Materials from Fly Ash and Silicate Binder</t>
  </si>
  <si>
    <t xml:space="preserve">_x000D_
215820_x000D_
</t>
  </si>
  <si>
    <t>Evidence-use to improve access to sexual and reproductive healthcare services in humanitarian contexts.</t>
  </si>
  <si>
    <t xml:space="preserve">_x000D_
300246.44_x000D_
</t>
  </si>
  <si>
    <t xml:space="preserve">_x000D_
300588.76_x000D_
</t>
  </si>
  <si>
    <t xml:space="preserve">_x000D_
302098.23_x000D_
</t>
  </si>
  <si>
    <t>Soil organic carbon, phosphorus and other quality parameters as affected  sugarcane harvest practices under contrasting conditions</t>
  </si>
  <si>
    <t xml:space="preserve">_x000D_
82090_x000D_
</t>
  </si>
  <si>
    <t>Applied Ethics and Bioethics</t>
  </si>
  <si>
    <t>Peacebuilding Politics: A Participatory Action Research evaluating and examining Approaches to Address the Politicisation of Identity, manipulative politics,  Ethno-Political, and Sectarian Divisions in Africa: Case Study of Zimbabwe</t>
  </si>
  <si>
    <t xml:space="preserve">_x000D_
198000_x000D_
</t>
  </si>
  <si>
    <t>Stripping Back the Gaze: Plus Size Black Burlesque as a Site of Radical Visibility</t>
  </si>
  <si>
    <t xml:space="preserve">_x000D_
171856_x000D_
</t>
  </si>
  <si>
    <t>Ecological, social, and economic values of nature</t>
  </si>
  <si>
    <t>In-depth characterisation of polymer-based nanostructures using scattering techniques</t>
  </si>
  <si>
    <t xml:space="preserve">_x000D_
199000_x000D_
</t>
  </si>
  <si>
    <t>Documenting and archiving the history of Black African community choirs on the Cape Flats, 1980 - 2010</t>
  </si>
  <si>
    <t xml:space="preserve">_x000D_
60073_x000D_
</t>
  </si>
  <si>
    <t xml:space="preserve">_x000D_
58570_x000D_
</t>
  </si>
  <si>
    <t xml:space="preserve">_x000D_
54070_x000D_
</t>
  </si>
  <si>
    <t>mHealth framework for chronic healthcare access and patient outcomes in rural South Africa</t>
  </si>
  <si>
    <t xml:space="preserve">_x000D_
228000_x000D_
</t>
  </si>
  <si>
    <t xml:space="preserve">_x000D_
226000_x000D_
</t>
  </si>
  <si>
    <t>Exploring Platonic Intimacy Among Queer Men</t>
  </si>
  <si>
    <t xml:space="preserve">_x000D_
120228_x000D_
</t>
  </si>
  <si>
    <t>Adelaide University</t>
  </si>
  <si>
    <t>Disentangling large feral herbivore impacts from interacting drivers in arid Central Australia: comparing ecological function to natives, and extinct megafauna</t>
  </si>
  <si>
    <t xml:space="preserve">_x000D_
-51.44_x000D_
</t>
  </si>
  <si>
    <t>Soil biogeochemistry</t>
  </si>
  <si>
    <t>Mechanical Engineering</t>
  </si>
  <si>
    <t>Exploring Willingness and Perspectives on Integrative HIV Services in Barbershops: A Mixed-Methods Study</t>
  </si>
  <si>
    <t xml:space="preserve">_x000D_
258800_x000D_
</t>
  </si>
  <si>
    <t>Stellenbosch Business School / Stellenbosch University</t>
  </si>
  <si>
    <t>University of the Witwatersrand, Johannesburg, South Africa</t>
  </si>
  <si>
    <t>From Liability to Asset: Hybrid Enzymatic–Membrane Pathways for Acid Mine Drainage Treatment and Mineral Recovery in South Africa</t>
  </si>
  <si>
    <t>Communication and interactions in plant pathogenic bacteria mediated by extracellular vesicles</t>
  </si>
  <si>
    <t>Subaltern Futurisms: Cosmic Fantasy Fields of Mutual Life</t>
  </si>
  <si>
    <t xml:space="preserve">_x000D_
431800_x000D_
</t>
  </si>
  <si>
    <t xml:space="preserve">_x000D_
475480_x000D_
</t>
  </si>
  <si>
    <t xml:space="preserve">_x000D_
253530_x000D_
</t>
  </si>
  <si>
    <t>Forensic Anthropology - Saw Mark Analysis</t>
  </si>
  <si>
    <t xml:space="preserve">_x000D_
134900_x000D_
</t>
  </si>
  <si>
    <t xml:space="preserve">_x000D_
134700_x000D_
</t>
  </si>
  <si>
    <t>Witwatersrand  University</t>
  </si>
  <si>
    <t>Development and Economics</t>
  </si>
  <si>
    <t xml:space="preserve">_x000D_
70476_x000D_
</t>
  </si>
  <si>
    <t>Earth Observation</t>
  </si>
  <si>
    <t xml:space="preserve">_x000D_
315200_x000D_
</t>
  </si>
  <si>
    <t>Division of Molecular Biology and Human Genetics, Faculty of Medicine and Health Sciences, Stellenbosch University</t>
  </si>
  <si>
    <t>The impact of strategic changes in drug-resistant TB diagnostic algorithms and Treatment regimens on the pathogen in Western Cape Province over a 15-year period</t>
  </si>
  <si>
    <t>Forensic Anthropology - Stature estimation in South African populations</t>
  </si>
  <si>
    <t xml:space="preserve">_x000D_
218630_x000D_
</t>
  </si>
  <si>
    <t xml:space="preserve">_x000D_
208630_x000D_
</t>
  </si>
  <si>
    <t>Joint agreement between Leiden University Medical Centre and Stellenbosch University</t>
  </si>
  <si>
    <t>Transforming EC Diagnosis in South Africa: Genomic, Economic, and AI Perspectives</t>
  </si>
  <si>
    <t xml:space="preserve">_x000D_
830212.5_x000D_
</t>
  </si>
  <si>
    <t xml:space="preserve">_x000D_
59150_x000D_
</t>
  </si>
  <si>
    <t>Multifunctional 3D-Printed Electrodes for Integrated Wastewater Detoxification, Green Hydrogen Production, and Energy Storage via Supercapacitors</t>
  </si>
  <si>
    <t>Columbia University, New York, USA</t>
  </si>
  <si>
    <t>Contextualizing Precision Health Equity: Integrating Genomics, Exposomics, and Social Determinants in African Cancer Control</t>
  </si>
  <si>
    <t xml:space="preserve">_x000D_
2306113.14_x000D_
</t>
  </si>
  <si>
    <t>Free-living sedentary behaviour, physical activity and sleep and cardiometabolic risk factors in adults at Moremela village.</t>
  </si>
  <si>
    <t xml:space="preserve">_x000D_
61659.49_x000D_
</t>
  </si>
  <si>
    <t>Exploring and understanding the discrimination and stigma experienced by people living wiExploring and understanding the stigma and discrimination experienced by individuals with mental illness and their families in South African black communities.</t>
  </si>
  <si>
    <t>YouTube's positive and negative implications on married millennials in Johannesburg.</t>
  </si>
  <si>
    <t>The Basic Structure of the Constitution: Restrictions on Constitutional Amendments.</t>
  </si>
  <si>
    <t>The University of the Western Cape</t>
  </si>
  <si>
    <t>Early Childhood Development Policy Research</t>
  </si>
  <si>
    <t xml:space="preserve">_x000D_
79045_x000D_
</t>
  </si>
  <si>
    <t xml:space="preserve">_x000D_
160845_x000D_
</t>
  </si>
  <si>
    <t xml:space="preserve">_x000D_
105145_x000D_
</t>
  </si>
  <si>
    <t>Gulu University</t>
  </si>
  <si>
    <t>Impacts of Woody Plants encroachment on Wildlife habitat Use</t>
  </si>
  <si>
    <t xml:space="preserve">_x000D_
407934.9_x000D_
</t>
  </si>
  <si>
    <t>Investigation of microbial composition and their metabolic roles on biogeochemical processes in the Southern Ocean</t>
  </si>
  <si>
    <t xml:space="preserve">_x000D_
242819_x000D_
</t>
  </si>
  <si>
    <t xml:space="preserve">_x000D_
244288_x000D_
</t>
  </si>
  <si>
    <t xml:space="preserve">_x000D_
243592_x000D_
</t>
  </si>
  <si>
    <t>exploring educators perceptions on the integration of blended learning in Accounting FET</t>
  </si>
  <si>
    <t>The Political Division in the Black African Cape Electorate: A study between two rival newspapers, Imvo Zabantsundu and Izwi Labantu, 1890-1909.</t>
  </si>
  <si>
    <t>UNIVERSITY OF THE WITWATERSRAND</t>
  </si>
  <si>
    <t>Dance meet Policy Exploring Policy Implementation for the Cultural Management of Dance Therapy in Higher Education Institutions in Johannesburg, South Africa</t>
  </si>
  <si>
    <t xml:space="preserve">_x000D_
262033_x000D_
</t>
  </si>
  <si>
    <t xml:space="preserve">_x000D_
255033_x000D_
</t>
  </si>
  <si>
    <t>Cultural representations of fungi</t>
  </si>
  <si>
    <t xml:space="preserve">_x000D_
216057_x000D_
</t>
  </si>
  <si>
    <t>University of The Witwatersrand</t>
  </si>
  <si>
    <t>Seismic and Resistivity Analysis for Hydrocarbon Prospectivity in the Offshore Bredasdorp Basin</t>
  </si>
  <si>
    <t xml:space="preserve">_x000D_
181676.26_x000D_
</t>
  </si>
  <si>
    <t xml:space="preserve">_x000D_
150920.9_x000D_
</t>
  </si>
  <si>
    <t>Mitigate African Ocean environmental sustainability using advanced learning</t>
  </si>
  <si>
    <t xml:space="preserve">_x000D_
381200_x000D_
</t>
  </si>
  <si>
    <t xml:space="preserve">_x000D_
340500_x000D_
</t>
  </si>
  <si>
    <t>Masters in Epidemiology and Biostatistics</t>
  </si>
  <si>
    <t xml:space="preserve">_x000D_
116000_x000D_
</t>
  </si>
  <si>
    <t>Evaluating the Effects of Pharmaceutical Patents on Essential Oncology Medicine Accessibility and Affordability in South Africa</t>
  </si>
  <si>
    <t xml:space="preserve">_x000D_
74806_x000D_
</t>
  </si>
  <si>
    <t>Sustainable Transformation of Waste Coal into Ceramic-Bonded Structural Composites via Silicate/CO2 Curing and Thermal Treatment</t>
  </si>
  <si>
    <t xml:space="preserve">_x000D_
505000_x000D_
</t>
  </si>
  <si>
    <t>Targeting colorectal cancer using transition metals Co- and Ni-doped CuO nanoparticles obtained by chemical and green synthesis methods using extract from Colombian oregano (Plectranthus amboinicus) and holy basil (Ocimum tenuiflorum)</t>
  </si>
  <si>
    <t xml:space="preserve">_x000D_
299000_x000D_
</t>
  </si>
  <si>
    <t xml:space="preserve">_x000D_
289000_x000D_
</t>
  </si>
  <si>
    <t>Digital Identity of a deceased individual on Social Media</t>
  </si>
  <si>
    <t xml:space="preserve">_x000D_
106775_x000D_
</t>
  </si>
  <si>
    <t xml:space="preserve">_x000D_
141010_x000D_
</t>
  </si>
  <si>
    <t>Early Communication Intervention</t>
  </si>
  <si>
    <t>North-West University, Potchefstroom</t>
  </si>
  <si>
    <t>Engineering microbial consortia for antibiotic degradation and crop protection in South African agriculture</t>
  </si>
  <si>
    <t>Geochemical and mineralogical characterization of carbonatite tailings at Phalaborwa Mining Company and evaluation of lithium recovery potential of the resource</t>
  </si>
  <si>
    <t xml:space="preserve">_x000D_
190630_x000D_
</t>
  </si>
  <si>
    <t>ECDE principalship in the 21st century, from manager to leader: A collaborative transition from business administration to pedagogical practices in Gauteng townships</t>
  </si>
  <si>
    <t xml:space="preserve">_x000D_
41740_x000D_
</t>
  </si>
  <si>
    <t xml:space="preserve">_x000D_
54740_x000D_
</t>
  </si>
  <si>
    <t>Hydrogeology</t>
  </si>
  <si>
    <t>Immune and microbiome profiling of pancreatic cancer tumors.</t>
  </si>
  <si>
    <t>Modification of Cellulose Nanocrystals Derived from Cannabis sativa Fibers for Enhanced Removal of dyes/salts.</t>
  </si>
  <si>
    <t>Evolutionary Ecology in the Cape Floristic Region of South Africa</t>
  </si>
  <si>
    <t xml:space="preserve">_x000D_
238618.7_x000D_
</t>
  </si>
  <si>
    <t xml:space="preserve">_x000D_
252219.64_x000D_
</t>
  </si>
  <si>
    <t xml:space="preserve">_x000D_
266788.62_x000D_
</t>
  </si>
  <si>
    <t>Implications of Climate Change on Agricultural Productivity</t>
  </si>
  <si>
    <t xml:space="preserve">_x000D_
1008000_x000D_
</t>
  </si>
  <si>
    <t xml:space="preserve">_x000D_
1168000_x000D_
</t>
  </si>
  <si>
    <t>Geochemical provenance of Korannaberg quartzite at the Tswalu Kalahari Reserve: Insights into landscape use from the Earlier to Middle Stone Age in the southern Kalahari, Northern Cape, South Africa</t>
  </si>
  <si>
    <t>The Economic Impact of Evolving Skills Demands in South Africa'sEnergy and Water Sector Amid the Transition to Sustainable and Inclusive Development</t>
  </si>
  <si>
    <t xml:space="preserve">_x000D_
174128_x000D_
</t>
  </si>
  <si>
    <t xml:space="preserve">_x000D_
32780_x000D_
</t>
  </si>
  <si>
    <t>Flourishing and well-being of university students with ADHD in higher education</t>
  </si>
  <si>
    <t xml:space="preserve">_x000D_
181600_x000D_
</t>
  </si>
  <si>
    <t xml:space="preserve">_x000D_
43500_x000D_
</t>
  </si>
  <si>
    <t>University Of Kwazulu-Natal- Westville Campus</t>
  </si>
  <si>
    <t>Synthesis &amp; Biological evaluation of anti-tubercular Agents.</t>
  </si>
  <si>
    <t xml:space="preserve">_x000D_
124068_x000D_
</t>
  </si>
  <si>
    <t xml:space="preserve">_x000D_
169163_x000D_
</t>
  </si>
  <si>
    <t>Assessment and Monitoring of Soil Health Parameters in Potato Cultivation using Remote Sensing and Machine Learning Techniques.</t>
  </si>
  <si>
    <t xml:space="preserve">_x000D_
31320_x000D_
</t>
  </si>
  <si>
    <t xml:space="preserve">_x000D_
14320_x000D_
</t>
  </si>
  <si>
    <t xml:space="preserve">_x000D_
121320_x000D_
</t>
  </si>
  <si>
    <t>Centre for Biological Control , Department of Zoology and Entomology, Rhodes University</t>
  </si>
  <si>
    <t>Biological control of Australian Acacia seeds in montane grasslands of Eastern Zimbabwe</t>
  </si>
  <si>
    <t xml:space="preserve">_x000D_
485912_x000D_
</t>
  </si>
  <si>
    <t xml:space="preserve">_x000D_
495800_x000D_
</t>
  </si>
  <si>
    <t>Determinants of Neonatal Length-For-Age and Body Composition in Neonates born at Universitas Academic Hospital, Bloemfontein, South Africa</t>
  </si>
  <si>
    <t xml:space="preserve">_x000D_
35969.26_x000D_
</t>
  </si>
  <si>
    <t>Demand-side Management</t>
  </si>
  <si>
    <t xml:space="preserve">_x000D_
189200_x000D_
</t>
  </si>
  <si>
    <t>Epidemiology &amp; Biostatistics</t>
  </si>
  <si>
    <t xml:space="preserve">_x000D_
147179.1_x000D_
</t>
  </si>
  <si>
    <t>Color Glass Condensate Correlators: Connecting the JIMWLK and BMS Frameworks</t>
  </si>
  <si>
    <t xml:space="preserve">_x000D_
104860_x000D_
</t>
  </si>
  <si>
    <t>University of Freestate QwaQwa Campus</t>
  </si>
  <si>
    <t>Comparative Taxonomy and Phylogeography of Shrews in the Genus Crocidura inMontane Habitats</t>
  </si>
  <si>
    <t xml:space="preserve">_x000D_
231200_x000D_
</t>
  </si>
  <si>
    <t>Technical University of Munich</t>
  </si>
  <si>
    <t>A unification of model- and data-based approaches to autonomous driving</t>
  </si>
  <si>
    <t>Assessing impact of Climate change on Animal Feed availability</t>
  </si>
  <si>
    <t xml:space="preserve">_x000D_
195000_x000D_
</t>
  </si>
  <si>
    <t xml:space="preserve"> BUILDIN AGENCY: THE CO-CREATIOPN OF FORUM THEATRE MODEL ON ADRESSING, RAICING AWARENESS OF GENDER-BASED VIOLANCE AMONG THE UNIVERSITY OF THE WITWATERSRAND STUDENTS, SOUTH AFRICA. </t>
  </si>
  <si>
    <t>Archival Material, Genocide, mass atrocities</t>
  </si>
  <si>
    <t xml:space="preserve">_x000D_
193394_x000D_
</t>
  </si>
  <si>
    <t xml:space="preserve">_x000D_
223394_x000D_
</t>
  </si>
  <si>
    <t>Child health and maternal practices in urban South Africa: a multivariate analysis</t>
  </si>
  <si>
    <t xml:space="preserve">_x000D_
118400_x000D_
</t>
  </si>
  <si>
    <t>An examination of the role of a higher education institution in the prevention and management of gender-based violence: A case study of a South African public university</t>
  </si>
  <si>
    <t xml:space="preserve">_x000D_
303000_x000D_
</t>
  </si>
  <si>
    <t>Dissertation topic: Climate Change Impact Assessment over Three Major Soybean-Producing Provinces in South Africa</t>
  </si>
  <si>
    <t xml:space="preserve">_x000D_
342500_x000D_
</t>
  </si>
  <si>
    <t xml:space="preserve">_x000D_
349700_x000D_
</t>
  </si>
  <si>
    <t>Synthesis and biological evaluation of indoline-2,3-diones</t>
  </si>
  <si>
    <t xml:space="preserve">_x000D_
144847_x000D_
</t>
  </si>
  <si>
    <t>1. University of Fort Hare, 2. Stellenbosch University and 3. University of Johannesburg</t>
  </si>
  <si>
    <t>Artificial Intelligence in Digital Banking: A Philosophical Inquiry into Ethics and Inclusive Socio-Economic Transformation in South Africa</t>
  </si>
  <si>
    <t>Host-directed targeting of IFN-y induced long non-coding RNA-917 during Mycobacterium tuberculosis infection</t>
  </si>
  <si>
    <t xml:space="preserve">_x000D_
-129000_x000D_
</t>
  </si>
  <si>
    <t xml:space="preserve">_x000D_
-139000_x000D_
</t>
  </si>
  <si>
    <t>Understanding sleep homeostasis in South African adolescents.</t>
  </si>
  <si>
    <t xml:space="preserve">_x000D_
281000_x000D_
</t>
  </si>
  <si>
    <t>The university of the Witwatersrand</t>
  </si>
  <si>
    <t>Exploration Geophysics</t>
  </si>
  <si>
    <t>Assessment of the effect of trauma on the morphometric analysis of the cranium in an adult South African cadaveric sample</t>
  </si>
  <si>
    <t xml:space="preserve">_x000D_
144130_x000D_
</t>
  </si>
  <si>
    <t xml:space="preserve">_x000D_
67170_x000D_
</t>
  </si>
  <si>
    <t xml:space="preserve">_x000D_
69000_x000D_
</t>
  </si>
  <si>
    <t>Non-invasive assessment of stress, parasite burden, and reproduction in African large carnivores along a gradient of human disturbance</t>
  </si>
  <si>
    <t xml:space="preserve">_x000D_
239070_x000D_
</t>
  </si>
  <si>
    <t xml:space="preserve">_x000D_
269070_x000D_
</t>
  </si>
  <si>
    <t>Proposed tittle: The Influence of level of English Language of Teaching and Learning (LoLT) Competency on the learners Comprehension of Life Sciences Concepts in South Africa: Dissertation</t>
  </si>
  <si>
    <t>Redefining Educational Infrastructure in Disadvantaged Communities</t>
  </si>
  <si>
    <t xml:space="preserve">_x000D_
158320_x000D_
</t>
  </si>
  <si>
    <t>Educational leadership and policy change</t>
  </si>
  <si>
    <t>Modeling Temporal Influence Recovery in Dynamic Bayesian Networks with Node Failures</t>
  </si>
  <si>
    <t xml:space="preserve">_x000D_
36431_x000D_
</t>
  </si>
  <si>
    <t xml:space="preserve">_x000D_
65074.1_x000D_
</t>
  </si>
  <si>
    <t xml:space="preserve">_x000D_
69081.51_x000D_
</t>
  </si>
  <si>
    <t>Resilience Science</t>
  </si>
  <si>
    <t xml:space="preserve">_x000D_
136124_x000D_
</t>
  </si>
  <si>
    <t>Antimicrobial resistance</t>
  </si>
  <si>
    <t xml:space="preserve">_x000D_
161450_x000D_
</t>
  </si>
  <si>
    <t xml:space="preserve">_x000D_
109500_x000D_
</t>
  </si>
  <si>
    <t>Atypical Examination of Feminist Literary Texts: Omitted and Sidelined Abuse Against Men by Women.</t>
  </si>
  <si>
    <t xml:space="preserve">_x000D_
63980_x000D_
</t>
  </si>
  <si>
    <t xml:space="preserve">_x000D_
64130_x000D_
</t>
  </si>
  <si>
    <t>The impact of placental insufficiency and cytomegalovirus exposure on infant growth</t>
  </si>
  <si>
    <t xml:space="preserve">_x000D_
165020_x000D_
</t>
  </si>
  <si>
    <t xml:space="preserve">_x000D_
179269.4_x000D_
</t>
  </si>
  <si>
    <t>Queer Kinship: Exploring Black Lesbians in Family Structures</t>
  </si>
  <si>
    <t xml:space="preserve">_x000D_
113755_x000D_
</t>
  </si>
  <si>
    <t>Enhancing The African Economy Through Corporate Social Investment</t>
  </si>
  <si>
    <t xml:space="preserve">_x000D_
520000_x000D_
</t>
  </si>
  <si>
    <t>Exploring epilepsy treatment and management: A qualitative exploration of patient experiences in the Cape Winelands district, South Africa</t>
  </si>
  <si>
    <t xml:space="preserve">_x000D_
145550_x000D_
</t>
  </si>
  <si>
    <t xml:space="preserve">_x000D_
174050_x000D_
</t>
  </si>
  <si>
    <t xml:space="preserve">_x000D_
212550_x000D_
</t>
  </si>
  <si>
    <t>Worn Pedagogy: Clothing as Archive with the 'After Library'</t>
  </si>
  <si>
    <t xml:space="preserve">_x000D_
314518.6_x000D_
</t>
  </si>
  <si>
    <t xml:space="preserve">_x000D_
287755.29_x000D_
</t>
  </si>
  <si>
    <t xml:space="preserve">_x000D_
308117.58_x000D_
</t>
  </si>
  <si>
    <t>Multiple</t>
  </si>
  <si>
    <t>Evaluation of Language Models for African languages and setting up AfriDSAI</t>
  </si>
  <si>
    <t>2025-9123</t>
  </si>
  <si>
    <t>Kagiso Nkosi</t>
  </si>
  <si>
    <t>Trapped in the Promise: Economic Insecurity and The Aftermath of Ascetic policies and practices in South Africa</t>
  </si>
  <si>
    <t>Incomplete, 1o/s ref</t>
  </si>
  <si>
    <t xml:space="preserve">Not Eligible - Honours </t>
  </si>
  <si>
    <t>Not eligible - no reference letters</t>
  </si>
  <si>
    <t>Reference letter check</t>
  </si>
  <si>
    <t>Not eligible - 2 references missing, budget not updated</t>
  </si>
  <si>
    <t>Not eligible - 1 reference missing, budget not updated</t>
  </si>
  <si>
    <t>Incomplete Budget not corrected</t>
  </si>
  <si>
    <t>Not eligible - 2 reference o/s and no degree</t>
  </si>
  <si>
    <t>University of Sunderland</t>
  </si>
  <si>
    <t>Data science</t>
  </si>
  <si>
    <t>24/08/2025</t>
  </si>
  <si>
    <t>kuna0706@gmail.com</t>
  </si>
  <si>
    <t>BC</t>
  </si>
  <si>
    <t>Discarded</t>
  </si>
  <si>
    <t>Complete, negative budget</t>
  </si>
  <si>
    <t>Complete, educational trans formatted,incomplete budget</t>
  </si>
  <si>
    <t>Incomplete, Check budget format</t>
  </si>
  <si>
    <t>Complete, check start date</t>
  </si>
  <si>
    <t>Incomplete, budget not corrected</t>
  </si>
  <si>
    <t>Incomplete, budget not corrected, no degree</t>
  </si>
  <si>
    <t>Incomplete, 1o/s ref, no degree</t>
  </si>
  <si>
    <t>Incomplete, 2 O/s Refs, Start date 19/08/2025</t>
  </si>
  <si>
    <t>Incomplete, 1o/s Reference, budget not corrected</t>
  </si>
  <si>
    <t>Complete, budget not corrected</t>
  </si>
  <si>
    <t>Complete, check budget</t>
  </si>
  <si>
    <t>Complete Choice of Study Master's of Management</t>
  </si>
  <si>
    <t>Complete Drafts</t>
  </si>
  <si>
    <t>Complete Drats</t>
  </si>
  <si>
    <t>Complete No ID</t>
  </si>
  <si>
    <t>Complete Drafts: Choice of study  Master's in History</t>
  </si>
  <si>
    <t>Complete Draft</t>
  </si>
  <si>
    <t>budget issue,academic issue, 1 ref o/s</t>
  </si>
  <si>
    <t>complete,duplicates</t>
  </si>
  <si>
    <t>complete, duplicares</t>
  </si>
  <si>
    <t>development and characterization of polyimide–MOF–quantum dot hybrid substrates for multifunctional biosensing applications</t>
  </si>
  <si>
    <t>Not Eligible</t>
  </si>
  <si>
    <t>Complete, duplicates</t>
  </si>
  <si>
    <t>Complete Candidate uploaded letters directly</t>
  </si>
  <si>
    <t>Complete Drats,</t>
  </si>
  <si>
    <t>Study choice</t>
  </si>
  <si>
    <t>MSc in Physics</t>
  </si>
  <si>
    <t>Masters in Urban and regional planning</t>
  </si>
  <si>
    <t>MA in Social Impact Assessment</t>
  </si>
  <si>
    <t>Music</t>
  </si>
  <si>
    <t>Masters in African language</t>
  </si>
  <si>
    <t>Masters in African languages</t>
  </si>
  <si>
    <t>Master MPhil in Innovation and Development (RD)</t>
  </si>
  <si>
    <t>Geo Environmental Science</t>
  </si>
  <si>
    <t>Masters of fine arts by research</t>
  </si>
  <si>
    <t>MSc Biotechnology</t>
  </si>
  <si>
    <t>Masters of Arts in Geography and Environmental studies</t>
  </si>
  <si>
    <t>LLM Masters</t>
  </si>
  <si>
    <t>Genetic counselling</t>
  </si>
  <si>
    <t>MEng Electrical Engineering</t>
  </si>
  <si>
    <t>Master of Philosophy in Health Systems</t>
  </si>
  <si>
    <t>Master of Public Health in Health Systems</t>
  </si>
  <si>
    <t>MPhil Cancer Science</t>
  </si>
  <si>
    <t>Master of Science</t>
  </si>
  <si>
    <t>Mphil Development Finance</t>
  </si>
  <si>
    <t>Masters in Medical Physiology</t>
  </si>
  <si>
    <t/>
  </si>
  <si>
    <t>MSc Med Medical Microbiology</t>
  </si>
  <si>
    <t>Master of Arts in Media Studies</t>
  </si>
  <si>
    <t>MSc in Environmental management</t>
  </si>
  <si>
    <t>Masters in Communications</t>
  </si>
  <si>
    <t>Master of Philosophy sport for Development</t>
  </si>
  <si>
    <t>Environmental health</t>
  </si>
  <si>
    <t>Master of Audiology (by dissertation only)</t>
  </si>
  <si>
    <t>Master of Science Dissertation in Mathematics</t>
  </si>
  <si>
    <t>Master of Laws</t>
  </si>
  <si>
    <t>Masters of Social Science with International Relations</t>
  </si>
  <si>
    <t>MSc in Medicine (clinical and experimental pharmacology)</t>
  </si>
  <si>
    <t>Masters in Development Finance</t>
  </si>
  <si>
    <t>Masters in Social Work: Substance Abuse</t>
  </si>
  <si>
    <t>Master of Urban Studies</t>
  </si>
  <si>
    <t>Master of Arts in History</t>
  </si>
  <si>
    <t>Masters of nursing science</t>
  </si>
  <si>
    <t>Master of Science in Epidemiology</t>
  </si>
  <si>
    <t>MA Sociology</t>
  </si>
  <si>
    <t>Film and media</t>
  </si>
  <si>
    <t>Masters by Dissertation</t>
  </si>
  <si>
    <t>Engineering Science</t>
  </si>
  <si>
    <t>Masters Degree</t>
  </si>
  <si>
    <t>Pharmaceutical chemistry</t>
  </si>
  <si>
    <t>Master of Arts</t>
  </si>
  <si>
    <t>Masters in child and Youth Care</t>
  </si>
  <si>
    <t>Msc (Project Management )</t>
  </si>
  <si>
    <t>Masters in Social Work</t>
  </si>
  <si>
    <t>Master's in Human Movement Science</t>
  </si>
  <si>
    <t>MSc Environmental &amp; Geographical Science</t>
  </si>
  <si>
    <t>Masters In Agriculture (Research)</t>
  </si>
  <si>
    <t>Master of arts</t>
  </si>
  <si>
    <t>MSc Genetic Counselling by Dissertation</t>
  </si>
  <si>
    <t>MA in Theory of Literature</t>
  </si>
  <si>
    <t>The decision to focus on how cultural norms, particularly forced and early marriages, silence women and hinder their access to justice in South Africa is driven by the urgent need to address gender inequality and systemic failures within the legal system. Despite South Africa’s progressive legal framework, harmful traditional practices continue to undermine women’s rights, leaving them vulnerable to oppression and legal exclusion. This study aims to explore the intersection of culture and justice, highlighting the challenges women face and proposing solutions to improve their legal protection.  One of the key motivations for this study is the persistence of forced and early marriages in certain communities. Many young girls are married off without their consent, often to older men, under the guise of preserving cultural heritage or family honor. These practices strip women of their autonomy, limit their educational and economic opportunities, and expose them to various forms of abuse. Although laws such as the Recognition of Customary Marriages Act and the Children’s Act exist to protect women, enforcement remains weak due to cultural resistance and systemic inefficiencies. This study seeks to understand why legal protections are ineffective and what can be done to strengthen the justice system’s response.  Furthermore, the study is necessary because cultural norms often discourage women from seeking justice. Many women fear social stigma, retaliation, or rejection by their families and communities if they challenge forced marriages. Law enforcement and judicial officials frequently lack cultural sensitivity, dismissing cases or failing to provide adequate support to victims. This research will explore how these cultural pressures affect women's justice-seeking behavior and examine the role of the criminal justice system in either enabling or preventing access to justice.  Another reason for choosing this study is the gap in existing research. While many studies focus on gender-based violence or women’s rights broadly, few specifically analyze how cultural traditions shape women's experiences within the justice system in South Africa. By focusing on this issue, the research will contribute new insights into the failures of the legal system and suggest culturally sensitive legal reforms to bridge the gap between tradition and justice.  This study is also guided by Feminist Legal Theory, which critiques how laws and legal institutions reinforce gender inequalities. Applying this theory will help assess how South Africa’s legal framework either supports or fails women affected by cultural norms. Additionally, Social Norms Theory will be used to examine how societal expectations influence behavior and restrict women’s access to justice. By incorporating these theoretical perspectives, the study aims to provide a deeper understanding of the cultural and legal barriers that women face.</t>
  </si>
  <si>
    <t>MRA03- Master of Pharmacy</t>
  </si>
  <si>
    <t>Master of Arts in Social Development</t>
  </si>
  <si>
    <t>MSc nuclear medical science</t>
  </si>
  <si>
    <t>masters in chemistry</t>
  </si>
  <si>
    <t>MSc. in Biotechnology</t>
  </si>
  <si>
    <t>Master of Philosophy in Environment, Society and Sustainably</t>
  </si>
  <si>
    <t>MEng Industrial Engineering</t>
  </si>
  <si>
    <t>Masters in Urban and Regional Planning</t>
  </si>
  <si>
    <t>Masters of Education</t>
  </si>
  <si>
    <t>Educational Psychology</t>
  </si>
  <si>
    <t>MMed</t>
  </si>
  <si>
    <t>MSc Anatomical Pathology</t>
  </si>
  <si>
    <t>MASTERS OF SOCIAL SCIENCES IN SOCIOLOGY</t>
  </si>
  <si>
    <t>Master of Science in Agricultural Economics</t>
  </si>
  <si>
    <t>MSc Plant Science</t>
  </si>
  <si>
    <t>Masters in Pharmcay</t>
  </si>
  <si>
    <t>Pgce</t>
  </si>
  <si>
    <t>Master of Environmental Sciences in Geography</t>
  </si>
  <si>
    <t>MSc in Medicine</t>
  </si>
  <si>
    <t>MSc in agriculture (plant science)</t>
  </si>
  <si>
    <t>MSc in Computer Science</t>
  </si>
  <si>
    <t>Master's in Geography</t>
  </si>
  <si>
    <t>MA Thesis in history</t>
  </si>
  <si>
    <t>Master of Arts Specialisation in Sociology</t>
  </si>
  <si>
    <t>Masters in Agriculture Animal Science</t>
  </si>
  <si>
    <t>Masters in plant sciences</t>
  </si>
  <si>
    <t>masters of law</t>
  </si>
  <si>
    <t>Master of Pharmacy in Radiopharmacy</t>
  </si>
  <si>
    <t>Biochemistry</t>
  </si>
  <si>
    <t>Masters In African Studies</t>
  </si>
  <si>
    <t>Masters of Arts in African Studies</t>
  </si>
  <si>
    <t>MEd Psychology of Education</t>
  </si>
  <si>
    <t>MSc Epidemiology and Biostatistics</t>
  </si>
  <si>
    <t>Master’s degree in science education</t>
  </si>
  <si>
    <t>Master of Management in Governance (Public and Development Sector Monitoring and Evaluation)</t>
  </si>
  <si>
    <t>Anthropology</t>
  </si>
  <si>
    <t>Anatomical Pathology</t>
  </si>
  <si>
    <t>MPhil in Intellectual Disability</t>
  </si>
  <si>
    <t>Environmental Science</t>
  </si>
  <si>
    <t>Master of Science in soil science</t>
  </si>
  <si>
    <t>LLM</t>
  </si>
  <si>
    <t>Gender Studies</t>
  </si>
  <si>
    <t>Organic /Medicinal  Chemistry</t>
  </si>
  <si>
    <t>MSc in Mechanical Engineering</t>
  </si>
  <si>
    <t>Master of Laws with Specialisation in Constitutional Law and Philosophy of Law</t>
  </si>
  <si>
    <t>MPhil in Interdisciplinary Arts Studies</t>
  </si>
  <si>
    <t>MSc in Dietetics</t>
  </si>
  <si>
    <t>Postdoc in Materials and Mechanical Engineering</t>
  </si>
  <si>
    <t>Master of Music</t>
  </si>
  <si>
    <t>MSc Neuroscience</t>
  </si>
  <si>
    <t>Missology</t>
  </si>
  <si>
    <t>Master of Education in Curriculum Studies</t>
  </si>
  <si>
    <t>PhD Management Science Public Administration-Supply Chain Management</t>
  </si>
  <si>
    <t>Master of Science in Technology Education</t>
  </si>
  <si>
    <t>MSc Clinical Psychology</t>
  </si>
  <si>
    <t>MMed Dermatology</t>
  </si>
  <si>
    <t>PhD (History)</t>
  </si>
  <si>
    <t>Master of Arts (History)</t>
  </si>
  <si>
    <t>Postdoctoral Researcher in Infectious Disease Genomics</t>
  </si>
  <si>
    <t>MM Jazz Piano</t>
  </si>
  <si>
    <t>BEd masters in curriculum studies</t>
  </si>
  <si>
    <t>PhD</t>
  </si>
  <si>
    <t>Masters of Setswana</t>
  </si>
  <si>
    <t>MPhil in Development Finance</t>
  </si>
  <si>
    <t>MSc pharmacology</t>
  </si>
  <si>
    <t>PhD Bioinformatics</t>
  </si>
  <si>
    <t>Masters of Law in Labour Law (Coursework and Research)</t>
  </si>
  <si>
    <t xml:space="preserve">MSc Agriculture in Animal Science </t>
  </si>
  <si>
    <t>Maritime Strategy</t>
  </si>
  <si>
    <t>MSc in Neuroscience</t>
  </si>
  <si>
    <t>PhD in Computer Science</t>
  </si>
  <si>
    <t>MASTERS</t>
  </si>
  <si>
    <t>First choice: PhD Zoology</t>
  </si>
  <si>
    <t>MSc Microbiology</t>
  </si>
  <si>
    <t>Chemical Engineering</t>
  </si>
  <si>
    <t>Immunology with a focus on natural product therapeutics</t>
  </si>
  <si>
    <t>PhD In Agricultural Extension</t>
  </si>
  <si>
    <t>PhD Human Genetics</t>
  </si>
  <si>
    <t>Organometalic chemistry</t>
  </si>
  <si>
    <t>Master of Business Administration</t>
  </si>
  <si>
    <t>Masters Business Management and Administration</t>
  </si>
  <si>
    <t>Master of Science: Agriculture (Research)</t>
  </si>
  <si>
    <t>PhD Computational Chemistry</t>
  </si>
  <si>
    <t>Master of Science in Statistics and Data Science</t>
  </si>
  <si>
    <t>PhD Economics</t>
  </si>
  <si>
    <t>Criminal Justice Social Work</t>
  </si>
  <si>
    <t>PhD in Finance</t>
  </si>
  <si>
    <t>Masters in Biological Science</t>
  </si>
  <si>
    <t>Doctor of philosophy in supply chain management</t>
  </si>
  <si>
    <t>MEng Environmental Engineering</t>
  </si>
  <si>
    <t>PhD in Biotechnology</t>
  </si>
  <si>
    <t>Postdoctoral Research</t>
  </si>
  <si>
    <t>Master of Studies</t>
  </si>
  <si>
    <t>PhD Biochemistry &amp; Cell Biology</t>
  </si>
  <si>
    <t>Executive Master of Business Administration</t>
  </si>
  <si>
    <t>PhD in HIV/AIDS Management</t>
  </si>
  <si>
    <t>Industrial design (product design)</t>
  </si>
  <si>
    <t>MCOM in Leadership</t>
  </si>
  <si>
    <t>MA English Studies</t>
  </si>
  <si>
    <t>PhD in Economics</t>
  </si>
  <si>
    <t>MEng Mechanical Engineering</t>
  </si>
  <si>
    <t>MSc Med (by dissertation)</t>
  </si>
  <si>
    <t>PhD in Disaster Risk Science</t>
  </si>
  <si>
    <t>Msc</t>
  </si>
  <si>
    <t>Masters of Commerce in Industrial Psychology</t>
  </si>
  <si>
    <t>Masters of Engineering in Metallurgical Engineering</t>
  </si>
  <si>
    <t>Higher Education Studies (PhD in Education)</t>
  </si>
  <si>
    <t>Masters in Design for Emerging Futures</t>
  </si>
  <si>
    <t>PhD in Visual Arts</t>
  </si>
  <si>
    <t>Masters of Medical Sciences (Exercise Science)</t>
  </si>
  <si>
    <t>MASTERS IN LAW</t>
  </si>
  <si>
    <t>MSc Medicine Clinical Microbiology and Infectious Diseases</t>
  </si>
  <si>
    <t>Master of Laws in Alternative Resolution</t>
  </si>
  <si>
    <t>MBA</t>
  </si>
  <si>
    <t>PhD in Public Health</t>
  </si>
  <si>
    <t>Master of Administration</t>
  </si>
  <si>
    <t>Masters in Development finance</t>
  </si>
  <si>
    <t>Masters in Business Administration</t>
  </si>
  <si>
    <t>MASTERS IN PUBLIC HEALTH</t>
  </si>
  <si>
    <t>Comparative law of delict at the MPI</t>
  </si>
  <si>
    <t>Doctoral of Laws with specialisation in International Economic Law</t>
  </si>
  <si>
    <t>Public health</t>
  </si>
  <si>
    <t>Doctoral Degree</t>
  </si>
  <si>
    <t>Masters In Management</t>
  </si>
  <si>
    <t>PhD Computer Science</t>
  </si>
  <si>
    <t>MSc Environmental Studies</t>
  </si>
  <si>
    <t>PhD Business Science</t>
  </si>
  <si>
    <t>Doctor of Philosophy in Management Studies</t>
  </si>
  <si>
    <t>Masters in nursing</t>
  </si>
  <si>
    <t>Master of Public Health (MPH) in Environmental Health (EH)</t>
  </si>
  <si>
    <t>Doctor of Philosophy (Civil)</t>
  </si>
  <si>
    <t>Master of Science in Industrial Engineering</t>
  </si>
  <si>
    <t>Master of Law</t>
  </si>
  <si>
    <t>Master of Management (Public and Development Sector Monitoring and Evaluation)</t>
  </si>
  <si>
    <t>Mcom in Information Systems (by research)</t>
  </si>
  <si>
    <t>Executive Master of Business Administration (EMBA)</t>
  </si>
  <si>
    <t>PhD Creative Arts (Part - time)</t>
  </si>
  <si>
    <t>Master of Education</t>
  </si>
  <si>
    <t>Master of Science in Engineering in Electrical engineering</t>
  </si>
  <si>
    <t>PhD in Education</t>
  </si>
  <si>
    <t>Masters - Full Time</t>
  </si>
  <si>
    <t>Master of Science in Agriculture measuring in Animal Science</t>
  </si>
  <si>
    <t>Master of Social Sciences with Specialisation in Political Science</t>
  </si>
  <si>
    <t>Masters of education</t>
  </si>
  <si>
    <t>Masters in Public Administration</t>
  </si>
  <si>
    <t>LLM in Mercantile Law</t>
  </si>
  <si>
    <t>PhD in Chemical Engineering</t>
  </si>
  <si>
    <t>Master of Management</t>
  </si>
  <si>
    <t>Interest in Master of Philosophy - MPhil, Financial Technology</t>
  </si>
  <si>
    <t>Biomedical Sciences</t>
  </si>
  <si>
    <t>Internal Auditing</t>
  </si>
  <si>
    <t>Master's degree in Genetic Counselling</t>
  </si>
  <si>
    <t>PhD in Statistics</t>
  </si>
  <si>
    <t>Doctor of Philosophy with specialization in Development Studies</t>
  </si>
  <si>
    <t>Earth Sciences</t>
  </si>
  <si>
    <t>PhD Accounting Sciences</t>
  </si>
  <si>
    <t>Cultural Policies and Management</t>
  </si>
  <si>
    <t>MSc Pharmacology</t>
  </si>
  <si>
    <t>Medicinal Chemistry</t>
  </si>
  <si>
    <t>Masters in Economics (course work)</t>
  </si>
  <si>
    <t>Masters of science in nursing</t>
  </si>
  <si>
    <t>Phd Civil Engineering</t>
  </si>
  <si>
    <t>Masters in Visual Art</t>
  </si>
  <si>
    <t>MSc (Med)  by dissertation in Chemical Pathology</t>
  </si>
  <si>
    <t>MPhil Biokinetics</t>
  </si>
  <si>
    <t>PhD specialising in Digital Culture and Media</t>
  </si>
  <si>
    <t>Gender, Humour, and Social Cohesion in African Media and Oral Traditions</t>
  </si>
  <si>
    <t>PhD Soil Science</t>
  </si>
  <si>
    <t>Mater of Science (physics)</t>
  </si>
  <si>
    <t>Live Art, Interdisciplinary and Public Art</t>
  </si>
  <si>
    <t>Master of Science Education</t>
  </si>
  <si>
    <t>PhD physics</t>
  </si>
  <si>
    <t>Ph.D.</t>
  </si>
  <si>
    <t>PHD</t>
  </si>
  <si>
    <t>Masters in Public Management</t>
  </si>
  <si>
    <t>Postgraduate diploma in public management</t>
  </si>
  <si>
    <t>Biostatistics and Epidemiology</t>
  </si>
  <si>
    <t>Master of Education in Mathematics Education</t>
  </si>
  <si>
    <t>MSc IN COMPUTER &amp; INFO SCI (DATA SCIENCE)</t>
  </si>
  <si>
    <t>Doctor of Philosophy in Law</t>
  </si>
  <si>
    <t xml:space="preserve"> Creative Writing MA</t>
  </si>
  <si>
    <t>PhD in Disability Studies</t>
  </si>
  <si>
    <t>FT PhD - Education (Language and Literacy)</t>
  </si>
  <si>
    <t>Doctor of Philosophy in International Development</t>
  </si>
  <si>
    <t>Phd in Nursing</t>
  </si>
  <si>
    <t>Doctoral Degree - Education</t>
  </si>
  <si>
    <t>MSc Medical Biochemistry</t>
  </si>
  <si>
    <t>Master of Science in Biochemistry</t>
  </si>
  <si>
    <t>Masters in Music</t>
  </si>
  <si>
    <t>MA-Applied Drama: Theatre in Education, Communities &amp; Social Contexts</t>
  </si>
  <si>
    <t>Surgical Leadership</t>
  </si>
  <si>
    <t>Masters in Pharmacy</t>
  </si>
  <si>
    <t>doctor of philosophy</t>
  </si>
  <si>
    <t>Entrepreneurship and New Ventrure Creation</t>
  </si>
  <si>
    <t>Master Commerce (Economics)</t>
  </si>
  <si>
    <t>Therapeutic Sciences</t>
  </si>
  <si>
    <t>Doctoral degree in Education</t>
  </si>
  <si>
    <t>Master of Science in Chemistry</t>
  </si>
  <si>
    <t>LLM in Innovation, Technology and the Law</t>
  </si>
  <si>
    <t>PhD in Nature Conservation</t>
  </si>
  <si>
    <t>Greenhouse gas emissions</t>
  </si>
  <si>
    <t>MSc(Med/Research)</t>
  </si>
  <si>
    <t>Master of Chemistry</t>
  </si>
  <si>
    <t>MSc Zoology (Molecular biology)</t>
  </si>
  <si>
    <t>Masters in Chemical pathology</t>
  </si>
  <si>
    <t>Psychology</t>
  </si>
  <si>
    <t>Art history</t>
  </si>
  <si>
    <t>Master of Philosophy (MPhil) in Inclusive Innovation</t>
  </si>
  <si>
    <t>Computational Physics (Research)</t>
  </si>
  <si>
    <t>PhD Agronomy</t>
  </si>
  <si>
    <t>PhD of Education</t>
  </si>
  <si>
    <t>Power Engineer</t>
  </si>
  <si>
    <t>PhD in Physics</t>
  </si>
  <si>
    <t>Master's Degree in Public Health</t>
  </si>
  <si>
    <t>Post doctotoral in Molecular Biology</t>
  </si>
  <si>
    <t>Development of Anti-Tubercular Drugs</t>
  </si>
  <si>
    <t>Chemical &amp; Metallurgical Engineering</t>
  </si>
  <si>
    <t>Master of Public Health in Environmental Health</t>
  </si>
  <si>
    <t>Metallurgical Engineering</t>
  </si>
  <si>
    <t>Inclusive Innovation</t>
  </si>
  <si>
    <t>Sociology</t>
  </si>
  <si>
    <t>Ph.D. in Biological Sciences</t>
  </si>
  <si>
    <t>Masters in Public Health</t>
  </si>
  <si>
    <t>Medical Physics and Biomedical Engineering</t>
  </si>
  <si>
    <t>Applied Economics</t>
  </si>
  <si>
    <t>PhD in Medical Physiology</t>
  </si>
  <si>
    <t>PhD with Specialization in Land Rehabilitation</t>
  </si>
  <si>
    <t>Postdoctoral Fellowship</t>
  </si>
  <si>
    <t>Masters in Jazz studies</t>
  </si>
  <si>
    <t>1st</t>
  </si>
  <si>
    <t>Masters of Sciences in  Chemistry</t>
  </si>
  <si>
    <t>Master in Engineering Electrical and Electronic Engineering (RD)</t>
  </si>
  <si>
    <t>PhD (Education) in Education Leadership and Management</t>
  </si>
  <si>
    <t>Masters of Sustainability Management</t>
  </si>
  <si>
    <t>Behavioural Medicine</t>
  </si>
  <si>
    <t>MPhil</t>
  </si>
  <si>
    <t>MSc Dietetics</t>
  </si>
  <si>
    <t>Water Utilization Engineering</t>
  </si>
  <si>
    <t>Environmental Health</t>
  </si>
  <si>
    <t>MSc Genetics</t>
  </si>
  <si>
    <t>Doctor of Philosophy in Health Sciences in Public Health</t>
  </si>
  <si>
    <t>PhD in Biological Sciences</t>
  </si>
  <si>
    <t>Msc(Horticulture)</t>
  </si>
  <si>
    <t>PhD Art History</t>
  </si>
  <si>
    <t>MSc Biochemistry</t>
  </si>
  <si>
    <t>Master of Development Policy and Practice</t>
  </si>
  <si>
    <t>Master of Science in Clinical Psychology</t>
  </si>
  <si>
    <t>PhD -Journalism and Media Studies</t>
  </si>
  <si>
    <t>Scholarship Postdoctoral study</t>
  </si>
  <si>
    <t>Masters in Development Studies (RD)</t>
  </si>
  <si>
    <t>Master of Education (Inclusive)</t>
  </si>
  <si>
    <t>Masters in theology</t>
  </si>
  <si>
    <t>Master's in Medical Science (Medical Cell Biology)</t>
  </si>
  <si>
    <t>Master Of Education</t>
  </si>
  <si>
    <t>Master of Science in Medicine (Biokinetics)</t>
  </si>
  <si>
    <t>PHD IN PUBLIC MANAGEMENT AND GOVERNANCE</t>
  </si>
  <si>
    <t>Master of Science in Biological Sciences (Zoology)</t>
  </si>
  <si>
    <t>Master of Laws by Coursework and Research Report</t>
  </si>
  <si>
    <t>Full time</t>
  </si>
  <si>
    <t>Artificial Intelligence Safety</t>
  </si>
  <si>
    <t>Master of Science (MSc) in Biochemistry (Research)</t>
  </si>
  <si>
    <t>Social work</t>
  </si>
  <si>
    <t>PhD Political Science</t>
  </si>
  <si>
    <t>PhD in Science Education</t>
  </si>
  <si>
    <t>PhD in physics</t>
  </si>
  <si>
    <t>PhD Medical Immunology</t>
  </si>
  <si>
    <t>DOCTORAL DEGREE IN ENGINEERING</t>
  </si>
  <si>
    <t>Masters in Psychology</t>
  </si>
  <si>
    <t>Doctorate in Philosophy of Laws</t>
  </si>
  <si>
    <t>Doctor of philosophy in sport science</t>
  </si>
  <si>
    <t>Masters in Applied Linguistic</t>
  </si>
  <si>
    <t>Masters in Applied Linguistics</t>
  </si>
  <si>
    <t>Postdoctoral research</t>
  </si>
  <si>
    <t>MPhil Development Finance</t>
  </si>
  <si>
    <t>Master of Commerce specializing in Economics</t>
  </si>
  <si>
    <t>PhD in Accounting</t>
  </si>
  <si>
    <t>Mechanical, Industrial  and Aeronautical Engineering</t>
  </si>
  <si>
    <t>MSc Epidemiology &amp; Biostatistics</t>
  </si>
  <si>
    <t>masters in curriculum studies</t>
  </si>
  <si>
    <t>Master of Arts in Clinical Psychology</t>
  </si>
  <si>
    <t>Advanced population pharmacokinetic, pharmacodynamic and pharmacogenetic modelling.</t>
  </si>
  <si>
    <t>Post-Doctorate in Philosophy</t>
  </si>
  <si>
    <t>Post-doctoral study</t>
  </si>
  <si>
    <t>Science</t>
  </si>
  <si>
    <t>Postdoctoral study</t>
  </si>
  <si>
    <t>Master of Management Governance (Development and Economics)</t>
  </si>
  <si>
    <t>Master of Science in Medicine Specializing in Biokinetics</t>
  </si>
  <si>
    <t>Doctorate</t>
  </si>
  <si>
    <t>Postdoctoral Fellowship in Pharmacology</t>
  </si>
  <si>
    <t>MSc Pharmaceutical Science</t>
  </si>
  <si>
    <t>PhD Studies</t>
  </si>
  <si>
    <t>masters</t>
  </si>
  <si>
    <t>Masters in Psychology by Research (Dissertation)</t>
  </si>
  <si>
    <t>Master of Science in Technology and Innovation Management</t>
  </si>
  <si>
    <t>Bioinorganic/Medicinal Chemistry</t>
  </si>
  <si>
    <t>Master in Music Performance, Coursework and Dissertation</t>
  </si>
  <si>
    <t>MA Public Sociology and Anthropology</t>
  </si>
  <si>
    <t>Doctor of Philosophy Health Sciences</t>
  </si>
  <si>
    <t>Sabbatical Fellowship</t>
  </si>
  <si>
    <t>LLM IP</t>
  </si>
  <si>
    <t>MEd in Curriculum Studies</t>
  </si>
  <si>
    <t>LLM in Intellectual Property Law</t>
  </si>
  <si>
    <t>Postdoctoral research in mechanobiology and biomedical sciences</t>
  </si>
  <si>
    <t xml:space="preserve">PhD in Land and Agrarian studies </t>
  </si>
  <si>
    <t>Strategic Communication</t>
  </si>
  <si>
    <t>Masters Economics</t>
  </si>
  <si>
    <t>Classical Music, Classical Guitar</t>
  </si>
  <si>
    <t xml:space="preserve">Master's </t>
  </si>
  <si>
    <t>Master of Computer and Information Science (Data Science)</t>
  </si>
  <si>
    <t>Masters In Socio-Informatics</t>
  </si>
  <si>
    <t>Doctor of Philosophy in Industrial Sociology</t>
  </si>
  <si>
    <t>Postdoctoral fellowship</t>
  </si>
  <si>
    <t>Musicology</t>
  </si>
  <si>
    <t>MSc Medicine (Medical Microbiology)</t>
  </si>
  <si>
    <t>PhD in Global Public Health</t>
  </si>
  <si>
    <t>Doctor of Philosophy in Chemistry</t>
  </si>
  <si>
    <t>Doctor of Philosophy (PhD) in Private Law</t>
  </si>
  <si>
    <t>Biomedical sciences</t>
  </si>
  <si>
    <t>MA in African Languages-Setswana</t>
  </si>
  <si>
    <t>Masters Political Science specialising in Transitional Justice</t>
  </si>
  <si>
    <t>Masters in Visual Arts</t>
  </si>
  <si>
    <t>Msc Air Safety Management</t>
  </si>
  <si>
    <t>Microbiology/Immunology</t>
  </si>
  <si>
    <t>Chemistry (Catalysis)</t>
  </si>
  <si>
    <t>Bachelor of Arts honours with specialisation in linguistics</t>
  </si>
  <si>
    <t>Masters in Ecology</t>
  </si>
  <si>
    <t>MSc in Microbiology</t>
  </si>
  <si>
    <t>Doctor of Philosophy in Agricultural Economics</t>
  </si>
  <si>
    <t>Master's in Medical Microbiology</t>
  </si>
  <si>
    <t>Research to Phd</t>
  </si>
  <si>
    <t>MSc Med in Forensic Medicine</t>
  </si>
  <si>
    <t>Masters of Education in Educational Psychology</t>
  </si>
  <si>
    <t>Masters of Pharmacy</t>
  </si>
  <si>
    <t>MSc in Ocean and Atmosphere Science</t>
  </si>
  <si>
    <t>MSc(Med) Forensic Medicine</t>
  </si>
  <si>
    <t>PhD (pharmacology)</t>
  </si>
  <si>
    <t>PhD (Music)</t>
  </si>
  <si>
    <t>Quantum Many-Body Physics</t>
  </si>
  <si>
    <t>First</t>
  </si>
  <si>
    <t>Implementation Public Health research</t>
  </si>
  <si>
    <t>Philosophy</t>
  </si>
  <si>
    <t>PhD Sport Science</t>
  </si>
  <si>
    <t xml:space="preserve"> MSc in Environmental Management</t>
  </si>
  <si>
    <t>Masters in Performance</t>
  </si>
  <si>
    <t>Nanotechnology and Material Science</t>
  </si>
  <si>
    <t>MSc Eng in Electrical Engineering</t>
  </si>
  <si>
    <t>MSc Pharmacy Administration and Policy Regulation</t>
  </si>
  <si>
    <t>Postdoctoral scholarship in Food Microbiology and food Safety</t>
  </si>
  <si>
    <t>MSc in Reproductive Biology</t>
  </si>
  <si>
    <t>Doctor of Philosophy (Electrical Engineering)</t>
  </si>
  <si>
    <t>MscEng. Electrical Engineering</t>
  </si>
  <si>
    <t>PhD in Sport Science</t>
  </si>
  <si>
    <t>Master of Arts in Psychology General (98402-GEN)</t>
  </si>
  <si>
    <t>PhD in Information Systems</t>
  </si>
  <si>
    <t>MSc in Applied Mathematics</t>
  </si>
  <si>
    <t>Master of Education Degree in Science Education</t>
  </si>
  <si>
    <t>MSc specialising in Medical Virology</t>
  </si>
  <si>
    <t>Postdoctoral Research Fellow in Nano-Chemistry and Electrochemistry</t>
  </si>
  <si>
    <t>Master of Public Health</t>
  </si>
  <si>
    <t>MSc Finance and Risk management</t>
  </si>
  <si>
    <t>Doctor of philosophy (Physiology)</t>
  </si>
  <si>
    <t>AI-Driven Ingredient Risk Detection in South African Beauty Products Listings : A Computational Toxicology Approach</t>
  </si>
  <si>
    <t>MSc (Agriculture) (Plant Sciences)</t>
  </si>
  <si>
    <t>Masters of Science in Computational and Applied Mathematics</t>
  </si>
  <si>
    <t>PHED Doctor of Philosophy (Education) in Education leadership, management and policy.</t>
  </si>
  <si>
    <t>MCB5005W (Master of Science by dissertation in Molecular and Cellular Biology)</t>
  </si>
  <si>
    <t>Postdoctoral fellow in Medical Cell Biology</t>
  </si>
  <si>
    <t>Masters of Art in History</t>
  </si>
  <si>
    <t>MA Ancient Cultures</t>
  </si>
  <si>
    <t>PhD in English Literature</t>
  </si>
  <si>
    <t>PhD Psychiatry (Neuroscience)</t>
  </si>
  <si>
    <t>PhD (Interdisciplinary Arts Studies)</t>
  </si>
  <si>
    <t>Short course on 5G</t>
  </si>
  <si>
    <t>Ecological Sciences</t>
  </si>
  <si>
    <t>Development Economics and Health Economics</t>
  </si>
  <si>
    <t>Bioinformatics and Computational Biology</t>
  </si>
  <si>
    <t>PhD (Pediatrics)</t>
  </si>
  <si>
    <t>Anatomy</t>
  </si>
  <si>
    <t>Biomedical engineering</t>
  </si>
  <si>
    <t>Masters of Science (Neuroscience)</t>
  </si>
  <si>
    <t>Master's in Chemistry/Biochemistry</t>
  </si>
  <si>
    <t>MSc</t>
  </si>
  <si>
    <t>Doctoral Studies</t>
  </si>
  <si>
    <t>PhD by dissertation at Department of Molecular and Cell Biology</t>
  </si>
  <si>
    <t>Doctors of Law</t>
  </si>
  <si>
    <t>MSc by research, Geophysics</t>
  </si>
  <si>
    <t>MA in Fine Arts</t>
  </si>
  <si>
    <t>PhD in ANTHROPOLOGY</t>
  </si>
  <si>
    <t>PHD In chemistry</t>
  </si>
  <si>
    <t>PhD Biochemistry</t>
  </si>
  <si>
    <t>PhD Physics</t>
  </si>
  <si>
    <t>Master of Medical Science in Neuroscience</t>
  </si>
  <si>
    <t>MSc Bioinformatics and Computational Biology</t>
  </si>
  <si>
    <t>Postcolonial Studies</t>
  </si>
  <si>
    <t>MSc Medicine (Neuroscience and Physiology)</t>
  </si>
  <si>
    <t>Doctor of Philosophy</t>
  </si>
  <si>
    <t>Postdoctoral position in Environmental and Geographical Sciences Department</t>
  </si>
  <si>
    <t>Biomedical Engineering</t>
  </si>
  <si>
    <t>Master of Science in Microbiology</t>
  </si>
  <si>
    <t>Doctorate in Sociology, fellow at the Centre for Humanities Research</t>
  </si>
  <si>
    <t>Masters in Applied Theatre and Drama Studies</t>
  </si>
  <si>
    <t>MA Archaeology (Dissertation/Research)</t>
  </si>
  <si>
    <t>Masters in Computer Science</t>
  </si>
  <si>
    <t>Master in Sociology</t>
  </si>
  <si>
    <t>Pharmaceutics</t>
  </si>
  <si>
    <t>MSc Dissertation Biological Sciences</t>
  </si>
  <si>
    <t>PhD (Chartered Accountancy Education)</t>
  </si>
  <si>
    <t>PhD Medical Physiology</t>
  </si>
  <si>
    <t>Medical Virology</t>
  </si>
  <si>
    <t>MA in History by coursework and research report</t>
  </si>
  <si>
    <t>M.Sc in Physics or Medical Physics (dissetaion)</t>
  </si>
  <si>
    <t>Postdoctoral research fellow</t>
  </si>
  <si>
    <t>MA in Heritage Studies</t>
  </si>
  <si>
    <t>PhD (Physiology)</t>
  </si>
  <si>
    <t>PhD Anatomical Sciences - Biological Anthropology</t>
  </si>
  <si>
    <t>Master of Laws in Corporate Law</t>
  </si>
  <si>
    <t>Master of L aws</t>
  </si>
  <si>
    <t>PhD in Art Historical Studies</t>
  </si>
  <si>
    <t>Masters in E-Science</t>
  </si>
  <si>
    <t>Masters in Public Management and Governance</t>
  </si>
  <si>
    <t>Master of Social Science with Specialisation in Anthropology</t>
  </si>
  <si>
    <t>Food Science</t>
  </si>
  <si>
    <t>Doctoral 's in clinical sciences and immunology</t>
  </si>
  <si>
    <t>Master of in Economics</t>
  </si>
  <si>
    <t>Masters of Social Sciences in Sociology</t>
  </si>
  <si>
    <t>Masters in Science (Medicine)  in Physiology</t>
  </si>
  <si>
    <t>Masters in Cultural Policy and Masters</t>
  </si>
  <si>
    <t>Postdoctoral studies</t>
  </si>
  <si>
    <t>PhD in Chemistry</t>
  </si>
  <si>
    <t>Doctor of Philosophy in Neuroscience (Physiology) - PhD in Neuroscience (Physiology)</t>
  </si>
  <si>
    <t>PhD by dissertation in Biochemistry and Cell Biology</t>
  </si>
  <si>
    <t>Masters degree</t>
  </si>
  <si>
    <t>Phd in Business Management</t>
  </si>
  <si>
    <t>Music Composition Studies</t>
  </si>
  <si>
    <t>Material Chemistry</t>
  </si>
  <si>
    <t>Master of Science in Agriculture with specialization in Soil Science</t>
  </si>
  <si>
    <t>Doctoral degree</t>
  </si>
  <si>
    <t>Post Doctoral fellowship</t>
  </si>
  <si>
    <t>Doctor of Philosophy (PhD), Public Health (Health Systems &amp; Services Research), Faculty of Medicine &amp; Health Sciences, Stellenbosch University.</t>
  </si>
  <si>
    <t>Clinical Sciences &amp; Immunology</t>
  </si>
  <si>
    <t>Master Of Science in Medicine by research(Anatomical Sciences)</t>
  </si>
  <si>
    <t>MA History</t>
  </si>
  <si>
    <t>Biological Soil Crusts</t>
  </si>
  <si>
    <t>Masters in Lingustics</t>
  </si>
  <si>
    <t>MA Geography and Environmental Studies</t>
  </si>
  <si>
    <t>Criminal Justice, Forensic Science and Technology</t>
  </si>
  <si>
    <t>Msc  (zoology)</t>
  </si>
  <si>
    <t>PhD in Fine Arts</t>
  </si>
  <si>
    <t>Doctorate in Psychology</t>
  </si>
  <si>
    <t>PhD in Geography and Environmental Management</t>
  </si>
  <si>
    <t>Master of Science in Medicine (MSc Med) by dissertation</t>
  </si>
  <si>
    <t>Doctor of Philosophy in African Literature</t>
  </si>
  <si>
    <t>Natural Science-Metal alloys</t>
  </si>
  <si>
    <t>MSc Neuroscience (Psychiatry)</t>
  </si>
  <si>
    <t>Post doctoral research</t>
  </si>
  <si>
    <t>DPhil in Neuroscience and Physiology</t>
  </si>
  <si>
    <t>MA (Afrikaans)</t>
  </si>
  <si>
    <t>PhD in Atmospheric Science</t>
  </si>
  <si>
    <t>Master Public health</t>
  </si>
  <si>
    <t>Postdoctoral Research Fellowship</t>
  </si>
  <si>
    <t>MSc(Mathematics)</t>
  </si>
  <si>
    <t>Master of Science in Medicine</t>
  </si>
  <si>
    <t>PH.D in Theatre Performances</t>
  </si>
  <si>
    <t>Master of Science in Animal Science</t>
  </si>
  <si>
    <t>Master's Public Health Epidemiology</t>
  </si>
  <si>
    <t>Masters of Environmental Sciences</t>
  </si>
  <si>
    <t>MASTER'S</t>
  </si>
  <si>
    <t>Postdoctoral Reserach</t>
  </si>
  <si>
    <t>Masters in Animal Science</t>
  </si>
  <si>
    <t>Heritage, Humanities</t>
  </si>
  <si>
    <t>Doctor of Philosophy in Medical Microbiology</t>
  </si>
  <si>
    <t>M.Sc. Medicinal Plant Science</t>
  </si>
  <si>
    <t>Immunology</t>
  </si>
  <si>
    <t>English Language and Literature</t>
  </si>
  <si>
    <t>PHD in International Relations</t>
  </si>
  <si>
    <t>PhD Psychology</t>
  </si>
  <si>
    <t>Masters of Science</t>
  </si>
  <si>
    <t>Master of Biological Science (Zoology)</t>
  </si>
  <si>
    <t>PhD in Microbiology</t>
  </si>
  <si>
    <t>Masters in Chemistry by dissertation with the title of: Synthesis of Novel Anticancer Organometallic Antibody-Drug Conjugates using SNAP-tag Technology</t>
  </si>
  <si>
    <t>First choice</t>
  </si>
  <si>
    <t>Master of Urban &amp; Regional Planning</t>
  </si>
  <si>
    <t>PhD Genetics</t>
  </si>
  <si>
    <t>PhD in Conservation Biology</t>
  </si>
  <si>
    <t>Masters by research</t>
  </si>
  <si>
    <t>Master of Social Science in Development Studies</t>
  </si>
  <si>
    <t>Lithospheric evolution and formation of critical mineral deposits</t>
  </si>
  <si>
    <t>Visiting Fellow in Department of Law</t>
  </si>
  <si>
    <t>MSc Chemistry</t>
  </si>
  <si>
    <t>PhD in Anthropology (Research Dissertation)</t>
  </si>
  <si>
    <t>Doctor of Philosophy in Human Genetics</t>
  </si>
  <si>
    <t>PhD in Linguistics</t>
  </si>
  <si>
    <t>Molecular mechanisms of colorectal cancer</t>
  </si>
  <si>
    <t>Development Studies</t>
  </si>
  <si>
    <t>Master's Degree in Clinical Psychology</t>
  </si>
  <si>
    <t>Genomic Medicine</t>
  </si>
  <si>
    <t>PhD in Creative Writing, 2nd year</t>
  </si>
  <si>
    <t>Cultural Policy and Management</t>
  </si>
  <si>
    <t>Master of Arts specialising in Anthropology</t>
  </si>
  <si>
    <t>PhD (Physics)</t>
  </si>
  <si>
    <t>DPhil in Wind and Marine Energy Systems and Structures (EPSRC CDT)</t>
  </si>
  <si>
    <t>Master of laws</t>
  </si>
  <si>
    <t>PhD Clinical and Experimental Pharmacology</t>
  </si>
  <si>
    <t>Master of Arts (Sociology)</t>
  </si>
  <si>
    <t>MA in Cultural Policy Management Research in Course Work</t>
  </si>
  <si>
    <t>Doctor of Education</t>
  </si>
  <si>
    <t>Phd Governance</t>
  </si>
  <si>
    <t>Master in Bioinformatics of Infectious Diseases and Pathogen Genomics</t>
  </si>
  <si>
    <t>Graduate Clarinet Performance (masters)</t>
  </si>
  <si>
    <t>Phd in International Law (Intellectual Property Law)</t>
  </si>
  <si>
    <t>PhD in Interdisciplinary Digital Knowledge Economy Studies</t>
  </si>
  <si>
    <t>Comparative genomics of eusocial evolution in termites</t>
  </si>
  <si>
    <t>Master of Science in Dietetics</t>
  </si>
  <si>
    <t>Phd in Heritage Studies</t>
  </si>
  <si>
    <t>PhD in Haematology</t>
  </si>
  <si>
    <t>Ph.D. Molecular Medicine</t>
  </si>
  <si>
    <t>Master of Arts: Clinical Psychology</t>
  </si>
  <si>
    <t>Doctor of Laws in Mercantile Law</t>
  </si>
  <si>
    <t>University-master's degree-chemistry</t>
  </si>
  <si>
    <t>Masters in clinical work</t>
  </si>
  <si>
    <t>Master of Science in Medicine (Human Genetics specialization)</t>
  </si>
  <si>
    <t>Master of Arts: Heritage Studies (Coursework)</t>
  </si>
  <si>
    <t>First choice: Pharmaceutical Chemistry</t>
  </si>
  <si>
    <t>Doctor of Philosophy (PhD) in Education</t>
  </si>
  <si>
    <t>Master of Science Epidemiology majoring in Infectious Diseases</t>
  </si>
  <si>
    <t>First choice; Pharmaceutical Chemistry</t>
  </si>
  <si>
    <t>DPhil Criminology</t>
  </si>
  <si>
    <t>English Doctoral</t>
  </si>
  <si>
    <t>Doctorate degree in Anatomical Sciences</t>
  </si>
  <si>
    <t>PhD Educational Psychology</t>
  </si>
  <si>
    <t>MSc Epidemiology (Infectious Disease Epidemiology)</t>
  </si>
  <si>
    <t>Neuropsychology</t>
  </si>
  <si>
    <t>Hematology and Molecular Medicine</t>
  </si>
  <si>
    <t>Drama and performance</t>
  </si>
  <si>
    <t>MSc Food Science</t>
  </si>
  <si>
    <t>Chemical Biology</t>
  </si>
  <si>
    <t>Masters Programme in Clinical Social Work</t>
  </si>
  <si>
    <t>PhD in African Studies</t>
  </si>
  <si>
    <t>PhD in Research Psychology</t>
  </si>
  <si>
    <t>Master of Town and Regional Planning</t>
  </si>
  <si>
    <t>BEng Mechanical</t>
  </si>
  <si>
    <t>PhD Botany</t>
  </si>
  <si>
    <t>PhD specialising in Mathematics</t>
  </si>
  <si>
    <t>Masters in Drama and Performance Studies</t>
  </si>
  <si>
    <t>Molecular Biomarkers as Clinical Outcome Measures to Predict Patient Recovery in Spinal Arthroplasty</t>
  </si>
  <si>
    <t>Postdoctoral level</t>
  </si>
  <si>
    <t>Master in chemistry</t>
  </si>
  <si>
    <t>Education PhD</t>
  </si>
  <si>
    <t>Master of Philosophy in Conservation of the Built Environment</t>
  </si>
  <si>
    <t>Computational Structural Mechanics</t>
  </si>
  <si>
    <t>Masters Chemistry</t>
  </si>
  <si>
    <t>Masters of Arts in Development Studies</t>
  </si>
  <si>
    <t>MSc Med in Clinical Sciences and Immunology</t>
  </si>
  <si>
    <t>PhD in Clinical Science and Immunology</t>
  </si>
  <si>
    <t>Archaeology</t>
  </si>
  <si>
    <t>MEd</t>
  </si>
  <si>
    <t>MSc, Nature Conservation</t>
  </si>
  <si>
    <t>PhD Physiological Sciences- Thesis</t>
  </si>
  <si>
    <t>PhD (Med) in Medical Cell Biology</t>
  </si>
  <si>
    <t>Masters in Geophysics</t>
  </si>
  <si>
    <t>MSc Medical Virology</t>
  </si>
  <si>
    <t>MSc in Epidemiology and Biostatistics</t>
  </si>
  <si>
    <t>PhD Civil Engineering</t>
  </si>
  <si>
    <t>MSc in Epidemiology</t>
  </si>
  <si>
    <t>PhD Biochemistry and Cell Biology</t>
  </si>
  <si>
    <t>MSc in Molecular and Cell Biology</t>
  </si>
  <si>
    <t>Digital labour and economic inclusion</t>
  </si>
  <si>
    <t>Masters in Cultural Policy Management</t>
  </si>
  <si>
    <t>PhD in Medical Immunology</t>
  </si>
  <si>
    <t>PhD in Ethnomusicology</t>
  </si>
  <si>
    <t>Doctor of philosophy (PhD) - (Medicine)</t>
  </si>
  <si>
    <t>Bachelor of commerce honours</t>
  </si>
  <si>
    <t>Arts and Humanities</t>
  </si>
  <si>
    <t>MA Drama and Theatre Studies-Thesis</t>
  </si>
  <si>
    <t>Masters in Drama therapy</t>
  </si>
  <si>
    <t>PhD Psychiatry</t>
  </si>
  <si>
    <t>Agricultural Sciences, Food science</t>
  </si>
  <si>
    <t>Phd chemistry (forensic chemistry)</t>
  </si>
  <si>
    <t>Masters in mathematics education</t>
  </si>
  <si>
    <t>Master's in commerce with specialization in Business Management</t>
  </si>
  <si>
    <t>Masters in Civil Engineering</t>
  </si>
  <si>
    <t>Masters in Engineering Management</t>
  </si>
  <si>
    <t>Msc Medical Virology</t>
  </si>
  <si>
    <t>Zoology</t>
  </si>
  <si>
    <t>Master of Science with specialization in Chemistry</t>
  </si>
  <si>
    <t>PhD (Med) Neuroscience (Physiology)</t>
  </si>
  <si>
    <t>Masters of Philosophy in Strategic Communication</t>
  </si>
  <si>
    <t>MSc Physiological Sciences</t>
  </si>
  <si>
    <t>PhD in Medical Cell Biology</t>
  </si>
  <si>
    <t>Doctor of Philosophy in Psychology</t>
  </si>
  <si>
    <t>Docter of Science in Medicine</t>
  </si>
  <si>
    <t>Master of Arts in Applied Strategic Communication</t>
  </si>
  <si>
    <t>Vectorology</t>
  </si>
  <si>
    <t>Masters In Pure Mathematics</t>
  </si>
  <si>
    <t>MSc Med Physiology (specialising in sleep science)</t>
  </si>
  <si>
    <t>PhD in Psychology</t>
  </si>
  <si>
    <t>Doctor of Philosophy (PhD) by Thesis, Haematology and Molecular Medicine</t>
  </si>
  <si>
    <t>MSc in Medicine specializing in Immunology</t>
  </si>
  <si>
    <t>Doctor of Philosophy in Biomedical Science</t>
  </si>
  <si>
    <t>Cell and Molecular Biology (Cervical cancer research)</t>
  </si>
  <si>
    <t>Post-doctorate fellowship focusing on molecular ecology</t>
  </si>
  <si>
    <t>Doctor of Philosophy, School of Clinical medicine</t>
  </si>
  <si>
    <t>Master in Environmental and Energy Economics</t>
  </si>
  <si>
    <t>journalism</t>
  </si>
  <si>
    <t>Masters in Microbiology</t>
  </si>
  <si>
    <t>Masters of Arts</t>
  </si>
  <si>
    <t>Pharmacology</t>
  </si>
  <si>
    <t>Masters of Arts in English</t>
  </si>
  <si>
    <t>PhD Entomology</t>
  </si>
  <si>
    <t>Master of Social Science</t>
  </si>
  <si>
    <t>LLM (by dissertation)</t>
  </si>
  <si>
    <t>PhD in English Studies</t>
  </si>
  <si>
    <t>PHD in applied mathematics</t>
  </si>
  <si>
    <t>Doctor of Philosophy in Electrical &amp; Information Engineering</t>
  </si>
  <si>
    <t>Doctor of Philosophy in Education</t>
  </si>
  <si>
    <t>Human Genetics - Biomedical Science</t>
  </si>
  <si>
    <t>Master of Science in Medicine (Physiology)</t>
  </si>
  <si>
    <t>Geology</t>
  </si>
  <si>
    <t>MPhil in Philosophy and Ethics of Mental Health</t>
  </si>
  <si>
    <t>PhD in Music</t>
  </si>
  <si>
    <t>Cellular Neuroscience</t>
  </si>
  <si>
    <t>Master of Arts in Theatre and Performance</t>
  </si>
  <si>
    <t>Master of Arts in Sociology</t>
  </si>
  <si>
    <t>MA in Cultural Policy and Management</t>
  </si>
  <si>
    <t>PhD Environmental Sciences</t>
  </si>
  <si>
    <t>CINICAL SOCIAL WORK</t>
  </si>
  <si>
    <t>MSc (Medicine) in Physiology</t>
  </si>
  <si>
    <t>Doctor of Philosophy in Pharmaceutics</t>
  </si>
  <si>
    <t>Masters of Management in Finance and Investment.</t>
  </si>
  <si>
    <t>Msc in Neuroscience and Physiology</t>
  </si>
  <si>
    <t>Master of Fine Arts in Creative Producing</t>
  </si>
  <si>
    <t>Short research visit</t>
  </si>
  <si>
    <t>PhD in Animal, Plant and Environmental Sciences</t>
  </si>
  <si>
    <t>MSc Physiology with focus on Sleep Science</t>
  </si>
  <si>
    <t>Masters in Political Communication</t>
  </si>
  <si>
    <t>Doctor of Philosophy (Development Studies)</t>
  </si>
  <si>
    <t>Mathematics</t>
  </si>
  <si>
    <t>Masters of Science (MSc) in Epidemiology</t>
  </si>
  <si>
    <t>Master of Laws specializing in Constitutional law and philosophy of law</t>
  </si>
  <si>
    <t>Doctor Of Philosophy (PhD)</t>
  </si>
  <si>
    <t>PhD Medicinal Plant Science</t>
  </si>
  <si>
    <t>MA Visual Arts, specialising in Jewellery Design</t>
  </si>
  <si>
    <t>Chemical and Metallurgical Engineering</t>
  </si>
  <si>
    <t>Management (Monitoring and Evaluation and Sexual Reproductive Health Rights)</t>
  </si>
  <si>
    <t>Soil Science</t>
  </si>
  <si>
    <t>MPhil (Violent Histories and Repair)</t>
  </si>
  <si>
    <t>Doctor of Philosophy in Political Studies</t>
  </si>
  <si>
    <t>PhD in Ecology and Biodiversity</t>
  </si>
  <si>
    <t>PhD Polymer Science</t>
  </si>
  <si>
    <t>Masters in Research Psychology</t>
  </si>
  <si>
    <t>Doctor of Philosophy in Biological Sciences</t>
  </si>
  <si>
    <t>Msc Environmental Sciences</t>
  </si>
  <si>
    <t>MPhil in Behavioural Medicine</t>
  </si>
  <si>
    <t>MPhil (Development Finance)</t>
  </si>
  <si>
    <t>Environmental Science – Molecular Cell and Biology</t>
  </si>
  <si>
    <t>PhD Microbiology</t>
  </si>
  <si>
    <t>Master's in Medical Science specialising in Medical Cell Biology</t>
  </si>
  <si>
    <t>PhD Anatomy</t>
  </si>
  <si>
    <t>Masters of Management</t>
  </si>
  <si>
    <t>Genomic epidemiology and surveillance (Public Health)</t>
  </si>
  <si>
    <t>MSc (Medicine) in Biological Anthropology</t>
  </si>
  <si>
    <t>Integrated Cancer Control in Africa</t>
  </si>
  <si>
    <t>Masters of medicine in Biokinetics</t>
  </si>
  <si>
    <t>Master in Arts in Community-Based Counselling Psychology</t>
  </si>
  <si>
    <t>PhD in Audiovisual Communication</t>
  </si>
  <si>
    <t>Constitutional Law</t>
  </si>
  <si>
    <t>PhD Development Studies</t>
  </si>
  <si>
    <t>Master of science in Environmental sciences and Natural Resource Management</t>
  </si>
  <si>
    <t>Masters in History</t>
  </si>
  <si>
    <t>English Literary Studies</t>
  </si>
  <si>
    <t>Msc Geophysics</t>
  </si>
  <si>
    <t>Computer science</t>
  </si>
  <si>
    <t>Master of Science in Medicine (Pharmaceutical Affairs)</t>
  </si>
  <si>
    <t>School of Molecular and Cell Biology</t>
  </si>
  <si>
    <t>Masters degree in speech-language and hearing therapy</t>
  </si>
  <si>
    <t>DEd</t>
  </si>
  <si>
    <t>Bushveld Complex Drilling Project Phase 3 depth-specific groundwater sampling for water quality, stable water isotopes and radiogenic samples to determine age of groundwater.</t>
  </si>
  <si>
    <t>Natural and Agricultural Sciences</t>
  </si>
  <si>
    <t>Doctor of Philosophy in Development Studies</t>
  </si>
  <si>
    <t>Master of Arts in Research Psychology</t>
  </si>
  <si>
    <t>UNIVERSITY-  Doctor of Philosophy (Science)-Medicinal &amp; Organic Chemistry</t>
  </si>
  <si>
    <t>Post-Doctoral</t>
  </si>
  <si>
    <t>Master of Science in Power Engineering</t>
  </si>
  <si>
    <t>Theoretical Physics</t>
  </si>
  <si>
    <t>Robotics and autonomous vehicles</t>
  </si>
  <si>
    <t>Masters in Sustainable Agriculture</t>
  </si>
  <si>
    <t>Master of Arts by coursework and Research Report (Applied Drama: Theatre in Education, Communities and Social Contexts)</t>
  </si>
  <si>
    <t>English Masters</t>
  </si>
  <si>
    <t>PhD Population Studies</t>
  </si>
  <si>
    <t>PhD in Agronomy</t>
  </si>
  <si>
    <t>Masters in Philosophy</t>
  </si>
  <si>
    <t>Clinical Sciences and Immunology</t>
  </si>
  <si>
    <t>Master of Science in Medicine (by dissertation only)</t>
  </si>
  <si>
    <t>Doctorate of Philosophy (PhD) in Biological Anthropology (Upgraded Masters)</t>
  </si>
  <si>
    <t>PhD in Zoology</t>
  </si>
  <si>
    <t>Masters in Architecture</t>
  </si>
  <si>
    <t>Master's in Education</t>
  </si>
  <si>
    <t>PhD Engineering Management (Choice 1)</t>
  </si>
  <si>
    <t>Clinical Microbiology and Infectious Diseases</t>
  </si>
  <si>
    <t>Virology (study choice 1)</t>
  </si>
  <si>
    <t>Master in Computer Science with Data Science</t>
  </si>
  <si>
    <t>Executive Global MBA</t>
  </si>
  <si>
    <t>History: Visual History and Theory</t>
  </si>
  <si>
    <t>Post doctoral fellowship</t>
  </si>
  <si>
    <t>complete, duplicates</t>
  </si>
  <si>
    <t>Complete.</t>
  </si>
  <si>
    <t>Incomplete,2o/s ref (I can see they were trying to upload)</t>
  </si>
  <si>
    <t>Status check</t>
  </si>
  <si>
    <t>Not eligible - 2 references missing</t>
  </si>
  <si>
    <t>Incomplete - incomplete</t>
  </si>
  <si>
    <t>Physics</t>
  </si>
  <si>
    <t>Maths</t>
  </si>
  <si>
    <t>Internal review check</t>
  </si>
  <si>
    <t>Complete,</t>
  </si>
  <si>
    <t>Complete, in complete budget,</t>
  </si>
  <si>
    <t xml:space="preserve">Complete, </t>
  </si>
  <si>
    <t>Comps Sci / AI</t>
  </si>
  <si>
    <t>Masters In Strategic Management</t>
  </si>
  <si>
    <t>Completed</t>
  </si>
  <si>
    <t>Complete,2o/s ref (I can see they were trying to upload)</t>
  </si>
  <si>
    <t>Complete, no ID</t>
  </si>
  <si>
    <t>Complete, No ID</t>
  </si>
  <si>
    <t>Not eligible - Candidate uploaded letters directly</t>
  </si>
  <si>
    <t>Reviewer 2</t>
  </si>
  <si>
    <t>Edzai</t>
  </si>
  <si>
    <t>Nora</t>
  </si>
  <si>
    <t>Clint</t>
  </si>
  <si>
    <t>Daniel</t>
  </si>
  <si>
    <t>Matthew</t>
  </si>
  <si>
    <t>Abdul</t>
  </si>
  <si>
    <t>Katherine</t>
  </si>
  <si>
    <t>Mzamo</t>
  </si>
  <si>
    <t xml:space="preserve">Nabanita </t>
  </si>
  <si>
    <t>Reviewer 1</t>
  </si>
  <si>
    <t>Helena</t>
  </si>
  <si>
    <t>Shaun</t>
  </si>
  <si>
    <t>Ekaete</t>
  </si>
  <si>
    <t>Philippe</t>
  </si>
  <si>
    <t>Carolina</t>
  </si>
  <si>
    <t>Danie</t>
  </si>
  <si>
    <t>Alexander</t>
  </si>
  <si>
    <t>Susan</t>
  </si>
  <si>
    <t>Janine</t>
  </si>
  <si>
    <t>Maureen</t>
  </si>
  <si>
    <t>Mubeen</t>
  </si>
  <si>
    <t>Rupal</t>
  </si>
  <si>
    <t>Shaheen</t>
  </si>
  <si>
    <t>Gill</t>
  </si>
  <si>
    <t>Moses</t>
  </si>
  <si>
    <t>Raymond</t>
  </si>
  <si>
    <t>Shahidul</t>
  </si>
  <si>
    <t>Mandeep</t>
  </si>
  <si>
    <t>Zane</t>
  </si>
  <si>
    <t>Frasia</t>
  </si>
  <si>
    <t>Neil</t>
  </si>
  <si>
    <t>Demetra</t>
  </si>
  <si>
    <t>Abdullah</t>
  </si>
  <si>
    <t>Sandrine</t>
  </si>
  <si>
    <t>John</t>
  </si>
  <si>
    <t>Janetta</t>
  </si>
  <si>
    <t>Nicola</t>
  </si>
  <si>
    <t>Riffat</t>
  </si>
  <si>
    <t>Jaya</t>
  </si>
  <si>
    <t>Mary</t>
  </si>
  <si>
    <t>Reviewer 1 check</t>
  </si>
  <si>
    <t>Reviewer 2 check</t>
  </si>
  <si>
    <t>Under Review</t>
  </si>
  <si>
    <t>Abdul Mahomed</t>
  </si>
  <si>
    <t>Helena Barnard</t>
  </si>
  <si>
    <t>Mandeep Kaur</t>
  </si>
  <si>
    <t>Nicola Christofides</t>
  </si>
  <si>
    <t>Janetta Harbron</t>
  </si>
  <si>
    <t>Edzai Zvobwo</t>
  </si>
  <si>
    <t>Frasia Oosthuizen</t>
  </si>
  <si>
    <t>Abdullah Ely</t>
  </si>
  <si>
    <t>Puleng Segalo</t>
  </si>
  <si>
    <t>Carolina Meyer</t>
  </si>
  <si>
    <t>Alexander JOHNSON</t>
  </si>
  <si>
    <t>Jaya George</t>
  </si>
  <si>
    <t>Clint van Alten</t>
  </si>
  <si>
    <t>Md. Shahidul Islam</t>
  </si>
  <si>
    <t>Mubeen Goolam</t>
  </si>
  <si>
    <t>Janine Allen-Spies</t>
  </si>
  <si>
    <t>Rupal Jival</t>
  </si>
  <si>
    <t>Gill Nelson</t>
  </si>
  <si>
    <t>Katherine de Villiers</t>
  </si>
  <si>
    <t>Ekaete Benedict</t>
  </si>
  <si>
    <t>Mathew Moodley</t>
  </si>
  <si>
    <t>Martin</t>
  </si>
  <si>
    <t>Tuan</t>
  </si>
  <si>
    <t>Diederik</t>
  </si>
  <si>
    <t>Sanushka</t>
  </si>
  <si>
    <t>Almuth</t>
  </si>
  <si>
    <t>Neriman</t>
  </si>
  <si>
    <t>Chenaimoyo</t>
  </si>
  <si>
    <t>Francesca</t>
  </si>
  <si>
    <t>Andrea</t>
  </si>
  <si>
    <t>Themba</t>
  </si>
  <si>
    <t>Maryna</t>
  </si>
  <si>
    <t>Romano</t>
  </si>
  <si>
    <t>Cobus</t>
  </si>
  <si>
    <t>Michelle</t>
  </si>
  <si>
    <t>Sindiso</t>
  </si>
  <si>
    <t>Martin Clark</t>
  </si>
  <si>
    <t>Shanuska</t>
  </si>
  <si>
    <t>Markus</t>
  </si>
  <si>
    <t>Diederik Opperman</t>
  </si>
  <si>
    <t>Maryna de Wit</t>
  </si>
  <si>
    <t>Almuth Hammerbacher</t>
  </si>
  <si>
    <t>Chenaimoyo Katiyatiya</t>
  </si>
  <si>
    <t>Cobus Meyer Visagie</t>
  </si>
  <si>
    <t>Andrea Fuller</t>
  </si>
  <si>
    <t>Martin Coetzee</t>
  </si>
  <si>
    <t>Markus Wilken</t>
  </si>
  <si>
    <t>Puleng</t>
  </si>
  <si>
    <t>Wahbie</t>
  </si>
  <si>
    <t>Lucy</t>
  </si>
  <si>
    <t>Oliver</t>
  </si>
  <si>
    <t>Badri</t>
  </si>
  <si>
    <t>Johann</t>
  </si>
  <si>
    <t>Sam</t>
  </si>
  <si>
    <t>Srila</t>
  </si>
  <si>
    <t>David</t>
  </si>
  <si>
    <t>Jessica</t>
  </si>
  <si>
    <t>Dina</t>
  </si>
  <si>
    <t>Chimwemwe</t>
  </si>
  <si>
    <t>Khwezi</t>
  </si>
  <si>
    <t>Robert</t>
  </si>
  <si>
    <t>Lindy</t>
  </si>
  <si>
    <t>Nonki</t>
  </si>
  <si>
    <t>Brian</t>
  </si>
  <si>
    <t>Annie</t>
  </si>
  <si>
    <t>David Johnson</t>
  </si>
  <si>
    <t>Mwenya</t>
  </si>
  <si>
    <t>Finzi</t>
  </si>
  <si>
    <t>Pieter</t>
  </si>
  <si>
    <t>Lesedi</t>
  </si>
  <si>
    <t>Khwezi Mkhize</t>
  </si>
  <si>
    <t>Finzi Saidi</t>
  </si>
  <si>
    <t>Annie Devenish</t>
  </si>
  <si>
    <t>Mwenya Kabwe</t>
  </si>
  <si>
    <t>Badri Zolfaghari</t>
  </si>
  <si>
    <t>Chimwemwe Phiri</t>
  </si>
  <si>
    <t>Sam Kariuki</t>
  </si>
  <si>
    <t>Oliver Nyambi</t>
  </si>
  <si>
    <t>Lesedi Masisi</t>
  </si>
  <si>
    <t>David Medalie</t>
  </si>
  <si>
    <t>Brian Sibanda</t>
  </si>
  <si>
    <t>Pieter Pistorius</t>
  </si>
  <si>
    <t>Carin</t>
  </si>
  <si>
    <t>Robert Peacock</t>
  </si>
  <si>
    <t>Shaun Ruggunan</t>
  </si>
  <si>
    <t>Zane Lombard</t>
  </si>
  <si>
    <t>Riffat Munir</t>
  </si>
  <si>
    <t>Carin Brown</t>
  </si>
  <si>
    <t>John Pettifor</t>
  </si>
  <si>
    <t>Nora Alexeeva</t>
  </si>
  <si>
    <t>Neil Coville</t>
  </si>
  <si>
    <t>Romano Lottering</t>
  </si>
  <si>
    <t>Mbongeni Mtshali</t>
  </si>
  <si>
    <t>Neriman Yilmaz</t>
  </si>
  <si>
    <t>Sindiso Chamane</t>
  </si>
  <si>
    <t>Demetra Mavri-Damelin</t>
  </si>
  <si>
    <t>Francesca Parrini</t>
  </si>
  <si>
    <t>Dina Ligaga</t>
  </si>
  <si>
    <t>Wahbie Long</t>
  </si>
  <si>
    <t>Lindy Stiebel</t>
  </si>
  <si>
    <t>Danie Visser</t>
  </si>
  <si>
    <t>Srila Roy</t>
  </si>
  <si>
    <t>Mary Kawonga</t>
  </si>
  <si>
    <t>Michelle Greve</t>
  </si>
  <si>
    <t>Daniel Ramotsoela</t>
  </si>
  <si>
    <t>Themba Mahlaba</t>
  </si>
  <si>
    <t>Tuan Duong</t>
  </si>
  <si>
    <t>Nabanita Chatterjee</t>
  </si>
  <si>
    <t>Raymond Hewer</t>
  </si>
  <si>
    <t>Sandrine Lecour</t>
  </si>
  <si>
    <t>Maureen De Jager</t>
  </si>
  <si>
    <t>Shaheen Mowla</t>
  </si>
  <si>
    <t>Moses Alobo</t>
  </si>
  <si>
    <t>Philippe Burger</t>
  </si>
  <si>
    <t>Mzamo Shozi</t>
  </si>
  <si>
    <t>Lucy Graham</t>
  </si>
  <si>
    <t>Sanushka Naidoo</t>
  </si>
  <si>
    <t>Johan Hattingh</t>
  </si>
  <si>
    <t>Nonki Motahane</t>
  </si>
  <si>
    <t>Mbongeni</t>
  </si>
  <si>
    <t>Score 1</t>
  </si>
  <si>
    <t>Score 2</t>
  </si>
  <si>
    <t>Rank 1</t>
  </si>
  <si>
    <t>Rank 2</t>
  </si>
  <si>
    <t>Sam K</t>
  </si>
  <si>
    <t xml:space="preserve">Oliver </t>
  </si>
  <si>
    <t>David J</t>
  </si>
  <si>
    <t>Johan</t>
  </si>
  <si>
    <t>Dr Musa-Duke Nkuna</t>
  </si>
  <si>
    <t>Average score</t>
  </si>
  <si>
    <t>Total rank</t>
  </si>
  <si>
    <t>Initial shortlist</t>
  </si>
  <si>
    <t>Sum of Year 1</t>
  </si>
  <si>
    <t>Sum of Year 2</t>
  </si>
  <si>
    <t>Sum of Year 3</t>
  </si>
  <si>
    <t>Yes</t>
  </si>
  <si>
    <t>Shortlist 2 (80 and 8)</t>
  </si>
  <si>
    <t>No</t>
  </si>
  <si>
    <t>Budget limit 1</t>
  </si>
  <si>
    <t>Budget limit 2</t>
  </si>
  <si>
    <t>Budget limit 3</t>
  </si>
  <si>
    <t>Final shortlist</t>
  </si>
  <si>
    <t>Sum of Budget limit 1</t>
  </si>
  <si>
    <t>Sum of Budget limit 2</t>
  </si>
  <si>
    <t>Sum of Budget limit 3</t>
  </si>
  <si>
    <t>Count of Primary Contact</t>
  </si>
  <si>
    <t>Faculty</t>
  </si>
  <si>
    <t>Submission Manager - Grants - Bailey Filter</t>
  </si>
  <si>
    <t>OMT INTERNAL REVIEW (HOW WE MANAGE INTERNALLY)</t>
  </si>
  <si>
    <t>Draft</t>
  </si>
  <si>
    <t>SUBMISSION MANAGER (ACTIVITIES) BAILEY - START DATE, TOPIC, INSTITUTION, BUDGET, DURATION FILTER</t>
  </si>
  <si>
    <t>Not eligible - application incomplete</t>
  </si>
  <si>
    <t>Not eligible - Application incomplete</t>
  </si>
  <si>
    <t>ORIGINAL FACULTY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</si>
</sst>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s>
  <fonts count="9" x14ac:knownFonts="1">
    <font>
      <sz val="10"/>
      <name val="Arial"/>
    </font>
    <font>
      <sz val="10"/>
      <name val="Arial"/>
      <family val="2"/>
    </font>
    <font>
      <sz val="10"/>
      <name val="Avenir Next LT Pro"/>
      <family val="2"/>
    </font>
    <font>
      <b/>
      <sz val="10"/>
      <name val="Avenir Next LT Pro"/>
      <family val="2"/>
    </font>
    <font>
      <sz val="8"/>
      <name val="Arial"/>
      <family val="2"/>
    </font>
    <font>
      <u/>
      <sz val="10"/>
      <color theme="10"/>
      <name val="Arial"/>
      <family val="2"/>
    </font>
    <font>
      <sz val="9"/>
      <color indexed="81"/>
      <name val="Tahoma"/>
      <family val="2"/>
    </font>
    <font>
      <b/>
      <sz val="9"/>
      <color indexed="81"/>
      <name val="Tahoma"/>
      <family val="2"/>
    </font>
    <font>
      <b/>
      <sz val="10"/>
      <color theme="0"/>
      <name val="Avenir Next LT Pro"/>
      <family val="2"/>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8" tint="-0.249977111117893"/>
        <bgColor indexed="64"/>
      </patternFill>
    </fill>
    <fill>
      <patternFill patternType="solid">
        <fgColor theme="7"/>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249977111117893"/>
        <bgColor indexed="64"/>
      </patternFill>
    </fill>
    <fill>
      <patternFill patternType="solid">
        <fgColor rgb="FF002060"/>
        <bgColor indexed="64"/>
      </patternFill>
    </fill>
    <fill>
      <patternFill patternType="solid">
        <fgColor theme="1" tint="0.499984740745262"/>
        <bgColor indexed="64"/>
      </patternFill>
    </fill>
    <fill>
      <patternFill patternType="solid">
        <fgColor theme="5" tint="-0.249977111117893"/>
        <bgColor indexed="64"/>
      </patternFill>
    </fill>
  </fills>
  <borders count="1">
    <border>
      <left/>
      <right/>
      <top/>
      <bottom/>
      <diagonal/>
    </border>
  </borders>
  <cellStyleXfs count="9">
    <xf numFmtId="0" fontId="0" fillId="0" borderId="0"/>
    <xf numFmtId="167"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cellStyleXfs>
  <cellXfs count="48">
    <xf numFmtId="0" fontId="0" fillId="0" borderId="0" xfId="0"/>
    <xf numFmtId="0" fontId="2" fillId="0" borderId="0" xfId="0" applyFont="1"/>
    <xf numFmtId="0" fontId="2" fillId="2" borderId="0" xfId="0" applyFont="1" applyFill="1"/>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0" xfId="0" applyFont="1" applyFill="1"/>
    <xf numFmtId="14" fontId="2" fillId="0" borderId="0" xfId="0" applyNumberFormat="1" applyFont="1"/>
    <xf numFmtId="14" fontId="2" fillId="2" borderId="0" xfId="0" applyNumberFormat="1" applyFont="1" applyFill="1"/>
    <xf numFmtId="0" fontId="2" fillId="4" borderId="0" xfId="0" applyFont="1" applyFill="1"/>
    <xf numFmtId="0" fontId="2" fillId="5" borderId="0" xfId="0" applyFont="1" applyFill="1"/>
    <xf numFmtId="0" fontId="5" fillId="0" borderId="0" xfId="6"/>
    <xf numFmtId="0" fontId="5" fillId="0" borderId="0" xfId="6" applyFill="1"/>
    <xf numFmtId="0" fontId="2" fillId="6" borderId="0" xfId="0" applyFont="1" applyFill="1"/>
    <xf numFmtId="0" fontId="2" fillId="7" borderId="0" xfId="0" applyFont="1" applyFill="1"/>
    <xf numFmtId="9" fontId="0" fillId="0" borderId="0" xfId="5" applyFont="1"/>
    <xf numFmtId="0" fontId="2" fillId="8" borderId="0" xfId="0" applyFont="1" applyFill="1"/>
    <xf numFmtId="0" fontId="2" fillId="9" borderId="0" xfId="0" applyFont="1" applyFill="1"/>
    <xf numFmtId="0" fontId="2" fillId="10" borderId="0" xfId="0" applyFont="1" applyFill="1"/>
    <xf numFmtId="0" fontId="2" fillId="11" borderId="0" xfId="0" applyFont="1" applyFill="1"/>
    <xf numFmtId="0" fontId="3" fillId="12" borderId="0" xfId="0" applyFont="1" applyFill="1"/>
    <xf numFmtId="0" fontId="2" fillId="12" borderId="0" xfId="0" applyFont="1" applyFill="1"/>
    <xf numFmtId="14" fontId="2" fillId="3" borderId="0" xfId="0" applyNumberFormat="1" applyFont="1" applyFill="1"/>
    <xf numFmtId="167" fontId="0" fillId="0" borderId="0" xfId="1" applyFont="1"/>
    <xf numFmtId="0" fontId="2" fillId="14" borderId="0" xfId="0" applyFont="1" applyFill="1"/>
    <xf numFmtId="167" fontId="3" fillId="0" borderId="0" xfId="1" applyFont="1"/>
    <xf numFmtId="167" fontId="2" fillId="0" borderId="0" xfId="1" applyFont="1"/>
    <xf numFmtId="167" fontId="2" fillId="3" borderId="0" xfId="1" applyFont="1" applyFill="1"/>
    <xf numFmtId="167" fontId="2" fillId="2" borderId="0" xfId="1" applyFont="1" applyFill="1"/>
    <xf numFmtId="167" fontId="2" fillId="0" borderId="0" xfId="1" applyFont="1" applyAlignment="1">
      <alignment wrapText="1"/>
    </xf>
    <xf numFmtId="167" fontId="2" fillId="2" borderId="0" xfId="1" applyFont="1" applyFill="1" applyAlignment="1">
      <alignment wrapText="1"/>
    </xf>
    <xf numFmtId="167" fontId="3" fillId="12" borderId="0" xfId="1" applyFont="1" applyFill="1"/>
    <xf numFmtId="167" fontId="2" fillId="12" borderId="0" xfId="1" applyFont="1" applyFill="1"/>
    <xf numFmtId="167" fontId="3" fillId="0" borderId="0" xfId="1" applyFont="1" applyFill="1"/>
    <xf numFmtId="167" fontId="2" fillId="3" borderId="0" xfId="1" applyFont="1" applyFill="1" applyAlignment="1">
      <alignment wrapText="1"/>
    </xf>
    <xf numFmtId="167" fontId="0" fillId="0" borderId="0" xfId="0" applyNumberFormat="1"/>
    <xf numFmtId="0" fontId="8" fillId="15" borderId="0" xfId="0" applyFont="1" applyFill="1" applyAlignment="1">
      <alignment horizontal="center"/>
    </xf>
    <xf numFmtId="0" fontId="8" fillId="16" borderId="0" xfId="0" applyFont="1" applyFill="1" applyAlignment="1">
      <alignment horizontal="center"/>
    </xf>
    <xf numFmtId="0" fontId="2" fillId="0" borderId="0" xfId="0" pivotButton="1" applyFont="1"/>
    <xf numFmtId="0" fontId="2" fillId="0" borderId="0" xfId="0" applyFont="1" applyAlignment="1">
      <alignment horizontal="left"/>
    </xf>
    <xf numFmtId="0" fontId="2" fillId="0" borderId="0" xfId="0" applyNumberFormat="1" applyFont="1"/>
    <xf numFmtId="0" fontId="2" fillId="0" borderId="0" xfId="0" applyFont="1" applyAlignment="1">
      <alignment horizontal="left" indent="1"/>
    </xf>
    <xf numFmtId="0" fontId="2" fillId="13" borderId="0" xfId="0" applyFont="1" applyFill="1" applyAlignment="1">
      <alignment horizontal="left"/>
    </xf>
    <xf numFmtId="0" fontId="2" fillId="13" borderId="0" xfId="0" applyNumberFormat="1" applyFont="1" applyFill="1"/>
    <xf numFmtId="9" fontId="2" fillId="0" borderId="0" xfId="5" applyFont="1"/>
    <xf numFmtId="0" fontId="8" fillId="17" borderId="0" xfId="0" applyFont="1" applyFill="1" applyAlignment="1">
      <alignment horizontal="center"/>
    </xf>
    <xf numFmtId="0" fontId="8" fillId="17" borderId="0" xfId="0" applyFont="1" applyFill="1"/>
  </cellXfs>
  <cellStyles count="9">
    <cellStyle name="Comma" xfId="1" xr:uid="{00000000-0005-0000-0000-000001000000}"/>
    <cellStyle name="Comma [0]" xfId="2" xr:uid="{00000000-0005-0000-0000-000002000000}"/>
    <cellStyle name="Comma 2" xfId="8" xr:uid="{FE75A1DE-8763-4505-81F0-924B72C7A3F1}"/>
    <cellStyle name="Currency" xfId="3" xr:uid="{00000000-0005-0000-0000-000003000000}"/>
    <cellStyle name="Currency [0]" xfId="4" xr:uid="{00000000-0005-0000-0000-000004000000}"/>
    <cellStyle name="Hyperlink" xfId="6" builtinId="8"/>
    <cellStyle name="Normal" xfId="0" builtinId="0"/>
    <cellStyle name="Normal 2" xfId="7" xr:uid="{6A077586-1CEE-42EE-BCDD-D1E839221537}"/>
    <cellStyle name="Percent" xfId="5" xr:uid="{00000000-0005-0000-0000-000005000000}"/>
  </cellStyles>
  <dxfs count="428">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ill>
        <patternFill patternType="solid">
          <bgColor rgb="FFFFFF0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color rgb="FF9C0006"/>
      </font>
      <fill>
        <patternFill>
          <bgColor rgb="FFFFC7CE"/>
        </patternFill>
      </fill>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ill>
        <patternFill patternType="solid">
          <bgColor rgb="FFFFFF0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ill>
        <patternFill patternType="solid">
          <bgColor rgb="FFFFFF0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b val="0"/>
        <i val="0"/>
        <strike val="0"/>
        <condense val="0"/>
        <extend val="0"/>
        <outline val="0"/>
        <shadow val="0"/>
        <u val="none"/>
        <vertAlign val="baseline"/>
        <sz val="10"/>
        <color auto="1"/>
        <name val="Avenir Next LT Pro"/>
        <family val="2"/>
        <scheme val="none"/>
      </font>
      <numFmt numFmtId="0" formatCode="General"/>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ill>
        <patternFill patternType="solid">
          <bgColor rgb="FFFFFF0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ill>
        <patternFill patternType="solid">
          <bgColor rgb="FFFFFF0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b val="0"/>
        <i val="0"/>
        <strike val="0"/>
        <condense val="0"/>
        <extend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167" formatCode="_(* #,##0.00_);_(* \(#,##0.00\);_(* &quot;-&quot;??_);_(@_)"/>
    </dxf>
    <dxf>
      <font>
        <b val="0"/>
        <i val="0"/>
        <strike val="0"/>
        <condense val="0"/>
        <extend val="0"/>
        <outline val="0"/>
        <shadow val="0"/>
        <u val="none"/>
        <vertAlign val="baseline"/>
        <sz val="10"/>
        <color auto="1"/>
        <name val="Avenir Next LT Pro"/>
        <family val="2"/>
        <scheme val="none"/>
      </font>
      <numFmt numFmtId="167" formatCode="_(* #,##0.00_);_(* \(#,##0.00\);_(* &quot;-&quot;??_);_(@_)"/>
    </dxf>
    <dxf>
      <font>
        <b val="0"/>
        <i val="0"/>
        <strike val="0"/>
        <condense val="0"/>
        <extend val="0"/>
        <outline val="0"/>
        <shadow val="0"/>
        <u val="none"/>
        <vertAlign val="baseline"/>
        <sz val="10"/>
        <color auto="1"/>
        <name val="Avenir Next LT Pro"/>
        <family val="2"/>
        <scheme val="none"/>
      </font>
      <numFmt numFmtId="167" formatCode="_(* #,##0.00_);_(* \(#,##0.00\);_(* &quot;-&quot;??_);_(@_)"/>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fill>
        <patternFill patternType="none">
          <fgColor indexed="64"/>
          <bgColor indexed="65"/>
        </patternFill>
      </fill>
    </dxf>
    <dxf>
      <font>
        <b val="0"/>
        <i val="0"/>
        <strike val="0"/>
        <condense val="0"/>
        <extend val="0"/>
        <outline val="0"/>
        <shadow val="0"/>
        <u val="none"/>
        <vertAlign val="baseline"/>
        <sz val="10"/>
        <color auto="1"/>
        <name val="Avenir Next LT Pro"/>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venir Next LT Pro"/>
        <family val="2"/>
        <scheme val="none"/>
      </font>
      <numFmt numFmtId="0" formatCode="General"/>
      <fill>
        <patternFill patternType="none">
          <fgColor indexed="64"/>
          <bgColor auto="1"/>
        </patternFill>
      </fill>
    </dxf>
    <dxf>
      <font>
        <b val="0"/>
        <i val="0"/>
        <strike val="0"/>
        <condense val="0"/>
        <extend val="0"/>
        <outline val="0"/>
        <shadow val="0"/>
        <u val="none"/>
        <vertAlign val="baseline"/>
        <sz val="10"/>
        <color auto="1"/>
        <name val="Avenir Next LT Pro"/>
        <family val="2"/>
        <scheme val="none"/>
      </font>
      <numFmt numFmtId="0" formatCode="General"/>
      <fill>
        <patternFill patternType="solid">
          <fgColor indexed="64"/>
          <bgColor theme="9" tint="0.79998168889431442"/>
        </patternFill>
      </fil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167" formatCode="_(* #,##0.00_);_(* \(#,##0.00\);_(* &quot;-&quot;??_);_(@_)"/>
      <fill>
        <patternFill patternType="solid">
          <fgColor indexed="64"/>
          <bgColor theme="9" tint="0.79998168889431442"/>
        </patternFill>
      </fill>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fill>
        <patternFill patternType="none">
          <fgColor indexed="64"/>
          <bgColor auto="1"/>
        </patternFill>
      </fill>
    </dxf>
    <dxf>
      <font>
        <b val="0"/>
        <i val="0"/>
        <strike val="0"/>
        <condense val="0"/>
        <extend val="0"/>
        <outline val="0"/>
        <shadow val="0"/>
        <u val="none"/>
        <vertAlign val="baseline"/>
        <sz val="10"/>
        <color auto="1"/>
        <name val="Avenir Next LT Pro"/>
        <family val="2"/>
        <scheme val="none"/>
      </font>
      <fill>
        <patternFill patternType="none">
          <fgColor indexed="64"/>
          <bgColor auto="1"/>
        </patternFill>
      </fill>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fill>
        <patternFill patternType="none">
          <fgColor indexed="64"/>
          <bgColor auto="1"/>
        </patternFill>
      </fill>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dxf>
    <dxf>
      <font>
        <strike val="0"/>
        <outline val="0"/>
        <shadow val="0"/>
        <u val="none"/>
        <vertAlign val="baseline"/>
        <sz val="10"/>
        <color auto="1"/>
        <name val="Avenir Next LT Pro"/>
        <family val="2"/>
        <scheme val="none"/>
      </font>
      <fill>
        <patternFill>
          <fgColor indexed="64"/>
          <bgColor theme="9" tint="0.79998168889431442"/>
        </patternFill>
      </fill>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fill>
        <patternFill patternType="none">
          <fgColor indexed="64"/>
          <bgColor auto="1"/>
        </patternFill>
      </fill>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fill>
        <patternFill>
          <fgColor indexed="64"/>
          <bgColor theme="9" tint="0.79998168889431442"/>
        </patternFill>
      </fill>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strike val="0"/>
        <outline val="0"/>
        <shadow val="0"/>
        <u val="none"/>
        <vertAlign val="baseline"/>
        <sz val="10"/>
        <color auto="1"/>
        <name val="Avenir Next LT Pro"/>
        <family val="2"/>
        <scheme val="none"/>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iley Corder" refreshedDate="45943.539718055552" createdVersion="8" refreshedVersion="8" minRefreshableVersion="3" recordCount="669" xr:uid="{AB8A82FB-74C8-46C5-9DF5-F4AFEC80413C}">
  <cacheSource type="worksheet">
    <worksheetSource name="Table13"/>
  </cacheSource>
  <cacheFields count="40">
    <cacheField name="Feedback date" numFmtId="0">
      <sharedItems/>
    </cacheField>
    <cacheField name="Application ID" numFmtId="0">
      <sharedItems/>
    </cacheField>
    <cacheField name="Application Type" numFmtId="0">
      <sharedItems/>
    </cacheField>
    <cacheField name="Primary Contact" numFmtId="0">
      <sharedItems/>
    </cacheField>
    <cacheField name="Email" numFmtId="0">
      <sharedItems containsBlank="1"/>
    </cacheField>
    <cacheField name="Status" numFmtId="0">
      <sharedItems/>
    </cacheField>
    <cacheField name="Status check" numFmtId="0">
      <sharedItems/>
    </cacheField>
    <cacheField name="What do you need funding for?" numFmtId="0">
      <sharedItems count="4">
        <s v="Masters"/>
        <s v="Postdoctoral"/>
        <s v="Doctoral"/>
        <s v="Sabbatical"/>
      </sharedItems>
    </cacheField>
    <cacheField name="Ethnicity" numFmtId="0">
      <sharedItems count="7">
        <s v="Black"/>
        <s v="White"/>
        <s v="Coloured"/>
        <s v="Other"/>
        <s v="Indian"/>
        <s v="Prefer not to say"/>
        <s v="Asian"/>
      </sharedItems>
    </cacheField>
    <cacheField name="Gender" numFmtId="0">
      <sharedItems count="3">
        <s v="Male"/>
        <s v="Female"/>
        <s v="Non-binary"/>
      </sharedItems>
    </cacheField>
    <cacheField name="Institution" numFmtId="0">
      <sharedItems count="2">
        <s v="Local"/>
        <s v="International"/>
      </sharedItems>
    </cacheField>
    <cacheField name="Reviewer" numFmtId="0">
      <sharedItems/>
    </cacheField>
    <cacheField name="Comment" numFmtId="0">
      <sharedItems/>
    </cacheField>
    <cacheField name="Internal review check" numFmtId="0">
      <sharedItems/>
    </cacheField>
    <cacheField name="Faculty" numFmtId="0">
      <sharedItems count="9">
        <s v="Applied Sciences"/>
        <s v="Humanities"/>
        <s v="Commerce &amp; Management"/>
        <s v="Natural Sciences"/>
        <s v="Health Sciences"/>
        <s v="Engineering &amp; the Built Environment"/>
        <s v="Social Sciences"/>
        <s v="Performing &amp; Creative Arts"/>
        <s v="Law"/>
      </sharedItems>
    </cacheField>
    <cacheField name="Please indicate the institution you have applied to" numFmtId="0">
      <sharedItems/>
    </cacheField>
    <cacheField name="Study choice" numFmtId="0">
      <sharedItems longText="1"/>
    </cacheField>
    <cacheField name="Please indicate the topic related to your study" numFmtId="0">
      <sharedItems longText="1"/>
    </cacheField>
    <cacheField name="Reviewer 1" numFmtId="0">
      <sharedItems/>
    </cacheField>
    <cacheField name="Reviewer 2" numFmtId="0">
      <sharedItems/>
    </cacheField>
    <cacheField name="Reviewer 1 check" numFmtId="0">
      <sharedItems/>
    </cacheField>
    <cacheField name="Reviewer 2 check" numFmtId="0">
      <sharedItems/>
    </cacheField>
    <cacheField name="Score 1" numFmtId="167">
      <sharedItems containsSemiMixedTypes="0" containsString="0" containsNumber="1" minValue="30.555555555555557" maxValue="100"/>
    </cacheField>
    <cacheField name="Score 2" numFmtId="167">
      <sharedItems containsSemiMixedTypes="0" containsString="0" containsNumber="1" minValue="28.571428571428569" maxValue="100"/>
    </cacheField>
    <cacheField name="Average score" numFmtId="167">
      <sharedItems containsSemiMixedTypes="0" containsString="0" containsNumber="1" minValue="44.642857142857139" maxValue="100"/>
    </cacheField>
    <cacheField name="Rank 1" numFmtId="0">
      <sharedItems containsSemiMixedTypes="0" containsString="0" containsNumber="1" containsInteger="1" minValue="1" maxValue="5"/>
    </cacheField>
    <cacheField name="Rank 2" numFmtId="0">
      <sharedItems containsSemiMixedTypes="0" containsString="0" containsNumber="1" containsInteger="1" minValue="1" maxValue="5"/>
    </cacheField>
    <cacheField name="Total rank" numFmtId="0">
      <sharedItems containsSemiMixedTypes="0" containsString="0" containsNumber="1" containsInteger="1" minValue="2" maxValue="10"/>
    </cacheField>
    <cacheField name="Initial shortlist" numFmtId="0">
      <sharedItems count="2">
        <s v="No"/>
        <s v="Yes"/>
      </sharedItems>
    </cacheField>
    <cacheField name="Shortlist 2 (80 and 8)" numFmtId="0">
      <sharedItems count="2">
        <s v="No"/>
        <s v="Yes"/>
      </sharedItems>
    </cacheField>
    <cacheField name="Final shortlist" numFmtId="0">
      <sharedItems containsBlank="1" count="3">
        <m/>
        <s v="Yes"/>
        <s v="No"/>
      </sharedItems>
    </cacheField>
    <cacheField name="Start date" numFmtId="14">
      <sharedItems containsSemiMixedTypes="0" containsNonDate="0" containsDate="1" containsString="0" minDate="2006-01-30T00:00:00" maxDate="2026-10-06T00:00:00"/>
    </cacheField>
    <cacheField name="Duration" numFmtId="0">
      <sharedItems containsSemiMixedTypes="0" containsString="0" containsNumber="1" containsInteger="1" minValue="1" maxValue="3"/>
    </cacheField>
    <cacheField name="Year 1" numFmtId="167">
      <sharedItems containsSemiMixedTypes="0" containsString="0" containsNumber="1" minValue="-430000" maxValue="2306113.14"/>
    </cacheField>
    <cacheField name="Year 2" numFmtId="167">
      <sharedItems containsSemiMixedTypes="0" containsString="0" containsNumber="1" minValue="-444000" maxValue="2197000"/>
    </cacheField>
    <cacheField name="Year 3" numFmtId="167">
      <sharedItems containsSemiMixedTypes="0" containsString="0" containsNumber="1" minValue="-284000" maxValue="2450500"/>
    </cacheField>
    <cacheField name="Budget limit 1" numFmtId="167">
      <sharedItems containsSemiMixedTypes="0" containsString="0" containsNumber="1" minValue="-430000" maxValue="1656656.4"/>
    </cacheField>
    <cacheField name="Budget limit 2" numFmtId="167">
      <sharedItems containsSemiMixedTypes="0" containsString="0" containsNumber="1" minValue="-444000" maxValue="1008000"/>
    </cacheField>
    <cacheField name="Budget limit 3" numFmtId="167">
      <sharedItems containsSemiMixedTypes="0" containsString="0" containsNumber="1" minValue="-284000" maxValue="1168000"/>
    </cacheField>
    <cacheField name="Reference letter check"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iley Corder" refreshedDate="45988.673162500003" createdVersion="8" refreshedVersion="8" minRefreshableVersion="3" recordCount="951" xr:uid="{6AF7B1B8-D795-45C5-B5FC-7C8B57BA56E6}">
  <cacheSource type="worksheet">
    <worksheetSource name="Table1"/>
  </cacheSource>
  <cacheFields count="23">
    <cacheField name="Feedback date" numFmtId="0">
      <sharedItems/>
    </cacheField>
    <cacheField name="Application ID" numFmtId="0">
      <sharedItems/>
    </cacheField>
    <cacheField name="Application Type" numFmtId="0">
      <sharedItems/>
    </cacheField>
    <cacheField name="Primary Contact" numFmtId="0">
      <sharedItems/>
    </cacheField>
    <cacheField name="Email" numFmtId="0">
      <sharedItems containsBlank="1"/>
    </cacheField>
    <cacheField name="Status" numFmtId="0">
      <sharedItems containsBlank="1" count="7">
        <s v="Under Review"/>
        <s v="Not Eligible"/>
        <s v="Discarded"/>
        <s v="Submitted"/>
        <s v="Revisions Requested"/>
        <s v="Draft" u="1"/>
        <m u="1"/>
      </sharedItems>
    </cacheField>
    <cacheField name="What do you need funding for?" numFmtId="0">
      <sharedItems containsBlank="1" count="6">
        <s v="Masters"/>
        <s v="Doctoral"/>
        <s v="Postdoctoral"/>
        <s v="Sabbatical"/>
        <e v="#N/A" u="1"/>
        <m u="1"/>
      </sharedItems>
    </cacheField>
    <cacheField name="Ethnicity" numFmtId="0">
      <sharedItems containsBlank="1" count="8">
        <s v="Black"/>
        <s v="White"/>
        <s v="Coloured"/>
        <s v="Other"/>
        <s v="Indian"/>
        <s v="Prefer not to say"/>
        <s v="Asian"/>
        <m u="1"/>
      </sharedItems>
    </cacheField>
    <cacheField name="Gender" numFmtId="0">
      <sharedItems containsBlank="1" count="4">
        <s v="Male"/>
        <s v="Female"/>
        <s v="Non-binary"/>
        <m u="1"/>
      </sharedItems>
    </cacheField>
    <cacheField name="Institution" numFmtId="0">
      <sharedItems containsBlank="1" count="3">
        <s v="Local"/>
        <s v="International"/>
        <m u="1"/>
      </sharedItems>
    </cacheField>
    <cacheField name="Please indicate the faculty related to your application" numFmtId="0">
      <sharedItems containsBlank="1" count="12">
        <s v="Applied Sciences"/>
        <s v="Engineering &amp; the Built Environment"/>
        <s v="Humanities"/>
        <s v="Performing &amp; Creative Arts"/>
        <s v="Commerce &amp; Management"/>
        <s v="Natural Sciences"/>
        <s v="Social Sciences"/>
        <s v="Law"/>
        <s v="Health Sciences"/>
        <s v="Other"/>
        <e v="#N/A" u="1"/>
        <m u="1"/>
      </sharedItems>
    </cacheField>
    <cacheField name="ORIGINAL FACULTY" numFmtId="0">
      <sharedItems/>
    </cacheField>
    <cacheField name="Reviewer" numFmtId="0">
      <sharedItems/>
    </cacheField>
    <cacheField name="Comment" numFmtId="0">
      <sharedItems containsBlank="1" count="62">
        <s v="Complete"/>
        <s v="Not eligible - no reference letters"/>
        <s v="Not eligible - 1 reference missing, budget not updated"/>
        <s v="Not eligible - 2 references missing, budget not updated"/>
        <s v="Incomplete Budget not corrected"/>
        <s v="Not eligible - 2 references missing"/>
        <s v="Not eligible - Application incomplete"/>
        <s v="Incomplete, 1o/s Reference, budget not corrected"/>
        <s v="Incomplete"/>
        <s v="Incomplete, budget not corrected, no degree"/>
        <s v="Complete, No degree copy"/>
        <s v="Incomplete, 1o/s ref, no degree"/>
        <s v="Incomplete - incomplete"/>
        <s v="Incomplete, budget not corrected"/>
        <s v="Complete,1o/s ref"/>
        <s v="Not eligible - late"/>
        <s v="Complete,"/>
        <s v="Complete, budget not corrected"/>
        <s v="Not eligible - topic N/A"/>
        <s v="Incomplete, 1o/s ref"/>
        <s v="Complete,1o/s ref, no transcript"/>
        <s v="Complete, 1o/s ref"/>
        <s v="Complete, negative budget"/>
        <s v="budget issue,academic issue, 1 ref o/s"/>
        <s v="Complete, incomplete budget"/>
        <s v="Incomplete, 2o/s ref"/>
        <s v="Complete, no degree copy, 1o/s ref"/>
        <s v="Complete, in complete budget,"/>
        <s v="Not eligible - Candidate uploaded letters directly"/>
        <s v="Complete, "/>
        <s v="Complete, check budget"/>
        <s v="Complete, educational trans formatted,incomplete budget"/>
        <s v="Complete "/>
        <s v="Incomplete, 2 O/s Refs, Start date 19/08/2025"/>
        <s v="Complete,ID not uploaded under the personal info tab"/>
        <m/>
        <s v="Not eligible - 2 reference o/s and no degree"/>
        <s v="Complete,duplicates"/>
        <s v="Incomplete,2o/s ref (I can see they were trying to upload)"/>
        <s v="complete, duplicares"/>
        <s v="Complete, duplicates"/>
        <s v="Complete."/>
        <s v="Incomplete, Check budget format"/>
        <s v="Not Eligible - Honours "/>
        <s v="Complete, check start date"/>
        <s v="Complete ,Drafts"/>
        <s v="Complete Choice of Study Master's of Management"/>
        <s v="Complete Drafts"/>
        <s v="Complete Drats"/>
        <s v="Complete No ID"/>
        <s v="Complete Drafts: Choice of study  Master's in History"/>
        <s v="Complete Draft"/>
        <s v="Not Eligible"/>
        <s v="Complete Candidate uploaded letters directly"/>
        <s v="Complete Drats,"/>
        <s v="Not eligible - incomplete" u="1"/>
        <s v="Not Eligible - No Study Choice, No Budget" u="1"/>
        <s v="No topic" u="1"/>
        <s v="Incomplete, No ID" u="1"/>
        <s v="Complete,1o/s ref, no academic transcript (we don't certified copy)" u="1"/>
        <s v="Complete,1o/s ref,edu trans formatted" u="1"/>
        <s v="Complete,1o/s ref,no educational transcript" u="1"/>
      </sharedItems>
    </cacheField>
    <cacheField name="Internal review check" numFmtId="0">
      <sharedItems/>
    </cacheField>
    <cacheField name="Please indicate the institution you have applied to" numFmtId="0">
      <sharedItems/>
    </cacheField>
    <cacheField name="Study choice" numFmtId="0">
      <sharedItems containsMixedTypes="1" containsNumber="1" containsInteger="1" minValue="1" maxValue="1" longText="1"/>
    </cacheField>
    <cacheField name="Please indicate the topic related to your study" numFmtId="0">
      <sharedItems longText="1"/>
    </cacheField>
    <cacheField name="Start date" numFmtId="0">
      <sharedItems containsDate="1" containsMixedTypes="1" minDate="2006-01-30T00:00:00" maxDate="2026-10-06T00:00:00"/>
    </cacheField>
    <cacheField name="Duration" numFmtId="0">
      <sharedItems containsMixedTypes="1" containsNumber="1" containsInteger="1" minValue="1" maxValue="3"/>
    </cacheField>
    <cacheField name="Year 1" numFmtId="0">
      <sharedItems containsMixedTypes="1" containsNumber="1" containsInteger="1" minValue="0" maxValue="500000"/>
    </cacheField>
    <cacheField name="Year 2" numFmtId="0">
      <sharedItems containsMixedTypes="1" containsNumber="1" containsInteger="1" minValue="0" maxValue="500000"/>
    </cacheField>
    <cacheField name="Year 3"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9">
  <r>
    <s v="10/12/2025"/>
    <s v="2025-6809"/>
    <s v="Higher Education Awards"/>
    <s v="George Thulani koko"/>
    <s v="thulanikoko24@gmail.com"/>
    <s v="Submitted"/>
    <s v="Under Review"/>
    <x v="0"/>
    <x v="0"/>
    <x v="0"/>
    <x v="0"/>
    <s v="EM"/>
    <s v="Complete"/>
    <s v="Completed"/>
    <x v="0"/>
    <s v="University of Johanneburg"/>
    <s v="MSc in Physics"/>
    <s v="Physical properties of the (Cr84Re16)100-xMox alloy system"/>
    <s v="Abdul"/>
    <s v="Matthew"/>
    <s v="Abdul Mahomed"/>
    <s v="Mathew Moodley"/>
    <n v="53.571428571428569"/>
    <n v="57.142857142857139"/>
    <n v="55.357142857142854"/>
    <n v="2"/>
    <n v="2"/>
    <n v="4"/>
    <x v="0"/>
    <x v="0"/>
    <x v="0"/>
    <d v="2025-02-01T00:00:00"/>
    <n v="2"/>
    <n v="24850"/>
    <n v="24850"/>
    <n v="0"/>
    <n v="24850"/>
    <n v="24850"/>
    <n v="0"/>
    <n v="2"/>
  </r>
  <r>
    <s v="10/12/2025"/>
    <s v="2025-6830"/>
    <s v="Higher Education Awards"/>
    <s v="Andile Stingi"/>
    <s v="stingiandile@gmail.com"/>
    <s v="Submitted"/>
    <s v="Under Review"/>
    <x v="0"/>
    <x v="0"/>
    <x v="0"/>
    <x v="0"/>
    <s v="EM"/>
    <s v="Complete"/>
    <s v="Completed"/>
    <x v="1"/>
    <s v="University of Johannesburg"/>
    <s v="MA in Social Impact Assessment"/>
    <s v="The Impact of South Africa's National Health Insurance Policy on Health Outcomes and Socioeconomic Equity"/>
    <s v="Khwezi"/>
    <s v="Robert"/>
    <s v="Khwezi Mkhize"/>
    <s v="Robert Peacock"/>
    <n v="67.857142857142861"/>
    <n v="82.142857142857139"/>
    <n v="75"/>
    <n v="3"/>
    <n v="5"/>
    <n v="8"/>
    <x v="0"/>
    <x v="0"/>
    <x v="0"/>
    <d v="2025-02-10T00:00:00"/>
    <n v="2"/>
    <n v="75460"/>
    <n v="75460"/>
    <n v="0"/>
    <n v="75460"/>
    <n v="75460"/>
    <n v="0"/>
    <n v="2"/>
  </r>
  <r>
    <s v="10/12/2025"/>
    <s v="2025-6888"/>
    <s v="Higher Education Awards"/>
    <s v="Lehlohonolo Yphodiah Mapatha"/>
    <s v="yphodiahlym@gmail.com"/>
    <s v="Submitted"/>
    <s v="Under Review"/>
    <x v="0"/>
    <x v="0"/>
    <x v="1"/>
    <x v="0"/>
    <s v="EM"/>
    <s v="Complete"/>
    <s v="Completed"/>
    <x v="2"/>
    <s v="University of Johannesburg"/>
    <s v="Master MPhil in Innovation and Development (RD)"/>
    <s v="Frugal Innovations guiding water management policies in mining, northwest."/>
    <s v="Helena"/>
    <s v="Shaun"/>
    <s v="Helena Barnard"/>
    <s v="Shaun Ruggunan"/>
    <n v="57.142857142857139"/>
    <n v="60.714285714285708"/>
    <n v="58.928571428571423"/>
    <n v="3"/>
    <n v="2"/>
    <n v="5"/>
    <x v="0"/>
    <x v="0"/>
    <x v="0"/>
    <d v="2025-02-18T00:00:00"/>
    <n v="2"/>
    <n v="111590"/>
    <n v="111590"/>
    <n v="0"/>
    <n v="111590"/>
    <n v="111590"/>
    <n v="0"/>
    <n v="2"/>
  </r>
  <r>
    <s v="10/12/2025"/>
    <s v="2025-6907"/>
    <s v="Higher Education Awards"/>
    <s v="Lara Stevens"/>
    <s v="22707328@sun.ac.za"/>
    <s v="Submitted"/>
    <s v="Under Review"/>
    <x v="0"/>
    <x v="1"/>
    <x v="1"/>
    <x v="0"/>
    <s v="EM"/>
    <s v="Complete"/>
    <s v="Completed"/>
    <x v="3"/>
    <s v="Stellenbosch University"/>
    <s v="Geo Environmental Science"/>
    <s v="Using environmnetal tracers to determine the balance and influence of fresh inputs for the Wilderness Lakes System, Wilderness, South Africa."/>
    <s v="Diederik"/>
    <s v="Markus"/>
    <s v="Diederik Opperman"/>
    <s v="Markus Wilken"/>
    <n v="60.714285714285708"/>
    <n v="71.428571428571431"/>
    <n v="66.071428571428569"/>
    <n v="3"/>
    <n v="4"/>
    <n v="7"/>
    <x v="0"/>
    <x v="0"/>
    <x v="0"/>
    <d v="2025-01-13T00:00:00"/>
    <n v="1"/>
    <n v="32972"/>
    <n v="0"/>
    <n v="0"/>
    <n v="32972"/>
    <n v="0"/>
    <n v="0"/>
    <n v="3"/>
  </r>
  <r>
    <s v="10/12/2025"/>
    <s v="2025-6911"/>
    <s v="Higher Education Awards"/>
    <s v="Falida Nkomo"/>
    <s v="Nkomofalida@gmail.com"/>
    <s v="Submitted"/>
    <s v="Under Review"/>
    <x v="0"/>
    <x v="0"/>
    <x v="1"/>
    <x v="0"/>
    <s v="CB"/>
    <s v="Complete"/>
    <s v="Completed"/>
    <x v="1"/>
    <s v="University of witswatersrand"/>
    <s v="Masters of fine arts by research"/>
    <s v="Repatriation through cultural identity"/>
    <s v="Khwezi"/>
    <s v="Robert"/>
    <s v="Khwezi Mkhize"/>
    <s v="Robert Peacock"/>
    <n v="92.857142857142861"/>
    <n v="71.428571428571431"/>
    <n v="82.142857142857139"/>
    <n v="5"/>
    <n v="3"/>
    <n v="8"/>
    <x v="1"/>
    <x v="1"/>
    <x v="0"/>
    <d v="2025-02-12T00:00:00"/>
    <n v="2"/>
    <n v="39200"/>
    <n v="39200"/>
    <n v="0"/>
    <n v="39200"/>
    <n v="39200"/>
    <n v="0"/>
    <n v="3"/>
  </r>
  <r>
    <s v="10/12/2025"/>
    <s v="2025-6939"/>
    <s v="Higher Education Awards"/>
    <s v="Sibulele Mvenyeza"/>
    <s v="sibulelemvenyeza@gmail.com"/>
    <s v="Submitted"/>
    <s v="Under Review"/>
    <x v="0"/>
    <x v="0"/>
    <x v="0"/>
    <x v="0"/>
    <s v="EM"/>
    <s v="Complete"/>
    <s v="Completed"/>
    <x v="4"/>
    <s v="University of Cape Town"/>
    <s v="Genetic counselling"/>
    <s v="The genetic counselling of infertility related cytogenetic and genomic abnormalities"/>
    <s v="Mandeep"/>
    <s v="Zane"/>
    <s v="Mandeep Kaur"/>
    <s v="Zane Lombard"/>
    <n v="71.428571428571431"/>
    <n v="67.857142857142861"/>
    <n v="69.642857142857139"/>
    <n v="3"/>
    <n v="3"/>
    <n v="6"/>
    <x v="0"/>
    <x v="0"/>
    <x v="0"/>
    <d v="2025-02-02T00:00:00"/>
    <n v="2"/>
    <n v="80000"/>
    <n v="55000"/>
    <n v="0"/>
    <n v="80000"/>
    <n v="55000"/>
    <n v="0"/>
    <n v="3"/>
  </r>
  <r>
    <s v="10/12/2025"/>
    <s v="2025-6952"/>
    <s v="Higher Education Awards"/>
    <s v="Mbali Ngobese"/>
    <s v="mbalingobese371@icloud.com"/>
    <s v="Submitted"/>
    <s v="Under Review"/>
    <x v="0"/>
    <x v="0"/>
    <x v="1"/>
    <x v="0"/>
    <s v="CB"/>
    <s v="Complete"/>
    <s v="Completed"/>
    <x v="4"/>
    <s v="University of Stellenbosch"/>
    <s v="Master of Philosophy in Health Systems"/>
    <s v="Health Systems, Public Health, Biostatistics, Epidemiology, Economic Evaluation in Health care, Global Health and systemic reviews, meta data analysis and qualitative research methods"/>
    <s v="Nicola"/>
    <s v="Riffat"/>
    <s v="Nicola Christofides"/>
    <s v="Riffat Munir"/>
    <n v="78.571428571428569"/>
    <n v="71.428571428571431"/>
    <n v="75"/>
    <n v="3"/>
    <n v="3"/>
    <n v="6"/>
    <x v="0"/>
    <x v="0"/>
    <x v="0"/>
    <d v="2025-02-03T00:00:00"/>
    <n v="2"/>
    <n v="249619"/>
    <n v="249619"/>
    <n v="0"/>
    <n v="249619"/>
    <n v="249619"/>
    <n v="0"/>
    <n v="3"/>
  </r>
  <r>
    <s v="10/12/2025"/>
    <s v="2025-7115"/>
    <s v="Higher Education Awards"/>
    <s v="Nicholus sukumani"/>
    <s v="sukumaninicholus18@gmail.com"/>
    <s v="Submitted"/>
    <s v="Under Review"/>
    <x v="0"/>
    <x v="0"/>
    <x v="0"/>
    <x v="0"/>
    <s v="EM"/>
    <s v="Complete"/>
    <s v="Completed"/>
    <x v="5"/>
    <s v="University of Johannesburg"/>
    <s v="MSc in Environmental management"/>
    <s v="Innovative solutions in South Africa"/>
    <s v="Finzi"/>
    <s v="Carin"/>
    <s v="Carin Brown"/>
    <s v="Finzi Saidi"/>
    <n v="67.857142857142861"/>
    <n v="57.142857142857139"/>
    <n v="62.5"/>
    <n v="2"/>
    <n v="1"/>
    <n v="3"/>
    <x v="0"/>
    <x v="0"/>
    <x v="0"/>
    <d v="2026-01-26T00:00:00"/>
    <n v="2"/>
    <n v="122000"/>
    <n v="122000"/>
    <n v="0"/>
    <n v="122000"/>
    <n v="122000"/>
    <n v="0"/>
    <n v="3"/>
  </r>
  <r>
    <s v="10/12/2025"/>
    <s v="2025-7141"/>
    <s v="Higher Education Awards"/>
    <s v="Fikelela Poswa"/>
    <s v="fikelelap@gmail.com"/>
    <s v="Submitted"/>
    <s v="Under Review"/>
    <x v="0"/>
    <x v="0"/>
    <x v="1"/>
    <x v="0"/>
    <s v="CB"/>
    <s v="Complete"/>
    <s v="Completed"/>
    <x v="1"/>
    <s v="Nelson Mandela University"/>
    <s v="Masters in African languages"/>
    <s v="Reason for broken marriages in African cultures"/>
    <s v="Khwezi"/>
    <s v="Robert"/>
    <s v="Khwezi Mkhize"/>
    <s v="Robert Peacock"/>
    <n v="60.714285714285708"/>
    <n v="57.142857142857139"/>
    <n v="58.928571428571423"/>
    <n v="2"/>
    <n v="2"/>
    <n v="4"/>
    <x v="0"/>
    <x v="0"/>
    <x v="0"/>
    <d v="2025-02-03T00:00:00"/>
    <n v="1"/>
    <n v="33370"/>
    <n v="15000"/>
    <n v="0"/>
    <n v="33370"/>
    <n v="15000"/>
    <n v="0"/>
    <n v="3"/>
  </r>
  <r>
    <s v="10/12/2025"/>
    <s v="2025-7179"/>
    <s v="Higher Education Awards"/>
    <s v="Zandile Maluleke"/>
    <s v="zandileamanda32.za@gmail.com"/>
    <s v="Submitted"/>
    <s v="Under Review"/>
    <x v="0"/>
    <x v="0"/>
    <x v="1"/>
    <x v="0"/>
    <s v="CB"/>
    <s v="Complete"/>
    <s v="Completed"/>
    <x v="4"/>
    <s v="University of Cape Town"/>
    <s v="Master of Audiology (by dissertation only)"/>
    <s v="Prevalence of vestibular disorders in children"/>
    <s v="Janetta"/>
    <s v="John"/>
    <s v="Janetta Harbron"/>
    <s v="John Pettifor"/>
    <n v="53.571428571428569"/>
    <n v="53.571428571428569"/>
    <n v="53.571428571428569"/>
    <n v="2"/>
    <n v="2"/>
    <n v="4"/>
    <x v="0"/>
    <x v="0"/>
    <x v="0"/>
    <d v="2025-02-17T00:00:00"/>
    <n v="2"/>
    <n v="182240"/>
    <n v="182240"/>
    <n v="0"/>
    <n v="182240"/>
    <n v="182240"/>
    <n v="0"/>
    <n v="3"/>
  </r>
  <r>
    <s v="10/12/2025"/>
    <s v="2025-7181"/>
    <s v="Higher Education Awards"/>
    <s v="Mahlatse Masia"/>
    <s v="mahlatse022@gmail.com"/>
    <s v="Submitted"/>
    <s v="Under Review"/>
    <x v="0"/>
    <x v="0"/>
    <x v="0"/>
    <x v="0"/>
    <s v="EM"/>
    <s v="Complete"/>
    <s v="Completed"/>
    <x v="0"/>
    <s v="University of Limpopo"/>
    <s v="Master of Science Dissertation in Mathematics"/>
    <s v="Linear Maps on Operator Algebras"/>
    <s v="Edzai"/>
    <s v="Nora"/>
    <s v="Edzai Zvobwo"/>
    <s v="Nora Alexeeva"/>
    <n v="32.142857142857146"/>
    <n v="75"/>
    <n v="53.571428571428569"/>
    <n v="2"/>
    <n v="3"/>
    <n v="5"/>
    <x v="0"/>
    <x v="0"/>
    <x v="0"/>
    <d v="2025-01-11T00:00:00"/>
    <n v="2"/>
    <n v="134220"/>
    <n v="134220"/>
    <n v="0"/>
    <n v="134220"/>
    <n v="134220"/>
    <n v="0"/>
    <n v="3"/>
  </r>
  <r>
    <s v="10/12/2025"/>
    <s v="2025-7211"/>
    <s v="Higher Education Awards"/>
    <s v="Reabetswe Maputle"/>
    <s v="reammaputle@gmail.com"/>
    <s v="Submitted"/>
    <s v="Under Review"/>
    <x v="0"/>
    <x v="0"/>
    <x v="1"/>
    <x v="0"/>
    <s v="EM"/>
    <s v="Complete"/>
    <s v="Completed"/>
    <x v="4"/>
    <s v="University of the Witwatersrand"/>
    <s v="MSc in Medicine (clinical and experimental pharmacology)"/>
    <s v="Influence of Terpenoids on Topical Repellent Bioavailability and Safety"/>
    <s v="Frasia"/>
    <s v="Neil"/>
    <s v="Frasia Oosthuizen"/>
    <s v="Neil Coville"/>
    <n v="85.714285714285708"/>
    <n v="89.285714285714292"/>
    <n v="87.5"/>
    <n v="4"/>
    <n v="5"/>
    <n v="9"/>
    <x v="1"/>
    <x v="1"/>
    <x v="0"/>
    <d v="2026-01-31T00:00:00"/>
    <n v="1"/>
    <n v="97682"/>
    <n v="0"/>
    <n v="0"/>
    <n v="97682"/>
    <n v="0"/>
    <n v="0"/>
    <n v="3"/>
  </r>
  <r>
    <s v="10/12/2025"/>
    <s v="2025-7269"/>
    <s v="Higher Education Awards"/>
    <s v="Azola Mtsali"/>
    <s v="azolaa707@gmail.com"/>
    <s v="Submitted"/>
    <s v="Under Review"/>
    <x v="0"/>
    <x v="0"/>
    <x v="0"/>
    <x v="0"/>
    <s v="CB"/>
    <s v="Complete"/>
    <s v="Completed"/>
    <x v="6"/>
    <s v="North-West University"/>
    <s v="Master of Arts in History"/>
    <s v="Murder on the Norther Frontier: Racial Order and the Limits of Criminal Justice in the Cape Colony, c.1847 – 1880"/>
    <s v="David Johnson"/>
    <s v="Annie"/>
    <s v="Annie Devenish"/>
    <s v="David Johnson"/>
    <n v="67.857142857142861"/>
    <n v="85.714285714285708"/>
    <n v="76.785714285714278"/>
    <n v="4"/>
    <n v="4"/>
    <n v="8"/>
    <x v="1"/>
    <x v="0"/>
    <x v="0"/>
    <d v="2025-02-07T00:00:00"/>
    <n v="1"/>
    <n v="131392"/>
    <n v="0"/>
    <n v="0"/>
    <n v="131392"/>
    <n v="0"/>
    <n v="0"/>
    <n v="3"/>
  </r>
  <r>
    <s v="10/12/2025"/>
    <s v="2025-7351"/>
    <s v="Higher Education Awards"/>
    <s v="Sandile Biyela"/>
    <s v="sb6979525@gmail.com"/>
    <s v="Submitted"/>
    <s v="Under Review"/>
    <x v="0"/>
    <x v="0"/>
    <x v="0"/>
    <x v="0"/>
    <s v="CB"/>
    <s v="Complete"/>
    <s v="Completed"/>
    <x v="5"/>
    <s v="University of KwaZulu-Natal"/>
    <s v="Engineering Science"/>
    <s v="Development of Solar Air Heater and Its Intergration into a Whole Maize Comb with Combine Dryer and Storage Unit for Smallholders Producers in Sub-Saharan Africa"/>
    <s v="Finzi"/>
    <s v="Lesedi"/>
    <s v="Finzi Saidi"/>
    <s v="Lesedi Masisi"/>
    <n v="64.285714285714292"/>
    <n v="60.714285714285708"/>
    <n v="62.5"/>
    <n v="2"/>
    <n v="3"/>
    <n v="5"/>
    <x v="0"/>
    <x v="0"/>
    <x v="0"/>
    <d v="2025-02-14T00:00:00"/>
    <n v="2"/>
    <n v="84000"/>
    <n v="111000"/>
    <n v="0"/>
    <n v="84000"/>
    <n v="111000"/>
    <n v="0"/>
    <n v="3"/>
  </r>
  <r>
    <s v="10/12/2025"/>
    <s v="2025-7354"/>
    <s v="Higher Education Awards"/>
    <s v="Thamsanqa Mbokazi"/>
    <s v="thank.mbokazi@gmail.com"/>
    <s v="Submitted"/>
    <s v="Under Review"/>
    <x v="0"/>
    <x v="0"/>
    <x v="0"/>
    <x v="0"/>
    <s v="EM"/>
    <s v="Complete"/>
    <s v="Completed"/>
    <x v="1"/>
    <s v="Durban University of Technology"/>
    <s v="Masters Degree"/>
    <s v="Addressing Homelessness in eThekwini Municipality: A Comprehensive Strategy"/>
    <s v="Khwezi"/>
    <s v="Robert"/>
    <s v="Khwezi Mkhize"/>
    <s v="Robert Peacock"/>
    <n v="100"/>
    <n v="92.857142857142861"/>
    <n v="96.428571428571431"/>
    <n v="5"/>
    <n v="4"/>
    <n v="9"/>
    <x v="1"/>
    <x v="1"/>
    <x v="0"/>
    <d v="2025-02-21T00:00:00"/>
    <n v="2"/>
    <n v="177660"/>
    <n v="169000"/>
    <n v="0"/>
    <n v="177660"/>
    <n v="169000"/>
    <n v="0"/>
    <n v="3"/>
  </r>
  <r>
    <s v="10/12/2025"/>
    <s v="2025-7364"/>
    <s v="Higher Education Awards"/>
    <s v="Irshaad Suliman"/>
    <s v="irshaadsuliman949@gmail.com"/>
    <s v="Submitted"/>
    <s v="Under Review"/>
    <x v="0"/>
    <x v="2"/>
    <x v="0"/>
    <x v="0"/>
    <s v="CB"/>
    <s v="Complete"/>
    <s v="Completed"/>
    <x v="6"/>
    <s v="Stellenbosch University"/>
    <s v="History"/>
    <s v="Historical violence, Deaths in detention, Anti-Apartheid struggle, Resistance"/>
    <s v="Khwezi"/>
    <s v="Robert"/>
    <s v="Khwezi Mkhize"/>
    <s v="Robert Peacock"/>
    <n v="67.857142857142861"/>
    <n v="78.571428571428569"/>
    <n v="73.214285714285722"/>
    <n v="4"/>
    <n v="4"/>
    <n v="8"/>
    <x v="0"/>
    <x v="0"/>
    <x v="0"/>
    <d v="2025-02-10T00:00:00"/>
    <n v="2"/>
    <n v="-20000"/>
    <n v="-30000"/>
    <n v="0"/>
    <n v="-20000"/>
    <n v="-30000"/>
    <n v="0"/>
    <n v="2"/>
  </r>
  <r>
    <s v="10/12/2025"/>
    <s v="2025-7376"/>
    <s v="Higher Education Awards"/>
    <s v="Fatima Phomelelo Ramokgopa"/>
    <s v="ramokgopafatima502@gmail.com"/>
    <s v="Submitted"/>
    <s v="Under Review"/>
    <x v="0"/>
    <x v="0"/>
    <x v="1"/>
    <x v="0"/>
    <s v="CB"/>
    <s v="Complete"/>
    <s v="Completed"/>
    <x v="4"/>
    <s v="North West University"/>
    <s v="Pharmaceutical chemistry"/>
    <s v="Synthesis and in vitro antileishmanial activity of silver nanoparticles conjugated with novel gallate analogues "/>
    <s v="Frasia"/>
    <s v="Neil"/>
    <s v="Frasia Oosthuizen"/>
    <s v="Neil Coville"/>
    <n v="57.142857142857139"/>
    <n v="53.571428571428569"/>
    <n v="55.357142857142854"/>
    <n v="2"/>
    <n v="1"/>
    <n v="3"/>
    <x v="0"/>
    <x v="0"/>
    <x v="0"/>
    <d v="2025-01-27T00:00:00"/>
    <n v="2"/>
    <n v="78391"/>
    <n v="101391"/>
    <n v="0"/>
    <n v="78391"/>
    <n v="101391"/>
    <n v="0"/>
    <n v="2"/>
  </r>
  <r>
    <s v="10/12/2025"/>
    <s v="2025-7405"/>
    <s v="Higher Education Awards"/>
    <s v="Setshaba Mokupi"/>
    <s v="setshabamokupi130@gmail.com"/>
    <s v="Revisions Requested"/>
    <s v="Under Review"/>
    <x v="0"/>
    <x v="0"/>
    <x v="1"/>
    <x v="0"/>
    <s v="CB"/>
    <s v="Complete"/>
    <s v="Completed"/>
    <x v="1"/>
    <s v="University of Limpopo"/>
    <s v="Masters in Social Work"/>
    <s v="Exloring lives of black African teenagers dring and after the divorce of parents in heterosexual marriages"/>
    <s v="Khwezi"/>
    <s v="Robert"/>
    <s v="Khwezi Mkhize"/>
    <s v="Robert Peacock"/>
    <n v="60.714285714285708"/>
    <n v="67.857142857142861"/>
    <n v="64.285714285714278"/>
    <n v="3"/>
    <n v="2"/>
    <n v="5"/>
    <x v="0"/>
    <x v="0"/>
    <x v="0"/>
    <d v="2025-01-13T00:00:00"/>
    <n v="2"/>
    <n v="95000"/>
    <n v="95000"/>
    <n v="0"/>
    <n v="95000"/>
    <n v="95000"/>
    <n v="0"/>
    <n v="2"/>
  </r>
  <r>
    <s v="10/12/2025"/>
    <s v="2025-7423"/>
    <s v="Higher Education Awards"/>
    <s v="Oriphulusa Nyadzhiwa"/>
    <s v="ori.nyadzhiwa@gmail.com"/>
    <s v="Submitted"/>
    <s v="Under Review"/>
    <x v="0"/>
    <x v="0"/>
    <x v="0"/>
    <x v="0"/>
    <s v="EM"/>
    <s v="Complete"/>
    <s v="Completed"/>
    <x v="3"/>
    <s v="University of Cape Town"/>
    <s v="MSc Environmental &amp; Geographical Science"/>
    <s v="Towards Environmentally Responsible Coal Mining in South Africa: Monitoring Impacts and Providing Recommendations"/>
    <s v="Maryna"/>
    <s v="Romano"/>
    <s v="Maryna de Wit"/>
    <s v="Romano Lottering"/>
    <n v="78.571428571428569"/>
    <n v="64.285714285714292"/>
    <n v="71.428571428571431"/>
    <n v="4"/>
    <n v="3"/>
    <n v="7"/>
    <x v="0"/>
    <x v="0"/>
    <x v="0"/>
    <d v="2025-02-17T00:00:00"/>
    <n v="1"/>
    <n v="148580"/>
    <n v="0"/>
    <n v="0"/>
    <n v="148580"/>
    <n v="0"/>
    <n v="0"/>
    <n v="3"/>
  </r>
  <r>
    <s v="10/12/2025"/>
    <s v="2025-7439"/>
    <s v="Higher Education Awards"/>
    <s v="Nqubeko Sithole"/>
    <s v="Nqubeko602@gmail.com"/>
    <s v="Submitted"/>
    <s v="Under Review"/>
    <x v="0"/>
    <x v="0"/>
    <x v="0"/>
    <x v="0"/>
    <s v="EM"/>
    <s v="Complete"/>
    <s v="Completed"/>
    <x v="7"/>
    <s v="University of KwaZulu-Natal"/>
    <s v="Master of arts"/>
    <s v="SOUND AS AN AWAKENING – BODY AS A MUSEUM"/>
    <s v="Mwenya"/>
    <s v="Mbongeni"/>
    <s v="Mbongeni Mtshali"/>
    <s v="Mwenya Kabwe"/>
    <n v="30.555555555555557"/>
    <n v="66.666666666666657"/>
    <n v="48.611111111111107"/>
    <n v="1"/>
    <n v="3"/>
    <n v="4"/>
    <x v="0"/>
    <x v="0"/>
    <x v="0"/>
    <d v="2025-02-01T00:00:00"/>
    <n v="2"/>
    <n v="160000"/>
    <n v="160000"/>
    <n v="0"/>
    <n v="160000"/>
    <n v="160000"/>
    <n v="0"/>
    <n v="3"/>
  </r>
  <r>
    <s v="10/12/2025"/>
    <s v="2025-7454"/>
    <s v="Higher Education Awards"/>
    <s v="Jennifer Du Plessis"/>
    <s v="61808016@mylife.unisa.ac.za"/>
    <s v="Submitted"/>
    <s v="Under Review"/>
    <x v="0"/>
    <x v="1"/>
    <x v="1"/>
    <x v="0"/>
    <s v="EM"/>
    <s v="Complete"/>
    <s v="Completed"/>
    <x v="1"/>
    <s v="UNISA"/>
    <s v="MA in Theory of Literature"/>
    <s v="Intersectionality with a particular focus on Black Feminism"/>
    <s v="Khwezi"/>
    <s v="Robert"/>
    <s v="Khwezi Mkhize"/>
    <s v="Robert Peacock"/>
    <n v="85.714285714285708"/>
    <n v="82.142857142857139"/>
    <n v="83.928571428571416"/>
    <n v="4"/>
    <n v="3"/>
    <n v="7"/>
    <x v="1"/>
    <x v="0"/>
    <x v="0"/>
    <d v="2025-03-25T00:00:00"/>
    <n v="1"/>
    <n v="18625"/>
    <n v="0"/>
    <n v="0"/>
    <n v="18625"/>
    <n v="0"/>
    <n v="0"/>
    <n v="3"/>
  </r>
  <r>
    <s v="10/12/2025"/>
    <s v="2025-7463"/>
    <s v="Higher Education Awards"/>
    <s v="Sanele Dube"/>
    <s v="220054294@stu.ukzn.ac.za"/>
    <s v="Submitted"/>
    <s v="Under Review"/>
    <x v="0"/>
    <x v="0"/>
    <x v="0"/>
    <x v="0"/>
    <s v="EM"/>
    <s v="Complete"/>
    <s v="Completed"/>
    <x v="6"/>
    <s v="University of kwazulu natal PMB"/>
    <s v="The decision to focus on how cultural norms, particularly forced and early marriages, silence women and hinder their access to justice in South Africa is driven by the urgent need to address gender inequality and systemic failures within the legal system. Despite South Africa’s progressive legal framework, harmful traditional practices continue to undermine women’s rights, leaving them vulnerable to oppression and legal exclusion. This study aims to explore the intersection of culture and justice, highlighting the challenges women face and proposing solutions to improve their legal protection.  One of the key motivations for this study is the persistence of forced and early marriages in certain communities. Many young girls are married off without their consent, often to older men, under the guise of preserving cultural heritage or family honor. These practices strip women of their autonomy, limit their educational and economic opportunities, and expose them to various forms of abuse. Although laws such as the Recognition of Customary Marriages Act and the Children’s Act exist to protect women, enforcement remains weak due to cultural resistance and systemic inefficiencies. This study seeks to understand why legal protections are ineffective and what can be done to strengthen the justice system’s response.  Furthermore, the study is necessary because cultural norms often discourage women from seeking justice. Many women fear social stigma, retaliation, or rejection by their families and communities if they challenge forced marriages. Law enforcement and judicial officials frequently lack cultural sensitivity, dismissing cases or failing to provide adequate support to victims. This research will explore how these cultural pressures affect women's justice-seeking behavior and examine the role of the criminal justice system in either enabling or preventing access to justice.  Another reason for choosing this study is the gap in existing research. While many studies focus on gender-based violence or women’s rights broadly, few specifically analyze how cultural traditions shape women's experiences within the justice system in South Africa. By focusing on this issue, the research will contribute new insights into the failures of the legal system and suggest culturally sensitive legal reforms to bridge the gap between tradition and justice.  This study is also guided by Feminist Legal Theory, which critiques how laws and legal institutions reinforce gender inequalities. Applying this theory will help assess how South Africa’s legal framework either supports or fails women affected by cultural norms. Additionally, Social Norms Theory will be used to examine how societal expectations influence behavior and restrict women’s access to justice. By incorporating these theoretical perspectives, the study aims to provide a deeper understanding of the cultural and legal barriers that women face."/>
    <s v="The Impact of Cultural Norms on Women’s Access to Justice in Cases of Forced and Early Marriages in South Africa"/>
    <s v="Badri"/>
    <s v="Johann"/>
    <s v="Badri Zolfaghari"/>
    <s v="Johan Hattingh"/>
    <n v="85.714285714285708"/>
    <n v="64.285714285714292"/>
    <n v="75"/>
    <n v="3"/>
    <n v="2"/>
    <n v="5"/>
    <x v="0"/>
    <x v="0"/>
    <x v="0"/>
    <d v="2025-03-27T00:00:00"/>
    <n v="2"/>
    <n v="-67000"/>
    <n v="-15000"/>
    <n v="0"/>
    <n v="-67000"/>
    <n v="-15000"/>
    <n v="0"/>
    <n v="3"/>
  </r>
  <r>
    <s v="10/12/2025"/>
    <s v="2025-7499"/>
    <s v="Higher Education Awards"/>
    <s v="Ntokozo Shongwe"/>
    <s v="Ntokozoshongwe533@gmail.com"/>
    <s v="Submitted"/>
    <s v="Under Review"/>
    <x v="0"/>
    <x v="0"/>
    <x v="0"/>
    <x v="0"/>
    <s v="EM"/>
    <s v="Complete"/>
    <s v="Completed"/>
    <x v="4"/>
    <s v="University of the Witwatersrand"/>
    <s v="MRA03- Master of Pharmacy"/>
    <s v="An innovative Targeted Block-and-Kill Strategy for Reducing the HIV-1 Latent Reservoir"/>
    <s v="Frasia"/>
    <s v="Neil"/>
    <s v="Frasia Oosthuizen"/>
    <s v="Neil Coville"/>
    <n v="53.571428571428569"/>
    <n v="67.857142857142861"/>
    <n v="60.714285714285715"/>
    <n v="1"/>
    <n v="2"/>
    <n v="3"/>
    <x v="0"/>
    <x v="0"/>
    <x v="0"/>
    <d v="2025-01-22T00:00:00"/>
    <n v="1"/>
    <n v="172000"/>
    <n v="0"/>
    <n v="0"/>
    <n v="172000"/>
    <n v="0"/>
    <n v="0"/>
    <n v="4"/>
  </r>
  <r>
    <s v="10/12/2025"/>
    <s v="2025-7529"/>
    <s v="Higher Education Awards"/>
    <s v="Phathutshedzo Munzhedzi"/>
    <s v="phathujohnson@gmail.com"/>
    <s v="Submitted"/>
    <s v="Under Review"/>
    <x v="0"/>
    <x v="0"/>
    <x v="0"/>
    <x v="0"/>
    <s v="EM"/>
    <s v="Complete"/>
    <s v="Completed"/>
    <x v="4"/>
    <s v="University of pretoria"/>
    <s v="MSc nuclear medical science"/>
    <s v="Investigation of mechanisms virulence of Mycobacterium tuberculosis using epigenetics tools"/>
    <s v="Mandeep"/>
    <s v="Zane"/>
    <s v="Mandeep Kaur"/>
    <s v="Zane Lombard"/>
    <n v="71.428571428571431"/>
    <n v="71.428571428571431"/>
    <n v="71.428571428571431"/>
    <n v="2"/>
    <n v="3"/>
    <n v="5"/>
    <x v="0"/>
    <x v="0"/>
    <x v="0"/>
    <d v="2025-01-20T00:00:00"/>
    <n v="2"/>
    <n v="140265"/>
    <n v="163915"/>
    <n v="0"/>
    <n v="140265"/>
    <n v="163915"/>
    <n v="0"/>
    <n v="2"/>
  </r>
  <r>
    <s v="10/12/2025"/>
    <s v="2025-7558"/>
    <s v="Higher Education Awards"/>
    <s v="Sibulele Mkhutshulwa"/>
    <s v="sibulelemkhu@gmail.com"/>
    <s v="Submitted"/>
    <s v="Under Review"/>
    <x v="0"/>
    <x v="0"/>
    <x v="1"/>
    <x v="0"/>
    <s v="EM"/>
    <s v="Complete, No degree copy"/>
    <s v="Completed"/>
    <x v="3"/>
    <s v="University of the Western Cape "/>
    <s v="MSc. in Biotechnology"/>
    <s v="Combating antimicrobial resistance using plant-based nanoparticles and testing against a variety of multidrug-resistant microbial strains."/>
    <s v="Almuth"/>
    <s v="Neriman"/>
    <s v="Almuth Hammerbacher"/>
    <s v="Neriman Yilmaz"/>
    <n v="57.142857142857139"/>
    <n v="71.428571428571431"/>
    <n v="64.285714285714278"/>
    <n v="2"/>
    <n v="3"/>
    <n v="5"/>
    <x v="0"/>
    <x v="0"/>
    <x v="0"/>
    <d v="2025-03-17T00:00:00"/>
    <n v="1"/>
    <n v="39765"/>
    <n v="39765"/>
    <n v="0"/>
    <n v="39765"/>
    <n v="39765"/>
    <n v="0"/>
    <n v="3"/>
  </r>
  <r>
    <s v="10/12/2025"/>
    <s v="2025-7575"/>
    <s v="Higher Education Awards"/>
    <s v="Ivan Hirwa"/>
    <s v="ivanhirwa@gmail.com"/>
    <s v="Submitted"/>
    <s v="Under Review"/>
    <x v="0"/>
    <x v="0"/>
    <x v="0"/>
    <x v="0"/>
    <s v="CB"/>
    <s v="Complete"/>
    <s v="Completed"/>
    <x v="3"/>
    <s v="The University of Cape Town"/>
    <s v="Master of Philosophy in Environment, Society and Sustainably"/>
    <s v="Sustainable development (specialised focus on climate change adaptation and mitigation)"/>
    <s v="Martin Clark"/>
    <s v="Sindiso"/>
    <s v="Martin Clark"/>
    <s v="Sindiso Chamane"/>
    <n v="67.857142857142861"/>
    <n v="67.857142857142861"/>
    <n v="67.857142857142861"/>
    <n v="2"/>
    <n v="3"/>
    <n v="5"/>
    <x v="0"/>
    <x v="0"/>
    <x v="0"/>
    <d v="2025-02-10T00:00:00"/>
    <n v="2"/>
    <n v="86135"/>
    <n v="43818"/>
    <n v="0"/>
    <n v="86135"/>
    <n v="43818"/>
    <n v="0"/>
    <n v="3"/>
  </r>
  <r>
    <s v="10/12/2025"/>
    <s v="2025-7629"/>
    <s v="Higher Education Awards"/>
    <s v="Kholofelo Morodi"/>
    <s v="kholomorodi7@gmail.com"/>
    <s v="Submitted"/>
    <s v="Under Review"/>
    <x v="0"/>
    <x v="0"/>
    <x v="2"/>
    <x v="0"/>
    <s v="EM"/>
    <s v="Complete"/>
    <s v="Completed"/>
    <x v="4"/>
    <s v="Stellenbosch University"/>
    <s v="MMed"/>
    <s v="Psychiatry"/>
    <s v="Abdullah"/>
    <s v="Demetra"/>
    <s v="Abdullah Ely"/>
    <s v="Demetra Mavri-Damelin"/>
    <n v="50"/>
    <n v="50"/>
    <n v="50"/>
    <n v="1"/>
    <n v="2"/>
    <n v="3"/>
    <x v="0"/>
    <x v="0"/>
    <x v="0"/>
    <d v="2025-02-28T00:00:00"/>
    <n v="2"/>
    <n v="30000"/>
    <n v="30000"/>
    <n v="0"/>
    <n v="30000"/>
    <n v="30000"/>
    <n v="0"/>
    <n v="3"/>
  </r>
  <r>
    <s v="10/12/2025"/>
    <s v="2025-7650"/>
    <s v="Higher Education Awards"/>
    <s v="Njabulo Mlotshwa"/>
    <s v="njabulomlotshwa043@gmail.com"/>
    <s v="Submitted"/>
    <s v="Under Review"/>
    <x v="0"/>
    <x v="0"/>
    <x v="0"/>
    <x v="0"/>
    <s v="EM"/>
    <s v="Complete"/>
    <s v="Completed"/>
    <x v="4"/>
    <s v="Sefako Makgatho health Science  University"/>
    <s v="MSc Anatomical Pathology"/>
    <s v="To determine the expression levels of SARS-CoV-2 susceptible receptors and proteases in SARS-CoV-2 tested human placenta using ancillary studies"/>
    <s v="Abdullah"/>
    <s v="Demetra"/>
    <s v="Abdullah Ely"/>
    <s v="Demetra Mavri-Damelin"/>
    <n v="67.857142857142861"/>
    <n v="42.857142857142854"/>
    <n v="55.357142857142861"/>
    <n v="3"/>
    <n v="2"/>
    <n v="5"/>
    <x v="0"/>
    <x v="0"/>
    <x v="0"/>
    <d v="2026-01-01T00:00:00"/>
    <n v="1"/>
    <n v="115517"/>
    <n v="24000"/>
    <n v="0"/>
    <n v="115517"/>
    <n v="24000"/>
    <n v="0"/>
    <n v="3"/>
  </r>
  <r>
    <s v="10/12/2025"/>
    <s v="2025-7698"/>
    <s v="Higher Education Awards"/>
    <s v="Sanele Kunene"/>
    <s v="Sanelesanele668@gmail.com"/>
    <s v="Submitted"/>
    <s v="Under Review"/>
    <x v="0"/>
    <x v="0"/>
    <x v="0"/>
    <x v="0"/>
    <s v="EM"/>
    <s v="Complete"/>
    <s v="Completed"/>
    <x v="3"/>
    <s v="University of Limpopo"/>
    <s v="Master of Science in Agricultural Economics"/>
    <s v="Investigating the impact of climate variability on orange production and export competitiveness in the South African orange industry from 2001 to 2021"/>
    <s v="Martin Clark"/>
    <s v="Sindiso"/>
    <s v="Martin Clark"/>
    <s v="Sindiso Chamane"/>
    <n v="71.428571428571431"/>
    <n v="60.714285714285708"/>
    <n v="66.071428571428569"/>
    <n v="3"/>
    <n v="3"/>
    <n v="6"/>
    <x v="0"/>
    <x v="0"/>
    <x v="0"/>
    <d v="2025-01-27T00:00:00"/>
    <n v="2"/>
    <n v="120555"/>
    <n v="90000"/>
    <n v="0"/>
    <n v="120555"/>
    <n v="90000"/>
    <n v="0"/>
    <n v="2"/>
  </r>
  <r>
    <s v="10/12/2025"/>
    <s v="2025-7731"/>
    <s v="Higher Education Awards"/>
    <s v="LUNGANI MXOLELENI NKOSI"/>
    <s v="lunganimlotshwa1999@gmail.com"/>
    <s v="Submitted"/>
    <s v="Under Review"/>
    <x v="0"/>
    <x v="0"/>
    <x v="0"/>
    <x v="0"/>
    <s v="EM"/>
    <s v="Complete"/>
    <s v="Completed"/>
    <x v="3"/>
    <s v="University of Zululand"/>
    <s v="MSc Plant Science"/>
    <s v="Extraction and Characterization of emulsion agents from fruit pulps of Landolphia kirkii, Ancylobotrys capensis, and Ancylobotrys petersiana."/>
    <s v="Almuth"/>
    <s v="Neriman"/>
    <s v="Almuth Hammerbacher"/>
    <s v="Neriman Yilmaz"/>
    <n v="64.285714285714292"/>
    <n v="67.857142857142861"/>
    <n v="66.071428571428584"/>
    <n v="2"/>
    <n v="3"/>
    <n v="5"/>
    <x v="0"/>
    <x v="0"/>
    <x v="0"/>
    <d v="2025-03-06T00:00:00"/>
    <n v="1"/>
    <n v="177000"/>
    <n v="0"/>
    <n v="0"/>
    <n v="177000"/>
    <n v="0"/>
    <n v="0"/>
    <n v="4"/>
  </r>
  <r>
    <s v="10/12/2025"/>
    <s v="2025-7775"/>
    <s v="Higher Education Awards"/>
    <s v="Thubelihle Ndlangamandla"/>
    <s v="thube03lihle059@gmail.com"/>
    <s v="Submitted"/>
    <s v="Under Review"/>
    <x v="0"/>
    <x v="0"/>
    <x v="0"/>
    <x v="0"/>
    <s v="EM"/>
    <s v="Complete"/>
    <s v="Completed"/>
    <x v="4"/>
    <s v="University of the Witwatersrand"/>
    <s v="Masters in Pharmcay"/>
    <s v="Design of a Multifunctional 3D- (Bio)printed Biomimetic Skin Model for Advanced Drug Delivery Applications"/>
    <s v="Abdullah"/>
    <s v="Demetra"/>
    <s v="Abdullah Ely"/>
    <s v="Demetra Mavri-Damelin"/>
    <n v="89.285714285714292"/>
    <n v="46.428571428571431"/>
    <n v="67.857142857142861"/>
    <n v="4"/>
    <n v="2"/>
    <n v="6"/>
    <x v="0"/>
    <x v="0"/>
    <x v="0"/>
    <d v="2025-02-11T00:00:00"/>
    <n v="2"/>
    <n v="186000"/>
    <n v="188000"/>
    <n v="0"/>
    <n v="186000"/>
    <n v="188000"/>
    <n v="0"/>
    <n v="2"/>
  </r>
  <r>
    <s v="10/12/2025"/>
    <s v="2025-7794"/>
    <s v="Higher Education Awards"/>
    <s v="Thandeka Sonto Siluma"/>
    <s v="thandekasiluma99@gmail.com"/>
    <s v="Submitted"/>
    <s v="Under Review"/>
    <x v="0"/>
    <x v="0"/>
    <x v="1"/>
    <x v="0"/>
    <s v="EM"/>
    <s v="Complete"/>
    <s v="Completed"/>
    <x v="3"/>
    <s v="University of Venda"/>
    <s v="Master of Environmental Sciences in Geography"/>
    <s v="REMOTE SENSING-BASED MAPPING AND SENSOR EVALUATION FOR DETECTING BLACK WATTLE (Acacia mearnsii) IN  THE SOUTPANSBERG MOUNTAIN RANGE, SOUTH AFRICA"/>
    <s v="Maryna"/>
    <s v="Romano"/>
    <s v="Maryna de Wit"/>
    <s v="Romano Lottering"/>
    <n v="53.571428571428569"/>
    <n v="75"/>
    <n v="64.285714285714278"/>
    <n v="2"/>
    <n v="3"/>
    <n v="5"/>
    <x v="0"/>
    <x v="0"/>
    <x v="0"/>
    <d v="2025-03-31T00:00:00"/>
    <n v="1"/>
    <n v="54785"/>
    <n v="88785"/>
    <n v="0"/>
    <n v="54785"/>
    <n v="88785"/>
    <n v="0"/>
    <n v="3"/>
  </r>
  <r>
    <s v="10/12/2025"/>
    <s v="2025-7801"/>
    <s v="Higher Education Awards"/>
    <s v="Sergio Alves"/>
    <s v="smalves2812@gmail.com"/>
    <s v="Submitted"/>
    <s v="Under Review"/>
    <x v="0"/>
    <x v="1"/>
    <x v="0"/>
    <x v="0"/>
    <s v="CB"/>
    <s v="Complete"/>
    <s v="Completed"/>
    <x v="4"/>
    <s v="University of Cape Town"/>
    <s v="MSc in Medicine"/>
    <s v="Inherited muscle diseases in South Africa"/>
    <s v="Abdullah"/>
    <s v="Demetra"/>
    <s v="Abdullah Ely"/>
    <s v="Demetra Mavri-Damelin"/>
    <n v="75"/>
    <n v="89.285714285714292"/>
    <n v="82.142857142857139"/>
    <n v="2"/>
    <n v="5"/>
    <n v="7"/>
    <x v="1"/>
    <x v="0"/>
    <x v="0"/>
    <d v="2025-01-15T00:00:00"/>
    <n v="2"/>
    <n v="94400"/>
    <n v="241900"/>
    <n v="0"/>
    <n v="94400"/>
    <n v="241900"/>
    <n v="0"/>
    <n v="3"/>
  </r>
  <r>
    <s v="10/12/2025"/>
    <s v="2025-7818"/>
    <s v="Higher Education Awards"/>
    <s v="ROLIVHUWA Aluwani MAHADA"/>
    <s v="rolivhuwaowen@gmail.com"/>
    <s v="Submitted"/>
    <s v="Under Review"/>
    <x v="0"/>
    <x v="0"/>
    <x v="0"/>
    <x v="0"/>
    <s v="CB"/>
    <s v="Complete"/>
    <s v="Completed"/>
    <x v="6"/>
    <s v="University of Venda"/>
    <s v="Master's in Geography"/>
    <s v="The notion of place, place meaning and attachment: A geographic study of Fundudzi residents, Vhembe District Municipality, Limpopo province, South Africa."/>
    <s v="Badri"/>
    <s v="Johann"/>
    <s v="Badri Zolfaghari"/>
    <s v="Johan Hattingh"/>
    <n v="50"/>
    <n v="50"/>
    <n v="50"/>
    <n v="1"/>
    <n v="2"/>
    <n v="3"/>
    <x v="0"/>
    <x v="0"/>
    <x v="0"/>
    <d v="2025-03-14T00:00:00"/>
    <n v="2"/>
    <n v="31500"/>
    <n v="38500"/>
    <n v="0"/>
    <n v="31500"/>
    <n v="38500"/>
    <n v="0"/>
    <n v="2"/>
  </r>
  <r>
    <s v="10/12/2025"/>
    <s v="2025-7839"/>
    <s v="Higher Education Awards"/>
    <s v="Ayanda Mthabela"/>
    <s v="mthabelayanda1975@gmail.com"/>
    <s v="Submitted"/>
    <s v="Under Review"/>
    <x v="0"/>
    <x v="0"/>
    <x v="1"/>
    <x v="0"/>
    <s v="EM"/>
    <s v="Complete"/>
    <s v="Completed"/>
    <x v="3"/>
    <s v="University of Zululand"/>
    <s v="Masters in Agriculture Animal Science"/>
    <s v="Comparing silage quality from three indigenous Brachiaria Brizantha cultivars harvested at the KwaMthethwa Community"/>
    <s v="Chenaimoyo"/>
    <s v="Francesca"/>
    <s v="Chenaimoyo Katiyatiya"/>
    <s v="Francesca Parrini"/>
    <n v="53.571428571428569"/>
    <n v="53.571428571428569"/>
    <n v="53.571428571428569"/>
    <n v="2"/>
    <n v="2"/>
    <n v="4"/>
    <x v="0"/>
    <x v="0"/>
    <x v="0"/>
    <d v="2025-03-16T00:00:00"/>
    <n v="2"/>
    <n v="113700"/>
    <n v="118700"/>
    <n v="0"/>
    <n v="113700"/>
    <n v="118700"/>
    <n v="0"/>
    <n v="3"/>
  </r>
  <r>
    <s v="10/12/2025"/>
    <s v="2025-7846"/>
    <s v="Higher Education Awards"/>
    <s v="Khanyisani Msomi"/>
    <s v="khanyisanmsomi123@gmail.com"/>
    <s v="Submitted"/>
    <s v="Under Review"/>
    <x v="0"/>
    <x v="0"/>
    <x v="0"/>
    <x v="0"/>
    <s v="CB"/>
    <s v="Complete"/>
    <s v="Completed"/>
    <x v="3"/>
    <s v="University of Zululand"/>
    <s v="Masters in plant sciences"/>
    <s v="Investigating the effect of light on peg formation, pod development and yield of Bambara groundnut landraces"/>
    <s v="Almuth"/>
    <s v="Neriman"/>
    <s v="Almuth Hammerbacher"/>
    <s v="Neriman Yilmaz"/>
    <n v="60.714285714285708"/>
    <n v="85.714285714285708"/>
    <n v="73.214285714285708"/>
    <n v="3"/>
    <n v="4"/>
    <n v="7"/>
    <x v="0"/>
    <x v="0"/>
    <x v="0"/>
    <d v="2025-01-04T00:00:00"/>
    <n v="2"/>
    <n v="132200"/>
    <n v="132200"/>
    <n v="0"/>
    <n v="132200"/>
    <n v="132200"/>
    <n v="0"/>
    <n v="3"/>
  </r>
  <r>
    <s v="10/12/2025"/>
    <s v="2025-7876"/>
    <s v="Higher Education Awards"/>
    <s v="Siyanda Gwengu"/>
    <s v="siyandagwengu@gmail.com"/>
    <s v="Submitted"/>
    <s v="Under Review"/>
    <x v="0"/>
    <x v="0"/>
    <x v="0"/>
    <x v="0"/>
    <s v="EM"/>
    <s v="Complete, No degree copy"/>
    <s v="Completed"/>
    <x v="4"/>
    <s v="Sefako Makgatho Health Sciences University"/>
    <s v="Master of Pharmacy in Radiopharmacy"/>
    <s v="In vitro radioassay characterisation of 89Zr-labelled trastuzumab fragments (Vhh and scFV) using 89Zr-labelled trastuzumab as the standard"/>
    <s v="Frasia"/>
    <s v="Neil"/>
    <s v="Frasia Oosthuizen"/>
    <s v="Neil Coville"/>
    <n v="60.714285714285708"/>
    <n v="46.428571428571431"/>
    <n v="53.571428571428569"/>
    <n v="2"/>
    <n v="1"/>
    <n v="3"/>
    <x v="0"/>
    <x v="0"/>
    <x v="0"/>
    <d v="2025-01-06T00:00:00"/>
    <n v="2"/>
    <n v="110558"/>
    <n v="70020"/>
    <n v="0"/>
    <n v="110558"/>
    <n v="70020"/>
    <n v="0"/>
    <n v="3"/>
  </r>
  <r>
    <s v="10/12/2025"/>
    <s v="2025-7909"/>
    <s v="Higher Education Awards"/>
    <s v="Marema Lilly Mathekga"/>
    <s v="Lillykgathallo@gmail.com"/>
    <s v="Submitted"/>
    <s v="Under Review"/>
    <x v="0"/>
    <x v="0"/>
    <x v="1"/>
    <x v="0"/>
    <s v="CB"/>
    <s v="Complete"/>
    <s v="Completed"/>
    <x v="1"/>
    <s v="University of Venda"/>
    <s v="Masters In African Studies"/>
    <s v="Decolonizing African Identity: The Impact of Western Media on Youth Perceptions of Culture"/>
    <s v="Chimwemwe"/>
    <s v="Dina"/>
    <s v="Chimwemwe Phiri"/>
    <s v="Dina Ligaga"/>
    <n v="75"/>
    <n v="75"/>
    <n v="75"/>
    <n v="4"/>
    <n v="4"/>
    <n v="8"/>
    <x v="0"/>
    <x v="0"/>
    <x v="0"/>
    <d v="2025-01-06T00:00:00"/>
    <n v="2"/>
    <n v="19500"/>
    <n v="35500"/>
    <n v="0"/>
    <n v="19500"/>
    <n v="35500"/>
    <n v="0"/>
    <n v="3"/>
  </r>
  <r>
    <s v="10/12/2025"/>
    <s v="2025-7933"/>
    <s v="Higher Education Awards"/>
    <s v="Vhulenda Negota"/>
    <s v="vhulendanegota@gmail.com"/>
    <s v="Submitted"/>
    <s v="Under Review"/>
    <x v="0"/>
    <x v="0"/>
    <x v="1"/>
    <x v="0"/>
    <s v="EM"/>
    <s v="Complete"/>
    <s v="Completed"/>
    <x v="3"/>
    <s v="University of Venda"/>
    <s v="Masters of Arts in African Studies"/>
    <s v="The role of indigenous farming systems in enhancing food security among vhavenda people at Mavunde village"/>
    <s v="Maryna"/>
    <s v="Romano"/>
    <s v="Maryna de Wit"/>
    <s v="Romano Lottering"/>
    <n v="67.857142857142861"/>
    <n v="71.428571428571431"/>
    <n v="69.642857142857139"/>
    <n v="3"/>
    <n v="3"/>
    <n v="6"/>
    <x v="0"/>
    <x v="0"/>
    <x v="0"/>
    <d v="2025-02-14T00:00:00"/>
    <n v="1"/>
    <n v="173210"/>
    <n v="0"/>
    <n v="0"/>
    <n v="173210"/>
    <n v="0"/>
    <n v="0"/>
    <n v="3"/>
  </r>
  <r>
    <s v="10/12/2025"/>
    <s v="2025-7941"/>
    <s v="Higher Education Awards"/>
    <s v="Liezle Cassels"/>
    <s v="PSQLIE001@myuct.ac.za"/>
    <s v="Submitted"/>
    <s v="Under Review"/>
    <x v="0"/>
    <x v="2"/>
    <x v="1"/>
    <x v="0"/>
    <s v="EM"/>
    <s v="Complete"/>
    <s v="Completed"/>
    <x v="1"/>
    <s v="UCT"/>
    <s v="MEd Psychology of Education"/>
    <s v="ADHD"/>
    <s v="Puleng"/>
    <s v="Wahbie"/>
    <s v="Puleng Segalo"/>
    <s v="Wahbie Long"/>
    <n v="67.857142857142861"/>
    <n v="28.571428571428569"/>
    <n v="48.214285714285715"/>
    <n v="2"/>
    <n v="1"/>
    <n v="3"/>
    <x v="0"/>
    <x v="0"/>
    <x v="0"/>
    <d v="2025-02-17T00:00:00"/>
    <n v="2"/>
    <n v="65385"/>
    <n v="64000"/>
    <n v="0"/>
    <n v="65385"/>
    <n v="64000"/>
    <n v="0"/>
    <n v="3"/>
  </r>
  <r>
    <s v="10/12/2025"/>
    <s v="2025-7966"/>
    <s v="Higher Education Awards"/>
    <s v="Thembeka Mnisi"/>
    <s v="thembekamnisi24@gmail.com"/>
    <s v="Submitted"/>
    <s v="Under Review"/>
    <x v="0"/>
    <x v="0"/>
    <x v="1"/>
    <x v="0"/>
    <s v="EM"/>
    <s v="Complete"/>
    <s v="Completed"/>
    <x v="4"/>
    <s v="University of Cape Town"/>
    <s v="MSc Epidemiology and Biostatistics"/>
    <s v="N/A topic to be assigned 2nd semester "/>
    <s v="Abdullah"/>
    <s v="Demetra"/>
    <s v="Abdullah Ely"/>
    <s v="Demetra Mavri-Damelin"/>
    <n v="50"/>
    <n v="53.571428571428569"/>
    <n v="51.785714285714285"/>
    <n v="3"/>
    <n v="3"/>
    <n v="6"/>
    <x v="0"/>
    <x v="0"/>
    <x v="0"/>
    <d v="2025-02-03T00:00:00"/>
    <n v="1"/>
    <n v="0.01"/>
    <n v="50000"/>
    <n v="0"/>
    <n v="0.01"/>
    <n v="50000"/>
    <n v="0"/>
    <n v="3"/>
  </r>
  <r>
    <s v="10/12/2025"/>
    <s v="2025-7992"/>
    <s v="Higher Education Awards"/>
    <s v="Thandeka Ngema"/>
    <s v="faith.ngema22@gmail.com"/>
    <s v="Submitted"/>
    <s v="Under Review"/>
    <x v="0"/>
    <x v="0"/>
    <x v="1"/>
    <x v="0"/>
    <s v="CB"/>
    <s v="Complete"/>
    <s v="Completed"/>
    <x v="1"/>
    <s v="Wits University"/>
    <s v="Master of Management in Governance (Public and Development Sector Monitoring and Evaluation)"/>
    <s v="Impact  Evaluation  of Small Town Rehabilitation Programme"/>
    <s v="David Johnson"/>
    <s v="Lindy"/>
    <s v="David Johnson"/>
    <s v="Lindy Stiebel"/>
    <n v="85.714285714285708"/>
    <n v="64.285714285714292"/>
    <n v="75"/>
    <n v="4"/>
    <n v="2"/>
    <n v="6"/>
    <x v="0"/>
    <x v="0"/>
    <x v="0"/>
    <d v="2025-03-26T00:00:00"/>
    <n v="2"/>
    <n v="47090"/>
    <n v="47090"/>
    <n v="0"/>
    <n v="47090"/>
    <n v="47090"/>
    <n v="0"/>
    <n v="3"/>
  </r>
  <r>
    <s v="10/12/2025"/>
    <s v="2025-8053"/>
    <s v="Higher Education Awards"/>
    <s v="Tiyisela Vukeya"/>
    <s v="Tiyiselacvukeya@gmail.com"/>
    <s v="Submitted"/>
    <s v="Under Review"/>
    <x v="0"/>
    <x v="0"/>
    <x v="1"/>
    <x v="0"/>
    <s v="CB"/>
    <s v="Complete"/>
    <s v="Completed"/>
    <x v="3"/>
    <s v="University of Venda"/>
    <s v="Master of Science in soil science"/>
    <s v="Effects of Tillage and Manure application on soil hydraulic properties and Sunflower grain yield in sandy soils in Limpopo"/>
    <s v="Martin Clark"/>
    <s v="Sindiso"/>
    <s v="Martin Clark"/>
    <s v="Sindiso Chamane"/>
    <n v="60.714285714285708"/>
    <n v="39.285714285714285"/>
    <n v="50"/>
    <n v="2"/>
    <n v="2"/>
    <n v="4"/>
    <x v="0"/>
    <x v="0"/>
    <x v="0"/>
    <d v="2025-03-31T00:00:00"/>
    <n v="2"/>
    <n v="114500"/>
    <n v="79000"/>
    <n v="0"/>
    <n v="114500"/>
    <n v="79000"/>
    <n v="0"/>
    <n v="2"/>
  </r>
  <r>
    <s v="10/12/2025"/>
    <s v="2025-8067"/>
    <s v="Higher Education Awards"/>
    <s v="Matsoso Keleabetsoe"/>
    <s v="keleabetsoematsoso@gmail.com"/>
    <s v="Submitted"/>
    <s v="Under Review"/>
    <x v="0"/>
    <x v="0"/>
    <x v="1"/>
    <x v="0"/>
    <s v="EM"/>
    <s v="Complete"/>
    <s v="Completed"/>
    <x v="8"/>
    <s v="North West University"/>
    <s v="LLM"/>
    <s v="Public Law and Philosophy"/>
    <s v="Carolina"/>
    <s v="Danie"/>
    <s v="Carolina Meyer"/>
    <s v="Danie Visser"/>
    <n v="57.142857142857139"/>
    <n v="67.857142857142861"/>
    <n v="62.5"/>
    <n v="2"/>
    <n v="1"/>
    <n v="3"/>
    <x v="0"/>
    <x v="0"/>
    <x v="0"/>
    <d v="2025-03-01T00:00:00"/>
    <n v="1"/>
    <n v="89911"/>
    <n v="0"/>
    <n v="0"/>
    <n v="89911"/>
    <n v="0"/>
    <n v="0"/>
    <n v="3"/>
  </r>
  <r>
    <s v="10/12/2025"/>
    <s v="2025-8073"/>
    <s v="Higher Education Awards"/>
    <s v="Senganele Sthandiwe Gina"/>
    <s v="senganelegina@gmail.com"/>
    <s v="Submitted"/>
    <s v="Under Review"/>
    <x v="0"/>
    <x v="0"/>
    <x v="1"/>
    <x v="0"/>
    <s v="EM"/>
    <s v="Complete"/>
    <s v="Completed"/>
    <x v="0"/>
    <s v="University of Zululand"/>
    <s v="Organic /Medicinal  Chemistry"/>
    <s v="Synthesis of 1-methyl-2,6-diaryl-1H-quinolin-4-ones with potential biological properties"/>
    <s v="Abdul"/>
    <s v="Matthew"/>
    <s v="Abdul Mahomed"/>
    <s v="Mathew Moodley"/>
    <n v="75"/>
    <n v="85.714285714285708"/>
    <n v="80.357142857142861"/>
    <n v="4"/>
    <n v="3"/>
    <n v="7"/>
    <x v="1"/>
    <x v="0"/>
    <x v="0"/>
    <d v="2025-02-07T00:00:00"/>
    <n v="1"/>
    <n v="130000"/>
    <n v="0"/>
    <n v="0"/>
    <n v="130000"/>
    <n v="0"/>
    <n v="0"/>
    <n v="2"/>
  </r>
  <r>
    <s v="10/12/2025"/>
    <s v="2025-8121"/>
    <s v="Higher Education Awards"/>
    <s v="musa matlou"/>
    <s v="mtlmus004@myuct.ac.za"/>
    <s v="Submitted"/>
    <s v="Under Review"/>
    <x v="0"/>
    <x v="0"/>
    <x v="0"/>
    <x v="0"/>
    <s v="CB"/>
    <s v="Complete"/>
    <s v="Completed"/>
    <x v="5"/>
    <s v="University of Cape Town"/>
    <s v="MSc in Mechanical Engineering"/>
    <s v="Thermofluid Design of an Air-Cooled Heat Exchanger for an sCO₂ Concentrated Solar  Power Plant"/>
    <s v="Finzi"/>
    <s v="Lesedi"/>
    <s v="Finzi Saidi"/>
    <s v="Lesedi Masisi"/>
    <n v="89.285714285714292"/>
    <n v="67.857142857142861"/>
    <n v="78.571428571428584"/>
    <n v="4"/>
    <n v="4"/>
    <n v="8"/>
    <x v="1"/>
    <x v="0"/>
    <x v="0"/>
    <d v="2025-02-24T00:00:00"/>
    <n v="2"/>
    <n v="171000"/>
    <n v="243000"/>
    <n v="0"/>
    <n v="171000"/>
    <n v="243000"/>
    <n v="0"/>
    <n v="3"/>
  </r>
  <r>
    <s v="10/12/2025"/>
    <s v="2025-8128"/>
    <s v="Higher Education Awards"/>
    <s v="Gcina Jojo"/>
    <s v="jojolufefkazi@gmail.com"/>
    <s v="Submitted"/>
    <s v="Under Review"/>
    <x v="0"/>
    <x v="0"/>
    <x v="1"/>
    <x v="0"/>
    <s v="EM"/>
    <s v="Complete"/>
    <s v="Completed"/>
    <x v="6"/>
    <s v="Stellenbosch University"/>
    <s v="MPhil in Interdisciplinary Arts Studies"/>
    <s v="Xhosa Christian Music History"/>
    <s v="Sam"/>
    <s v="Srila"/>
    <s v="Sam Kariuki"/>
    <s v="Srila Roy"/>
    <n v="78.571428571428569"/>
    <n v="64.285714285714292"/>
    <n v="71.428571428571431"/>
    <n v="4"/>
    <n v="3"/>
    <n v="7"/>
    <x v="0"/>
    <x v="0"/>
    <x v="0"/>
    <d v="2026-01-05T00:00:00"/>
    <n v="1"/>
    <n v="15000"/>
    <n v="0"/>
    <n v="0"/>
    <n v="15000"/>
    <n v="0"/>
    <n v="0"/>
    <n v="3"/>
  </r>
  <r>
    <s v="10/12/2025"/>
    <s v="2025-8201"/>
    <s v="Higher Education Awards"/>
    <s v="Samira Gholizadeh"/>
    <s v="ghlsam002@myuct.ac.za"/>
    <s v="Submitted"/>
    <s v="Under Review"/>
    <x v="1"/>
    <x v="3"/>
    <x v="1"/>
    <x v="0"/>
    <s v="EM"/>
    <s v="Complete"/>
    <s v="Completed"/>
    <x v="5"/>
    <s v="University of Cape Town (UCT)"/>
    <s v="Postdoc in Materials and Mechanical Engineering"/>
    <s v="AI in Materials Science"/>
    <s v="Finzi"/>
    <s v="Carin"/>
    <s v="Carin Brown"/>
    <s v="Finzi Saidi"/>
    <n v="77.777777777777786"/>
    <n v="97.222222222222214"/>
    <n v="87.5"/>
    <n v="3"/>
    <n v="4"/>
    <n v="7"/>
    <x v="1"/>
    <x v="0"/>
    <x v="0"/>
    <d v="2026-01-10T00:00:00"/>
    <n v="2"/>
    <n v="502800"/>
    <n v="521100"/>
    <n v="0"/>
    <n v="502800"/>
    <n v="521100"/>
    <n v="0"/>
    <n v="3"/>
  </r>
  <r>
    <s v="10/12/2025"/>
    <s v="2025-8204"/>
    <s v="Higher Education Awards"/>
    <s v="Kamo Maloka"/>
    <s v="kamomaloka10@gmail.com"/>
    <s v="Submitted"/>
    <s v="Under Review"/>
    <x v="0"/>
    <x v="0"/>
    <x v="1"/>
    <x v="0"/>
    <s v="EM"/>
    <s v="Complete"/>
    <s v="Completed"/>
    <x v="7"/>
    <s v="University of the Free State"/>
    <s v="Master of Music"/>
    <s v="A township gem: Amapiano as a reflection of socio-cultural and socio-economic realities in Soweto"/>
    <s v="Alexander"/>
    <s v="Susan"/>
    <s v="Alexander JOHNSON"/>
    <s v="Dr Musa-Duke Nkuna"/>
    <n v="89.285714285714292"/>
    <n v="89.285714285714292"/>
    <n v="89.285714285714292"/>
    <n v="5"/>
    <n v="5"/>
    <n v="10"/>
    <x v="1"/>
    <x v="1"/>
    <x v="1"/>
    <d v="2025-03-01T00:00:00"/>
    <n v="2"/>
    <n v="143621"/>
    <n v="176500"/>
    <n v="0"/>
    <n v="145000"/>
    <n v="177000"/>
    <n v="0"/>
    <n v="3"/>
  </r>
  <r>
    <s v="10/12/2025"/>
    <s v="2025-8210"/>
    <s v="Higher Education Awards"/>
    <s v="Leoné Steyn"/>
    <s v="20109970@sun.ac.za"/>
    <s v="Submitted"/>
    <s v="Under Review"/>
    <x v="0"/>
    <x v="1"/>
    <x v="1"/>
    <x v="0"/>
    <s v="EM"/>
    <s v="Complete"/>
    <s v="Completed"/>
    <x v="4"/>
    <s v="Stellenbosch University"/>
    <s v="MSc Neuroscience"/>
    <s v="Inflammation in PTSD"/>
    <s v="Abdullah"/>
    <s v="Demetra"/>
    <s v="Abdullah Ely"/>
    <s v="Demetra Mavri-Damelin"/>
    <n v="75"/>
    <n v="71.428571428571431"/>
    <n v="73.214285714285722"/>
    <n v="3"/>
    <n v="3"/>
    <n v="6"/>
    <x v="0"/>
    <x v="0"/>
    <x v="0"/>
    <d v="2025-01-01T00:00:00"/>
    <n v="1"/>
    <n v="222400"/>
    <n v="0"/>
    <n v="0"/>
    <n v="222400"/>
    <n v="0"/>
    <n v="0"/>
    <n v="4"/>
  </r>
  <r>
    <s v="10/12/2025"/>
    <s v="2025-8213"/>
    <s v="Higher Education Awards"/>
    <s v="ALLEN OLATUNDE"/>
    <s v="allen.olatunde@gmail.com"/>
    <s v="Submitted"/>
    <s v="Under Review"/>
    <x v="2"/>
    <x v="0"/>
    <x v="0"/>
    <x v="0"/>
    <s v="EM"/>
    <s v="Complete"/>
    <s v="Completed"/>
    <x v="1"/>
    <s v="Stellenbosch University South Africa"/>
    <s v="Missology"/>
    <s v="Theology"/>
    <s v="Khwezi"/>
    <s v="Robert"/>
    <s v="Khwezi Mkhize"/>
    <s v="Robert Peacock"/>
    <n v="75"/>
    <n v="57.142857142857139"/>
    <n v="66.071428571428569"/>
    <n v="4"/>
    <n v="2"/>
    <n v="6"/>
    <x v="0"/>
    <x v="0"/>
    <x v="0"/>
    <d v="2025-01-06T00:00:00"/>
    <n v="3"/>
    <n v="49580"/>
    <n v="99580"/>
    <n v="78580"/>
    <n v="49580"/>
    <n v="99580"/>
    <n v="78580"/>
    <n v="3"/>
  </r>
  <r>
    <s v="10/12/2025"/>
    <s v="2025-8237"/>
    <s v="Higher Education Awards"/>
    <s v="Ramatsobane Flaviour Shogole"/>
    <s v="Shogoleflaviour@yahoo.com"/>
    <s v="Submitted"/>
    <s v="Under Review"/>
    <x v="0"/>
    <x v="0"/>
    <x v="1"/>
    <x v="0"/>
    <s v="EM"/>
    <s v="Complete"/>
    <s v="Completed"/>
    <x v="6"/>
    <s v="Sefako Makgatho Health Sciences University"/>
    <s v="MSc Clinical Psychology"/>
    <s v="Coping strategies for managing Neurocognitive impairment among Non-CNS cancer patients at a tertiary hospital in the Tshwane district"/>
    <s v="Puleng"/>
    <s v="Annie"/>
    <s v="Annie Devenish"/>
    <s v="Puleng Segalo"/>
    <n v="85.714285714285708"/>
    <n v="71.428571428571431"/>
    <n v="78.571428571428569"/>
    <n v="4"/>
    <n v="3"/>
    <n v="7"/>
    <x v="1"/>
    <x v="0"/>
    <x v="0"/>
    <d v="2025-01-06T00:00:00"/>
    <n v="2"/>
    <n v="149000"/>
    <n v="149000"/>
    <n v="0"/>
    <n v="149000"/>
    <n v="149000"/>
    <n v="0"/>
    <n v="3"/>
  </r>
  <r>
    <s v="10/12/2025"/>
    <s v="2025-8241"/>
    <s v="Higher Education Awards"/>
    <s v="Monique Pretorius"/>
    <s v="monique.visser2x@gmail.com"/>
    <s v="Submitted"/>
    <s v="Under Review"/>
    <x v="0"/>
    <x v="1"/>
    <x v="1"/>
    <x v="0"/>
    <s v="CB"/>
    <s v="Complete"/>
    <s v="Completed"/>
    <x v="4"/>
    <s v="SMU (Sefako Makgatho Health Sciences University)"/>
    <s v="MMed Dermatology"/>
    <s v="STAPHYLOCOCCUS AUREUS COLONISATION IN PAEDIATRIC PATIENTS WITH ATOPIC DERMATITIS AT A TERTIARY HOSPITAL IN PRETORIA, GAUTENG PROVINCE."/>
    <s v="Janetta"/>
    <s v="John"/>
    <s v="Janetta Harbron"/>
    <s v="John Pettifor"/>
    <n v="71.428571428571431"/>
    <n v="39.285714285714285"/>
    <n v="55.357142857142861"/>
    <n v="4"/>
    <n v="1"/>
    <n v="5"/>
    <x v="0"/>
    <x v="0"/>
    <x v="0"/>
    <d v="2025-06-05T00:00:00"/>
    <n v="2"/>
    <n v="38000"/>
    <n v="36000"/>
    <n v="0"/>
    <n v="38000"/>
    <n v="36000"/>
    <n v="0"/>
    <n v="3"/>
  </r>
  <r>
    <s v="10/12/2025"/>
    <s v="2025-8243"/>
    <s v="Higher Education Awards"/>
    <s v="Xolile Nuse"/>
    <s v="xolilenuse@gmail.com"/>
    <s v="Submitted"/>
    <s v="Under Review"/>
    <x v="1"/>
    <x v="0"/>
    <x v="0"/>
    <x v="0"/>
    <s v="EM"/>
    <s v="Complete"/>
    <s v="Completed"/>
    <x v="4"/>
    <s v="University of the Witwatersrand"/>
    <s v="Postdoctoral Researcher in Infectious Disease Genomics"/>
    <s v="The use of whole genome sequencing for identification of isoniazid and fluoroquinolones resistance-conferring mutations missed by WHO recommended rapid nucleic acid amplification technologies (NAATs)"/>
    <s v="Jaya"/>
    <s v="Mary"/>
    <s v="Jaya George"/>
    <s v="Mary Kawonga"/>
    <n v="77.777777777777786"/>
    <n v="83.333333333333343"/>
    <n v="80.555555555555571"/>
    <n v="4"/>
    <n v="5"/>
    <n v="9"/>
    <x v="1"/>
    <x v="1"/>
    <x v="0"/>
    <d v="2026-01-01T00:00:00"/>
    <n v="2"/>
    <n v="417960"/>
    <n v="395960"/>
    <n v="0"/>
    <n v="417960"/>
    <n v="395960"/>
    <n v="0"/>
    <n v="3"/>
  </r>
  <r>
    <s v="10/12/2025"/>
    <s v="2025-8244"/>
    <s v="Higher Education Awards"/>
    <s v="Claire Rilett"/>
    <s v="cerilett@gmail.com"/>
    <s v="Submitted"/>
    <s v="Under Review"/>
    <x v="0"/>
    <x v="1"/>
    <x v="1"/>
    <x v="0"/>
    <s v="EM"/>
    <s v="Complete"/>
    <s v="Completed"/>
    <x v="1"/>
    <s v="Stellenbosch University"/>
    <s v="Master of Arts in History"/>
    <s v="Environmental history, specifically conservation history"/>
    <s v="Khwezi"/>
    <s v="Robert"/>
    <s v="Khwezi Mkhize"/>
    <s v="Robert Peacock"/>
    <n v="100"/>
    <n v="92.857142857142861"/>
    <n v="96.428571428571431"/>
    <n v="5"/>
    <n v="5"/>
    <n v="10"/>
    <x v="1"/>
    <x v="1"/>
    <x v="1"/>
    <d v="2025-02-03T00:00:00"/>
    <n v="1"/>
    <n v="95310"/>
    <n v="0"/>
    <n v="0"/>
    <n v="96000"/>
    <n v="0"/>
    <n v="0"/>
    <n v="3"/>
  </r>
  <r>
    <s v="10/12/2025"/>
    <s v="2025-8263"/>
    <s v="Higher Education Awards"/>
    <s v="Thina Gcobo"/>
    <s v="gcobothina@gmail.com"/>
    <s v="Submitted"/>
    <s v="Under Review"/>
    <x v="2"/>
    <x v="0"/>
    <x v="1"/>
    <x v="0"/>
    <s v="EM"/>
    <s v="Complete"/>
    <s v="Completed"/>
    <x v="4"/>
    <s v="UCT"/>
    <s v="PhD"/>
    <s v="Human Genetics"/>
    <s v="Mandeep"/>
    <s v="Zane"/>
    <s v="Mandeep Kaur"/>
    <s v="Zane Lombard"/>
    <n v="85.714285714285708"/>
    <n v="60.714285714285708"/>
    <n v="73.214285714285708"/>
    <n v="2"/>
    <n v="3"/>
    <n v="5"/>
    <x v="0"/>
    <x v="0"/>
    <x v="0"/>
    <d v="2026-06-01T00:00:00"/>
    <n v="3"/>
    <n v="241170"/>
    <n v="247000"/>
    <n v="253000"/>
    <n v="241170"/>
    <n v="247000"/>
    <n v="253000"/>
    <n v="3"/>
  </r>
  <r>
    <s v="10/12/2025"/>
    <s v="2025-8264"/>
    <s v="Higher Education Awards"/>
    <s v="Nontsikelelo Tshegofatso Ngixi"/>
    <s v="Tshegofatso.ngixi@icloud.com"/>
    <s v="Submitted"/>
    <s v="Under Review"/>
    <x v="0"/>
    <x v="0"/>
    <x v="1"/>
    <x v="0"/>
    <s v="EM"/>
    <s v="Complete"/>
    <s v="Completed"/>
    <x v="1"/>
    <s v="Sol Plaatje University"/>
    <s v="Masters of Setswana"/>
    <s v="The role of Setswana proverbs in shaping leadership in contemporary world"/>
    <s v="Sam"/>
    <s v="Srila"/>
    <s v="Sam Kariuki"/>
    <s v="Srila Roy"/>
    <n v="57.142857142857139"/>
    <n v="75"/>
    <n v="66.071428571428569"/>
    <n v="2"/>
    <n v="3"/>
    <n v="5"/>
    <x v="0"/>
    <x v="0"/>
    <x v="0"/>
    <d v="2026-02-16T00:00:00"/>
    <n v="2"/>
    <n v="180000"/>
    <n v="180000"/>
    <n v="0"/>
    <n v="180000"/>
    <n v="180000"/>
    <n v="0"/>
    <n v="3"/>
  </r>
  <r>
    <s v="10/12/2025"/>
    <s v="2025-8265"/>
    <s v="Higher Education Awards"/>
    <s v="Miaze Maboshe Lupinda"/>
    <s v="miazemaboshe@gmail.com"/>
    <s v="Submitted"/>
    <s v="Under Review"/>
    <x v="0"/>
    <x v="0"/>
    <x v="1"/>
    <x v="0"/>
    <s v="EM"/>
    <s v="Complete"/>
    <s v="Completed"/>
    <x v="2"/>
    <s v="University of Stellenbosch"/>
    <s v="MPhil in Development Finance"/>
    <s v="Blended Finance Models for Empowering Women and Youth Enterprises in Sub-Saharan Africa: Bridging the Financing Gap for Inclusive Growth"/>
    <s v="Helena"/>
    <s v="Shaun"/>
    <s v="Helena Barnard"/>
    <s v="Shaun Ruggunan"/>
    <n v="92.857142857142861"/>
    <n v="67.857142857142861"/>
    <n v="80.357142857142861"/>
    <n v="5"/>
    <n v="3"/>
    <n v="8"/>
    <x v="1"/>
    <x v="1"/>
    <x v="0"/>
    <d v="2026-04-13T00:00:00"/>
    <n v="2"/>
    <n v="172368"/>
    <n v="156586"/>
    <n v="0"/>
    <n v="172368"/>
    <n v="156586"/>
    <n v="0"/>
    <n v="3"/>
  </r>
  <r>
    <s v="10/12/2025"/>
    <s v="2025-8270"/>
    <s v="Higher Education Awards"/>
    <s v="Sinekamva Mnyamana"/>
    <s v="sinekamva503@gmail.com"/>
    <s v="Submitted"/>
    <s v="Under Review"/>
    <x v="0"/>
    <x v="0"/>
    <x v="0"/>
    <x v="0"/>
    <s v="EM"/>
    <s v="Complete"/>
    <s v="Completed"/>
    <x v="3"/>
    <s v="University of Johannesburg"/>
    <s v="Biochemistry"/>
    <s v="Metabolomics"/>
    <s v="Cobus"/>
    <s v="Michelle"/>
    <s v="Cobus Meyer Visagie"/>
    <s v="Michelle Greve"/>
    <n v="60.714285714285708"/>
    <n v="57.142857142857139"/>
    <n v="58.928571428571423"/>
    <n v="1"/>
    <n v="3"/>
    <n v="4"/>
    <x v="0"/>
    <x v="0"/>
    <x v="0"/>
    <d v="2025-01-01T00:00:00"/>
    <n v="2"/>
    <n v="230000"/>
    <n v="230000"/>
    <n v="0"/>
    <n v="230000"/>
    <n v="230000"/>
    <n v="0"/>
    <n v="3"/>
  </r>
  <r>
    <s v="10/12/2025"/>
    <s v="2025-8279"/>
    <s v="Higher Education Awards"/>
    <s v="Balungile Shamase"/>
    <s v="balungilesphelele@gmail.com"/>
    <s v="Submitted"/>
    <s v="Under Review"/>
    <x v="0"/>
    <x v="0"/>
    <x v="1"/>
    <x v="0"/>
    <s v="EM"/>
    <s v="Complete"/>
    <s v="Completed"/>
    <x v="3"/>
    <s v="University of Zululand "/>
    <s v="MSc Agriculture in Animal Science "/>
    <s v="Tripartite the interaction between gene expression, selenium profile and time to puberty attainment in lamb "/>
    <s v="Chenaimoyo"/>
    <s v="Francesca"/>
    <s v="Chenaimoyo Katiyatiya"/>
    <s v="Francesca Parrini"/>
    <n v="64.285714285714292"/>
    <n v="64.285714285714292"/>
    <n v="64.285714285714292"/>
    <n v="3"/>
    <n v="3"/>
    <n v="6"/>
    <x v="0"/>
    <x v="0"/>
    <x v="0"/>
    <d v="2025-05-29T00:00:00"/>
    <n v="2"/>
    <n v="127135"/>
    <n v="217135"/>
    <n v="0"/>
    <n v="127135"/>
    <n v="217135"/>
    <n v="0"/>
    <n v="2"/>
  </r>
  <r>
    <s v="10/12/2025"/>
    <s v="2025-8281"/>
    <s v="Higher Education Awards"/>
    <s v="Vuyo Seloane"/>
    <s v="vtseloane@gmail.com"/>
    <s v="Submitted"/>
    <s v="Under Review"/>
    <x v="0"/>
    <x v="0"/>
    <x v="0"/>
    <x v="0"/>
    <s v="EM"/>
    <s v="Complete"/>
    <s v="Completed"/>
    <x v="1"/>
    <s v="The University of the Witwatersrand"/>
    <s v="Clinical Psychology"/>
    <s v="The prevalence of African Spiritualist Treatment Programmes for mental illness in South Africa, and how they compare in efficacy to Western Psychodiagnostic and Treatment Programmes and Tools."/>
    <s v="David Johnson"/>
    <s v="Lindy"/>
    <s v="David Johnson"/>
    <s v="Lindy Stiebel"/>
    <n v="100"/>
    <n v="82.142857142857139"/>
    <n v="91.071428571428569"/>
    <n v="5"/>
    <n v="4"/>
    <n v="9"/>
    <x v="1"/>
    <x v="1"/>
    <x v="0"/>
    <d v="2026-01-01T00:00:00"/>
    <n v="2"/>
    <n v="190000"/>
    <n v="183000"/>
    <n v="0"/>
    <n v="190000"/>
    <n v="183000"/>
    <n v="0"/>
    <n v="3"/>
  </r>
  <r>
    <s v="10/12/2025"/>
    <s v="2025-8301"/>
    <s v="Higher Education Awards"/>
    <s v="Bianca Breytenbach"/>
    <s v="bianca.breytenbach@icloud.com"/>
    <s v="Submitted"/>
    <s v="Under Review"/>
    <x v="0"/>
    <x v="1"/>
    <x v="1"/>
    <x v="0"/>
    <s v="EM"/>
    <s v="Complete"/>
    <s v="Completed"/>
    <x v="4"/>
    <s v="University of Stellenbosch"/>
    <s v="MSc in Neuroscience"/>
    <s v="Epigenetic correlates of post-trauma symptom trajectories in South African adolescents"/>
    <s v="Mandeep"/>
    <s v="Zane"/>
    <s v="Mandeep Kaur"/>
    <s v="Zane Lombard"/>
    <n v="85.714285714285708"/>
    <n v="82.142857142857139"/>
    <n v="83.928571428571416"/>
    <n v="5"/>
    <n v="4"/>
    <n v="9"/>
    <x v="1"/>
    <x v="1"/>
    <x v="0"/>
    <d v="2026-01-01T00:00:00"/>
    <n v="2"/>
    <n v="132500"/>
    <n v="95300"/>
    <n v="0"/>
    <n v="132500"/>
    <n v="95300"/>
    <n v="0"/>
    <n v="3"/>
  </r>
  <r>
    <s v="10/12/2025"/>
    <s v="2025-8308"/>
    <s v="Higher Education Awards"/>
    <s v="Babatunde Opesemowo"/>
    <s v="tunexlevel8@gmail.com"/>
    <s v="Submitted"/>
    <s v="Under Review"/>
    <x v="2"/>
    <x v="0"/>
    <x v="0"/>
    <x v="0"/>
    <s v="EM"/>
    <s v="Complete"/>
    <s v="Completed"/>
    <x v="0"/>
    <s v="University of Johannesburg"/>
    <s v="PhD in Computer Science"/>
    <s v="Application of Artificial Intelligence in Robotic Chemistry"/>
    <s v="Clint"/>
    <s v="Daniel"/>
    <s v="Clint van Alten"/>
    <s v="Daniel Ramotsoela"/>
    <n v="75"/>
    <n v="46.428571428571431"/>
    <n v="60.714285714285715"/>
    <n v="3"/>
    <n v="1"/>
    <n v="4"/>
    <x v="0"/>
    <x v="0"/>
    <x v="0"/>
    <d v="2025-02-17T00:00:00"/>
    <n v="3"/>
    <n v="54333"/>
    <n v="57640"/>
    <n v="64240"/>
    <n v="54333"/>
    <n v="57640"/>
    <n v="64240"/>
    <n v="3"/>
  </r>
  <r>
    <s v="10/12/2025"/>
    <s v="2025-8322"/>
    <s v="Higher Education Awards"/>
    <s v="LERATO MAMOSEBO"/>
    <s v="leratomamosebo@yahoo.co.uk"/>
    <s v="Submitted"/>
    <s v="Under Review"/>
    <x v="0"/>
    <x v="0"/>
    <x v="1"/>
    <x v="0"/>
    <s v="EM"/>
    <s v="Complete"/>
    <s v="Completed"/>
    <x v="4"/>
    <s v="Sefako Makgatho Health Sciences University"/>
    <s v="MASTERS"/>
    <s v="The impact of vestibular function in adult patients with cognitive impairments: A Systematic review and Meta analysis"/>
    <s v="Abdullah"/>
    <s v="Demetra"/>
    <s v="Abdullah Ely"/>
    <s v="Demetra Mavri-Damelin"/>
    <n v="75"/>
    <n v="64.285714285714292"/>
    <n v="69.642857142857139"/>
    <n v="4"/>
    <n v="4"/>
    <n v="8"/>
    <x v="0"/>
    <x v="0"/>
    <x v="0"/>
    <d v="2025-04-01T00:00:00"/>
    <n v="2"/>
    <n v="230000"/>
    <n v="240000"/>
    <n v="0"/>
    <n v="230000"/>
    <n v="240000"/>
    <n v="0"/>
    <n v="3"/>
  </r>
  <r>
    <s v="10/12/2025"/>
    <s v="2025-8323"/>
    <s v="Higher Education Awards"/>
    <s v="Lesibana Petrus Maema"/>
    <s v="plesibana@gmail.com"/>
    <s v="Submitted"/>
    <s v="Under Review"/>
    <x v="2"/>
    <x v="0"/>
    <x v="0"/>
    <x v="0"/>
    <s v="EM"/>
    <s v="Complete"/>
    <s v="Completed"/>
    <x v="3"/>
    <s v="University of Venda"/>
    <s v="First choice: PhD Zoology"/>
    <s v="Prioritising introduction pathways for management of biological invasions in the Mapungubwe and Marakele National Park"/>
    <s v="Andrea"/>
    <s v="Themba"/>
    <s v="Andrea Fuller"/>
    <s v="Themba Mahlaba"/>
    <n v="71.428571428571431"/>
    <n v="89.285714285714292"/>
    <n v="80.357142857142861"/>
    <n v="2"/>
    <n v="3"/>
    <n v="5"/>
    <x v="0"/>
    <x v="0"/>
    <x v="0"/>
    <d v="2024-02-12T00:00:00"/>
    <n v="1"/>
    <n v="-38248"/>
    <n v="0"/>
    <n v="0"/>
    <n v="-38248"/>
    <n v="0"/>
    <n v="0"/>
    <n v="2"/>
  </r>
  <r>
    <s v="10/12/2025"/>
    <s v="2025-8324"/>
    <s v="Higher Education Awards"/>
    <s v="Caitlin Hoffman"/>
    <s v="26137305@sun.ac.za"/>
    <s v="Submitted"/>
    <s v="Under Review"/>
    <x v="0"/>
    <x v="1"/>
    <x v="1"/>
    <x v="0"/>
    <s v="EM"/>
    <s v="Complete"/>
    <s v="Completed"/>
    <x v="3"/>
    <s v="Stellenbosch University"/>
    <s v="MSc Microbiology"/>
    <s v="Yeast Biotechnology"/>
    <s v="Martin"/>
    <s v="Tuan"/>
    <s v="Martin Coetzee"/>
    <s v="Tuan Duong"/>
    <n v="75"/>
    <n v="75"/>
    <n v="75"/>
    <n v="4"/>
    <n v="3"/>
    <n v="7"/>
    <x v="0"/>
    <x v="0"/>
    <x v="0"/>
    <d v="2026-02-01T00:00:00"/>
    <n v="2"/>
    <n v="146500"/>
    <n v="146500"/>
    <n v="0"/>
    <n v="146500"/>
    <n v="146500"/>
    <n v="0"/>
    <n v="3"/>
  </r>
  <r>
    <s v="10/12/2025"/>
    <s v="2025-8340"/>
    <s v="Higher Education Awards"/>
    <s v="Januario Da Costa Hossi"/>
    <s v="hossijanuario70@gmail.com"/>
    <s v="Submitted"/>
    <s v="Under Review"/>
    <x v="1"/>
    <x v="0"/>
    <x v="0"/>
    <x v="0"/>
    <s v="EM"/>
    <s v="Complete"/>
    <s v="Completed"/>
    <x v="5"/>
    <s v="University of the Witwatersrand"/>
    <s v="Chemical Engineering"/>
    <s v="Biodiesel waste valorisation though hydrothermal carbonization technology for sustainable biofuels production in South Africa"/>
    <s v="Lesedi"/>
    <s v="Pieter"/>
    <s v="Lesedi Masisi"/>
    <s v="Pieter Pistorius"/>
    <n v="66.666666666666657"/>
    <n v="58.333333333333336"/>
    <n v="62.5"/>
    <n v="2"/>
    <n v="2"/>
    <n v="4"/>
    <x v="0"/>
    <x v="0"/>
    <x v="0"/>
    <d v="2026-01-05T00:00:00"/>
    <n v="2"/>
    <n v="490000"/>
    <n v="455000"/>
    <n v="0"/>
    <n v="490000"/>
    <n v="455000"/>
    <n v="0"/>
    <n v="3"/>
  </r>
  <r>
    <s v="10/12/2025"/>
    <s v="2025-8341"/>
    <s v="Higher Education Awards"/>
    <s v="Gugulethu Khumalo"/>
    <s v="g.p.khumalo@qmul.ac.uk"/>
    <s v="Submitted"/>
    <s v="Under Review"/>
    <x v="1"/>
    <x v="0"/>
    <x v="1"/>
    <x v="1"/>
    <s v="EM"/>
    <s v="Complete, budget not corrected"/>
    <s v="Completed"/>
    <x v="4"/>
    <s v="Queen Mary University of London"/>
    <s v="Immunology with a focus on natural product therapeutics"/>
    <s v="Anti-inflammatory and Pro-resolving effects of Indigenous South African medicinal plants"/>
    <s v="Nicola"/>
    <s v="Riffat"/>
    <s v="Nicola Christofides"/>
    <s v="Riffat Munir"/>
    <n v="82.5"/>
    <n v="87.5"/>
    <n v="85"/>
    <n v="4"/>
    <n v="4"/>
    <n v="8"/>
    <x v="1"/>
    <x v="1"/>
    <x v="0"/>
    <d v="2024-11-18T00:00:00"/>
    <n v="1"/>
    <n v="520039.5"/>
    <n v="0"/>
    <n v="0"/>
    <n v="520039.5"/>
    <n v="0"/>
    <n v="0"/>
    <n v="3"/>
  </r>
  <r>
    <s v="10/12/2025"/>
    <s v="2025-8352"/>
    <s v="Higher Education Awards"/>
    <s v="Leegan Govender"/>
    <s v="govenderl@sun.ac.za"/>
    <s v="Submitted"/>
    <s v="Under Review"/>
    <x v="2"/>
    <x v="4"/>
    <x v="1"/>
    <x v="0"/>
    <s v="EM"/>
    <s v="Complete"/>
    <s v="Completed"/>
    <x v="4"/>
    <s v="University of Stellenbosch"/>
    <s v="PhD Human Genetics"/>
    <s v="Autophagy related to Tuberculosis in South Africa"/>
    <s v="Mandeep"/>
    <s v="Zane"/>
    <s v="Mandeep Kaur"/>
    <s v="Zane Lombard"/>
    <n v="96.428571428571431"/>
    <n v="92.857142857142861"/>
    <n v="94.642857142857139"/>
    <n v="5"/>
    <n v="5"/>
    <n v="10"/>
    <x v="1"/>
    <x v="1"/>
    <x v="1"/>
    <d v="2025-01-28T00:00:00"/>
    <n v="3"/>
    <n v="260000"/>
    <n v="250000"/>
    <n v="250000"/>
    <n v="260000"/>
    <n v="250000"/>
    <n v="250000"/>
    <n v="3"/>
  </r>
  <r>
    <s v="10/12/2025"/>
    <s v="2025-8359"/>
    <s v="Higher Education Awards"/>
    <s v="Danielle Sabor"/>
    <s v="dlsabor196@gmail.com"/>
    <s v="Submitted"/>
    <s v="Under Review"/>
    <x v="0"/>
    <x v="1"/>
    <x v="1"/>
    <x v="0"/>
    <s v="EM"/>
    <s v="Complete"/>
    <s v="Completed"/>
    <x v="0"/>
    <s v="University of Cape Town"/>
    <s v="Organometalic chemistry"/>
    <s v="Benzothiazole based ruthenium complexes used as anti-cancer agents"/>
    <s v="Abdul"/>
    <s v="Nabanita "/>
    <s v="Abdul Mahomed"/>
    <s v="Nabanita Chatterjee"/>
    <n v="71.428571428571431"/>
    <n v="78.571428571428569"/>
    <n v="75"/>
    <n v="3"/>
    <n v="4"/>
    <n v="7"/>
    <x v="0"/>
    <x v="0"/>
    <x v="0"/>
    <d v="2026-01-12T00:00:00"/>
    <n v="2"/>
    <n v="246500"/>
    <n v="246500"/>
    <n v="0"/>
    <n v="246500"/>
    <n v="246500"/>
    <n v="0"/>
    <n v="2"/>
  </r>
  <r>
    <s v="10/12/2025"/>
    <s v="2025-8383"/>
    <s v="Higher Education Awards"/>
    <s v="Bahle Luyanda Mntambo"/>
    <s v="bahledave@gmail.com"/>
    <s v="Submitted"/>
    <s v="Under Review"/>
    <x v="2"/>
    <x v="0"/>
    <x v="0"/>
    <x v="0"/>
    <s v="EM"/>
    <s v="Complete"/>
    <s v="Completed"/>
    <x v="0"/>
    <s v="University of Johannesburg"/>
    <s v="PhD Computational Chemistry"/>
    <s v="Structure-Based Design of Indole-Pyrazole Derivatives as Dual BRAF/MEK Inhibitors: Synthesis, Anticancer Activity, and Computational Validation of MAPK Pathway Suppression."/>
    <s v="Abdul"/>
    <s v="Nabanita "/>
    <s v="Abdul Mahomed"/>
    <s v="Nabanita Chatterjee"/>
    <n v="89.285714285714292"/>
    <n v="78.571428571428569"/>
    <n v="83.928571428571431"/>
    <n v="5"/>
    <n v="3"/>
    <n v="8"/>
    <x v="1"/>
    <x v="1"/>
    <x v="0"/>
    <d v="2026-02-02T00:00:00"/>
    <n v="3"/>
    <n v="188000"/>
    <n v="168000"/>
    <n v="168000"/>
    <n v="188000"/>
    <n v="168000"/>
    <n v="168000"/>
    <n v="3"/>
  </r>
  <r>
    <s v="10/12/2025"/>
    <s v="2025-8409"/>
    <s v="Higher Education Awards"/>
    <s v="GUGULETHU JAMJAM"/>
    <s v="LULOBAND@GMAIL.COM"/>
    <s v="Submitted"/>
    <s v="Under Review"/>
    <x v="0"/>
    <x v="0"/>
    <x v="0"/>
    <x v="0"/>
    <s v="EM"/>
    <s v="Complete"/>
    <s v="Completed"/>
    <x v="1"/>
    <s v="University of Cape Town"/>
    <s v="Criminal Justice Social Work"/>
    <s v="Introduction to Forensic Social Work and Probation Practice in South Africa."/>
    <s v="Khwezi"/>
    <s v="Robert"/>
    <s v="Khwezi Mkhize"/>
    <s v="Robert Peacock"/>
    <n v="85.714285714285708"/>
    <n v="71.428571428571431"/>
    <n v="78.571428571428569"/>
    <n v="4"/>
    <n v="3"/>
    <n v="7"/>
    <x v="1"/>
    <x v="0"/>
    <x v="0"/>
    <d v="2025-01-27T00:00:00"/>
    <n v="1"/>
    <n v="147560"/>
    <n v="0"/>
    <n v="0"/>
    <n v="147560"/>
    <n v="0"/>
    <n v="0"/>
    <n v="3"/>
  </r>
  <r>
    <s v="10/12/2025"/>
    <s v="2025-8417"/>
    <s v="Higher Education Awards"/>
    <s v="Khadijah Amarah Moosa"/>
    <s v="amarahmoosa62@gmail.com"/>
    <s v="Submitted"/>
    <s v="Under Review"/>
    <x v="0"/>
    <x v="4"/>
    <x v="1"/>
    <x v="0"/>
    <s v="EM"/>
    <s v="Complete"/>
    <s v="Completed"/>
    <x v="3"/>
    <s v="University of Cape Town"/>
    <s v="Masters in Biological Science"/>
    <s v="Locomotor performance, thermal physiology, and osteoderm variation in Hemicordylus capensis."/>
    <s v="Diederik"/>
    <s v="Markus"/>
    <s v="Diederik Opperman"/>
    <s v="Markus Wilken"/>
    <n v="57.142857142857139"/>
    <n v="75"/>
    <n v="66.071428571428569"/>
    <n v="2"/>
    <n v="5"/>
    <n v="7"/>
    <x v="0"/>
    <x v="0"/>
    <x v="0"/>
    <d v="2026-02-09T00:00:00"/>
    <n v="2"/>
    <n v="287600"/>
    <n v="287600"/>
    <n v="0"/>
    <n v="287600"/>
    <n v="287600"/>
    <n v="0"/>
    <n v="3"/>
  </r>
  <r>
    <s v="10/12/2025"/>
    <s v="2025-8431"/>
    <s v="Higher Education Awards"/>
    <s v="Siyanda Mntambo"/>
    <s v="syandamntambo88@gmail.com"/>
    <s v="Submitted"/>
    <s v="Under Review"/>
    <x v="0"/>
    <x v="0"/>
    <x v="0"/>
    <x v="0"/>
    <s v="EM"/>
    <s v="Complete"/>
    <s v="Completed"/>
    <x v="3"/>
    <s v="University of Zululand"/>
    <s v="Masters"/>
    <s v="Influence of catfish and tilapia effluent on the Agro-morphological and nutrient evaluation of groundnut infested with groundnut leaf miner"/>
    <s v="Cobus"/>
    <s v="Michelle"/>
    <s v="Cobus Meyer Visagie"/>
    <s v="Michelle Greve"/>
    <n v="42.857142857142854"/>
    <n v="57.142857142857139"/>
    <n v="50"/>
    <n v="1"/>
    <n v="2"/>
    <n v="3"/>
    <x v="0"/>
    <x v="0"/>
    <x v="0"/>
    <d v="2025-01-04T00:00:00"/>
    <n v="2"/>
    <n v="58500"/>
    <n v="75000"/>
    <n v="0"/>
    <n v="58500"/>
    <n v="75000"/>
    <n v="0"/>
    <n v="2"/>
  </r>
  <r>
    <s v="10/12/2025"/>
    <s v="2025-8445"/>
    <s v="Higher Education Awards"/>
    <s v="S'phamandla Msomi"/>
    <s v="21955453@dut4life.ac.za"/>
    <s v="Submitted"/>
    <s v="Under Review"/>
    <x v="2"/>
    <x v="0"/>
    <x v="0"/>
    <x v="0"/>
    <s v="EM"/>
    <s v="Complete"/>
    <s v="Completed"/>
    <x v="3"/>
    <s v="University of the Western Cape"/>
    <s v="PhD in Biotechnology"/>
    <s v="Characterization of Class I lanthipeptides from Gram-negative marine invertebrate endosymbionts"/>
    <s v="Diederik"/>
    <s v="Markus"/>
    <s v="Diederik Opperman"/>
    <s v="Markus Wilken"/>
    <n v="67.857142857142861"/>
    <n v="71.428571428571431"/>
    <n v="69.642857142857139"/>
    <n v="3"/>
    <n v="5"/>
    <n v="8"/>
    <x v="0"/>
    <x v="0"/>
    <x v="0"/>
    <d v="2026-01-15T00:00:00"/>
    <n v="3"/>
    <n v="200000"/>
    <n v="200000"/>
    <n v="200000"/>
    <n v="200000"/>
    <n v="200000"/>
    <n v="200000"/>
    <n v="3"/>
  </r>
  <r>
    <s v="10/12/2025"/>
    <s v="2025-8338"/>
    <s v="Higher Education Awards"/>
    <s v="Gustav Lindemann"/>
    <s v="gustavqs@outlook.com"/>
    <s v="Submitted"/>
    <s v="Under Review"/>
    <x v="0"/>
    <x v="1"/>
    <x v="0"/>
    <x v="0"/>
    <s v="EM"/>
    <s v="Complete"/>
    <s v="Completed"/>
    <x v="6"/>
    <s v="South African College of Applied Psychology (SACAP)"/>
    <s v="Masters Degree"/>
    <s v="Community Mental Health Promotion"/>
    <s v="Nonki"/>
    <s v="Brian"/>
    <s v="Brian Sibanda"/>
    <s v="Nonki Motahane"/>
    <n v="71.428571428571431"/>
    <n v="42.857142857142854"/>
    <n v="57.142857142857139"/>
    <n v="3"/>
    <n v="1"/>
    <n v="4"/>
    <x v="0"/>
    <x v="0"/>
    <x v="0"/>
    <d v="2025-02-17T00:00:00"/>
    <n v="1"/>
    <n v="94656"/>
    <n v="0"/>
    <n v="0"/>
    <n v="94656"/>
    <n v="0"/>
    <n v="0"/>
    <n v="3"/>
  </r>
  <r>
    <s v="10/12/2025"/>
    <s v="2025-8461"/>
    <s v="Higher Education Awards"/>
    <s v="Courtney Elizabeth Brown"/>
    <s v="2331319@students.wits.ac.za"/>
    <s v="Submitted"/>
    <s v="Under Review"/>
    <x v="2"/>
    <x v="1"/>
    <x v="1"/>
    <x v="0"/>
    <s v="EM"/>
    <s v="Complete"/>
    <s v="Completed"/>
    <x v="4"/>
    <s v="University of the Witwatersrand"/>
    <s v="PhD Biochemistry &amp; Cell Biology"/>
    <s v="Drug development for Parkinson's disease"/>
    <s v="Raymond"/>
    <s v="Shahidul"/>
    <s v="Md. Shahidul Islam"/>
    <s v="Raymond Hewer"/>
    <n v="75"/>
    <n v="60.714285714285708"/>
    <n v="67.857142857142861"/>
    <n v="3"/>
    <n v="2"/>
    <n v="5"/>
    <x v="0"/>
    <x v="0"/>
    <x v="0"/>
    <d v="2026-03-02T00:00:00"/>
    <n v="3"/>
    <n v="230690"/>
    <n v="250690"/>
    <n v="270690"/>
    <n v="230690"/>
    <n v="250690"/>
    <n v="270690"/>
    <n v="3"/>
  </r>
  <r>
    <s v="10/12/2025"/>
    <s v="2025-8477"/>
    <s v="Higher Education Awards"/>
    <s v="Thabiso Mlambo"/>
    <s v="bigjartwork2@gmail.com"/>
    <s v="Submitted"/>
    <s v="Under Review"/>
    <x v="0"/>
    <x v="0"/>
    <x v="0"/>
    <x v="0"/>
    <s v="EM"/>
    <s v="Complete"/>
    <s v="Completed"/>
    <x v="5"/>
    <s v="University of Johannesburg"/>
    <s v="Industrial design (product design)"/>
    <s v="Participatory Design for Sustainability: Exploring Inclusive Approaches to Designing Affordable and Functional Below-the-Knee Prosthetics."/>
    <s v="Finzi"/>
    <s v="Carin"/>
    <s v="Carin Brown"/>
    <s v="Finzi Saidi"/>
    <n v="75"/>
    <n v="57.142857142857139"/>
    <n v="66.071428571428569"/>
    <n v="3"/>
    <n v="3"/>
    <n v="6"/>
    <x v="0"/>
    <x v="0"/>
    <x v="0"/>
    <d v="2025-02-10T00:00:00"/>
    <n v="2"/>
    <n v="90538"/>
    <n v="80538"/>
    <n v="0"/>
    <n v="90538"/>
    <n v="80538"/>
    <n v="0"/>
    <n v="3"/>
  </r>
  <r>
    <s v="10/12/2025"/>
    <s v="2025-8478"/>
    <s v="Higher Education Awards"/>
    <s v="Sinako Mxabo"/>
    <s v="Sinako.Mxabo@gmail.com"/>
    <s v="Submitted"/>
    <s v="Under Review"/>
    <x v="0"/>
    <x v="0"/>
    <x v="0"/>
    <x v="0"/>
    <s v="EM"/>
    <s v="Complete"/>
    <s v="Completed"/>
    <x v="2"/>
    <s v="University of KwaZulu Natal"/>
    <s v="MCOM in Leadership"/>
    <s v="The Role of Government Support in Facilitating New Venture Creation: An Entrepreneurship Perspective in South Africa"/>
    <s v="Helena"/>
    <s v="Shaun"/>
    <s v="Helena Barnard"/>
    <s v="Shaun Ruggunan"/>
    <n v="60.714285714285708"/>
    <n v="75"/>
    <n v="67.857142857142861"/>
    <n v="3"/>
    <n v="3"/>
    <n v="6"/>
    <x v="0"/>
    <x v="0"/>
    <x v="0"/>
    <d v="2026-01-29T00:00:00"/>
    <n v="1"/>
    <n v="40000"/>
    <n v="0"/>
    <n v="0"/>
    <n v="40000"/>
    <n v="0"/>
    <n v="0"/>
    <n v="2"/>
  </r>
  <r>
    <s v="10/12/2025"/>
    <s v="2025-8489"/>
    <s v="Higher Education Awards"/>
    <s v="Suveena Govender"/>
    <s v="suveenagovender@gmail.com"/>
    <s v="Submitted"/>
    <s v="Under Review"/>
    <x v="2"/>
    <x v="4"/>
    <x v="1"/>
    <x v="0"/>
    <s v="EM"/>
    <s v="Complete"/>
    <s v="Completed"/>
    <x v="3"/>
    <s v="University of KwaZulu-Natal"/>
    <s v="Genetics"/>
    <s v="Antibiotic resistance genes and bacteria in fish from the local rivers in KwaZulu-Natal"/>
    <s v="Andrea"/>
    <s v="Themba"/>
    <s v="Andrea Fuller"/>
    <s v="Themba Mahlaba"/>
    <n v="67.857142857142861"/>
    <n v="75"/>
    <n v="71.428571428571431"/>
    <n v="3"/>
    <n v="3"/>
    <n v="6"/>
    <x v="0"/>
    <x v="0"/>
    <x v="0"/>
    <d v="2026-02-25T00:00:00"/>
    <n v="2"/>
    <n v="128400"/>
    <n v="128400"/>
    <n v="0"/>
    <n v="128400"/>
    <n v="128400"/>
    <n v="0"/>
    <n v="3"/>
  </r>
  <r>
    <s v="10/12/2025"/>
    <s v="2025-8377"/>
    <s v="Higher Education Awards"/>
    <s v="Cindy-Melissa Mouton"/>
    <s v="cindymouton.speech@gmail.com"/>
    <s v="Submitted"/>
    <s v="Under Review"/>
    <x v="2"/>
    <x v="2"/>
    <x v="1"/>
    <x v="0"/>
    <s v="EM"/>
    <s v="Complete"/>
    <s v="Completed"/>
    <x v="1"/>
    <s v="University of Pretoria"/>
    <s v="Doctoral"/>
    <s v="The effectiveness of a training program in the transdisciplinary model on the collaboration of rehabilitation professionals working in the early childhood intervention population in South Africa"/>
    <s v="Nonki"/>
    <s v="Brian"/>
    <s v="Brian Sibanda"/>
    <s v="Nonki Motahane"/>
    <n v="82.142857142857139"/>
    <n v="75"/>
    <n v="78.571428571428569"/>
    <n v="5"/>
    <n v="4"/>
    <n v="9"/>
    <x v="1"/>
    <x v="0"/>
    <x v="0"/>
    <d v="2026-01-01T00:00:00"/>
    <n v="3"/>
    <n v="61000"/>
    <n v="66000"/>
    <n v="66000"/>
    <n v="61000"/>
    <n v="66000"/>
    <n v="66000"/>
    <n v="3"/>
  </r>
  <r>
    <s v="10/12/2025"/>
    <s v="2025-8503"/>
    <s v="Higher Education Awards"/>
    <s v="Mahali Augustina Makhetha"/>
    <s v="hlajoanemahali@yahoo.com"/>
    <s v="Submitted"/>
    <s v="Under Review"/>
    <x v="2"/>
    <x v="0"/>
    <x v="1"/>
    <x v="0"/>
    <s v="EM"/>
    <s v="Complete"/>
    <s v="Completed"/>
    <x v="2"/>
    <s v="University of Johannesburg"/>
    <s v="PhD in Economics"/>
    <s v="The outcomes of financial support to education on subjective well-being and labour market success – A focus on the post-school education in South Africa"/>
    <s v="Helena"/>
    <s v="Shaun"/>
    <s v="Helena Barnard"/>
    <s v="Shaun Ruggunan"/>
    <n v="78.571428571428569"/>
    <n v="67.857142857142861"/>
    <n v="73.214285714285722"/>
    <n v="5"/>
    <n v="3"/>
    <n v="8"/>
    <x v="0"/>
    <x v="0"/>
    <x v="0"/>
    <d v="2025-01-29T00:00:00"/>
    <n v="3"/>
    <n v="262316"/>
    <n v="277516"/>
    <n v="290812"/>
    <n v="262316"/>
    <n v="277516"/>
    <n v="290812"/>
    <n v="3"/>
  </r>
  <r>
    <s v="10/12/2025"/>
    <s v="2025-8519"/>
    <s v="Higher Education Awards"/>
    <s v="Tricia Nhlapho"/>
    <s v="Triciaanhlapho@gmail.com"/>
    <s v="Submitted"/>
    <s v="Under Review"/>
    <x v="0"/>
    <x v="0"/>
    <x v="1"/>
    <x v="0"/>
    <s v="EM"/>
    <s v="Complete"/>
    <s v="Completed"/>
    <x v="4"/>
    <s v="University of Cape Town"/>
    <s v="MSc Med (by dissertation)"/>
    <s v="Towards enhancing culturability of mycobacterium tuberculosis in exhaled breath condensate samples using culture filtrate supplementation"/>
    <s v="Frasia"/>
    <s v="Neil"/>
    <s v="Frasia Oosthuizen"/>
    <s v="Neil Coville"/>
    <n v="71.428571428571431"/>
    <n v="71.428571428571431"/>
    <n v="71.428571428571431"/>
    <n v="3"/>
    <n v="4"/>
    <n v="7"/>
    <x v="0"/>
    <x v="0"/>
    <x v="0"/>
    <d v="2025-02-17T00:00:00"/>
    <n v="2"/>
    <n v="117100"/>
    <n v="214900"/>
    <n v="0"/>
    <n v="117100"/>
    <n v="214900"/>
    <n v="0"/>
    <n v="3"/>
  </r>
  <r>
    <s v="10/12/2025"/>
    <s v="2025-8530"/>
    <s v="Higher Education Awards"/>
    <s v="Hlayisani Makhubele"/>
    <s v="hngobeni@yahoo.com"/>
    <s v="Submitted"/>
    <s v="Under Review"/>
    <x v="2"/>
    <x v="0"/>
    <x v="0"/>
    <x v="0"/>
    <s v="EM"/>
    <s v="Complete"/>
    <s v="Completed"/>
    <x v="5"/>
    <s v="North West University"/>
    <s v="PhD in Disaster Risk Science"/>
    <s v="Assessing the Current State of Urban Resilience in Durban’s Informal Settlements: An Application of the CityRAP Methodology for Disaster Risk Reduction and Sustainable Development"/>
    <s v="Finzi"/>
    <s v="Carin"/>
    <s v="Carin Brown"/>
    <s v="Finzi Saidi"/>
    <n v="67.857142857142861"/>
    <n v="32.142857142857146"/>
    <n v="50"/>
    <n v="3"/>
    <n v="1"/>
    <n v="4"/>
    <x v="0"/>
    <x v="0"/>
    <x v="0"/>
    <d v="2026-02-01T00:00:00"/>
    <n v="3"/>
    <n v="179000"/>
    <n v="182000"/>
    <n v="190000"/>
    <n v="179000"/>
    <n v="182000"/>
    <n v="190000"/>
    <n v="3"/>
  </r>
  <r>
    <s v="10/12/2025"/>
    <s v="2025-8561"/>
    <s v="Higher Education Awards"/>
    <s v="Mishka Reddy"/>
    <s v="Mishkareddy@gmail.com"/>
    <s v="Submitted"/>
    <s v="Under Review"/>
    <x v="2"/>
    <x v="2"/>
    <x v="1"/>
    <x v="0"/>
    <s v="EM"/>
    <s v="Complete"/>
    <s v="Completed"/>
    <x v="1"/>
    <s v="University of Cape Town"/>
    <s v="Higher Education Studies (PhD in Education)"/>
    <s v="Exploring academic writing in the Humanities and Social Sciences Extended Curriculum Programme as a sociomaterial assemblage of people, technologies, and institutional context"/>
    <s v="David Johnson"/>
    <s v="Lindy"/>
    <s v="David Johnson"/>
    <s v="Lindy Stiebel"/>
    <n v="92.857142857142861"/>
    <n v="82.142857142857139"/>
    <n v="87.5"/>
    <n v="5"/>
    <n v="4"/>
    <n v="9"/>
    <x v="1"/>
    <x v="1"/>
    <x v="0"/>
    <d v="2025-02-03T00:00:00"/>
    <n v="3"/>
    <n v="361162.88"/>
    <n v="509038.56"/>
    <n v="597343.25"/>
    <n v="350000"/>
    <n v="350000"/>
    <n v="350000"/>
    <n v="3"/>
  </r>
  <r>
    <s v="10/12/2025"/>
    <s v="2025-8575"/>
    <s v="Higher Education Awards"/>
    <s v="Wanga Ngwane"/>
    <s v="wangangwane@gmail.com"/>
    <s v="Submitted"/>
    <s v="Under Review"/>
    <x v="0"/>
    <x v="0"/>
    <x v="0"/>
    <x v="1"/>
    <s v="EM"/>
    <s v="Complete"/>
    <s v="Completed"/>
    <x v="5"/>
    <s v="Institute for Advanced Architecture of Catalonia (IAAC)"/>
    <s v="Masters in Design for Emerging Futures"/>
    <s v="Circular Design and Sustainability"/>
    <s v="Finzi"/>
    <s v="Carin"/>
    <s v="Carin Brown"/>
    <s v="Finzi Saidi"/>
    <n v="62.5"/>
    <n v="62.5"/>
    <n v="62.5"/>
    <n v="2"/>
    <n v="3"/>
    <n v="5"/>
    <x v="0"/>
    <x v="0"/>
    <x v="0"/>
    <d v="2026-10-01T00:00:00"/>
    <n v="1"/>
    <n v="251915.63"/>
    <n v="0"/>
    <n v="0"/>
    <n v="251915.63"/>
    <n v="0"/>
    <n v="0"/>
    <n v="3"/>
  </r>
  <r>
    <s v="10/12/2025"/>
    <s v="2025-8600"/>
    <s v="Higher Education Awards"/>
    <s v="Mziwakhe Mgwenya"/>
    <s v="Mgwenyamziwakhe@gmail.com"/>
    <s v="Submitted"/>
    <s v="Under Review"/>
    <x v="0"/>
    <x v="0"/>
    <x v="0"/>
    <x v="0"/>
    <s v="EM"/>
    <s v="Complete"/>
    <s v="Completed"/>
    <x v="8"/>
    <s v="UNIVERSITY OF SOUTH AFRICA"/>
    <s v="MASTERS IN LAW"/>
    <s v="HUMAN RIGHTS AND CONSTITUTIONAL"/>
    <s v="Carolina"/>
    <s v="Danie"/>
    <s v="Carolina Meyer"/>
    <s v="Danie Visser"/>
    <n v="46.428571428571431"/>
    <n v="50"/>
    <n v="48.214285714285715"/>
    <n v="2"/>
    <n v="1"/>
    <n v="3"/>
    <x v="0"/>
    <x v="0"/>
    <x v="0"/>
    <d v="2026-01-01T00:00:00"/>
    <n v="1"/>
    <n v="190000"/>
    <n v="100"/>
    <n v="0"/>
    <n v="190000"/>
    <n v="100"/>
    <n v="0"/>
    <n v="3"/>
  </r>
  <r>
    <s v="10/12/2025"/>
    <s v="2025-8640"/>
    <s v="Higher Education Awards"/>
    <s v="George Nyamboga"/>
    <s v="nyamboga.nyanarogeorge@gmail.com"/>
    <s v="Submitted"/>
    <s v="Under Review"/>
    <x v="0"/>
    <x v="0"/>
    <x v="0"/>
    <x v="0"/>
    <s v="EM"/>
    <s v="Complete"/>
    <s v="Completed"/>
    <x v="8"/>
    <s v="Stellenbosch"/>
    <s v="Master of Laws in Alternative Resolution"/>
    <s v="The Role of Specialised dispute resolution mechanisms in resolving human rights infringements-particularly natural resources' conflicts-in Africa"/>
    <s v="Carolina"/>
    <s v="Danie"/>
    <s v="Carolina Meyer"/>
    <s v="Danie Visser"/>
    <n v="64.285714285714292"/>
    <n v="75"/>
    <n v="69.642857142857139"/>
    <n v="4"/>
    <n v="2"/>
    <n v="6"/>
    <x v="0"/>
    <x v="0"/>
    <x v="0"/>
    <d v="2026-06-01T00:00:00"/>
    <n v="1"/>
    <n v="250000"/>
    <n v="0"/>
    <n v="0"/>
    <n v="250000"/>
    <n v="0"/>
    <n v="0"/>
    <n v="4"/>
  </r>
  <r>
    <s v="10/12/2025"/>
    <s v="2025-8652"/>
    <s v="Higher Education Awards"/>
    <s v="Eustace Bugase"/>
    <s v="eustacebugase@yahoo.com"/>
    <s v="Submitted"/>
    <s v="Under Review"/>
    <x v="2"/>
    <x v="0"/>
    <x v="0"/>
    <x v="0"/>
    <s v="EM"/>
    <s v="Complete"/>
    <s v="Completed"/>
    <x v="4"/>
    <s v="University of the Witwatersrand"/>
    <s v="PhD in Public Health"/>
    <s v="Promoting Maternal and Newborn Health Among Migrant Women and Children in Ghana: Addressing Access Barriers and Health Inequities"/>
    <s v="Nicola"/>
    <s v="Riffat"/>
    <s v="Nicola Christofides"/>
    <s v="Riffat Munir"/>
    <n v="82.142857142857139"/>
    <n v="67.857142857142861"/>
    <n v="75"/>
    <n v="2"/>
    <n v="3"/>
    <n v="5"/>
    <x v="0"/>
    <x v="0"/>
    <x v="0"/>
    <d v="2026-01-01T00:00:00"/>
    <n v="3"/>
    <n v="358890"/>
    <n v="353890"/>
    <n v="353890"/>
    <n v="358890"/>
    <n v="353890"/>
    <n v="353890"/>
    <n v="3"/>
  </r>
  <r>
    <s v="10/12/2025"/>
    <s v="2025-8654"/>
    <s v="Higher Education Awards"/>
    <s v="Nokulunga Dlamini"/>
    <s v="Linetdlamini8@gmail.com"/>
    <s v="Submitted"/>
    <s v="Under Review"/>
    <x v="0"/>
    <x v="0"/>
    <x v="1"/>
    <x v="0"/>
    <s v="EM"/>
    <s v="Complete"/>
    <s v="Completed"/>
    <x v="2"/>
    <s v="University of the Free State"/>
    <s v="Master of Administration"/>
    <s v="Green Energy Transition and the implications for Electricity Provisioning in Local Government: A comparative analysis of Maluti-a-phofung and The Swartland Municipalities"/>
    <s v="Helena"/>
    <s v="Shaun"/>
    <s v="Helena Barnard"/>
    <s v="Shaun Ruggunan"/>
    <n v="85.714285714285708"/>
    <n v="82.142857142857139"/>
    <n v="83.928571428571416"/>
    <n v="5"/>
    <n v="4"/>
    <n v="9"/>
    <x v="1"/>
    <x v="1"/>
    <x v="0"/>
    <d v="2026-02-02T00:00:00"/>
    <n v="2"/>
    <n v="127400"/>
    <n v="127400"/>
    <n v="0"/>
    <n v="127400"/>
    <n v="127400"/>
    <n v="0"/>
    <n v="3"/>
  </r>
  <r>
    <s v="10/12/2025"/>
    <s v="2025-8699"/>
    <s v="Higher Education Awards"/>
    <s v="Bongeka Gabela"/>
    <s v="mamkhondo03@gmail.com"/>
    <s v="Submitted"/>
    <s v="Under Review"/>
    <x v="0"/>
    <x v="0"/>
    <x v="1"/>
    <x v="0"/>
    <s v="EM"/>
    <s v="Complete"/>
    <s v="Completed"/>
    <x v="2"/>
    <s v="University of Johannesburg"/>
    <s v="Master of Administration"/>
    <s v="Enhancing Service Delivery and Socio-economic Empowerment in Maluti-A-Phofung Local Municipality through Innovative Local Entrepreneurship"/>
    <s v="Helena"/>
    <s v="Shaun"/>
    <s v="Helena Barnard"/>
    <s v="Shaun Ruggunan"/>
    <n v="85.714285714285708"/>
    <n v="78.571428571428569"/>
    <n v="82.142857142857139"/>
    <n v="5"/>
    <n v="4"/>
    <n v="9"/>
    <x v="1"/>
    <x v="1"/>
    <x v="0"/>
    <d v="2026-01-01T00:00:00"/>
    <n v="1"/>
    <n v="128800"/>
    <n v="0"/>
    <n v="0"/>
    <n v="128800"/>
    <n v="0"/>
    <n v="0"/>
    <n v="3"/>
  </r>
  <r>
    <s v="10/12/2025"/>
    <s v="2025-8754"/>
    <s v="Higher Education Awards"/>
    <s v="Yonela Mlambo"/>
    <s v="mlmyon001@myuct.ac.za"/>
    <s v="Submitted"/>
    <s v="Under Review"/>
    <x v="2"/>
    <x v="0"/>
    <x v="0"/>
    <x v="0"/>
    <s v="EM"/>
    <s v="Complete, negative budget"/>
    <s v="Completed"/>
    <x v="1"/>
    <s v="University of Cape Town"/>
    <s v="Doctoral Degree"/>
    <s v="Parenting and Growing up under the Shadows of Apartheid Legacy: A Case Study of Langa Hostel"/>
    <s v="Khwezi"/>
    <s v="Robert"/>
    <s v="Khwezi Mkhize"/>
    <s v="Robert Peacock"/>
    <n v="92.857142857142861"/>
    <n v="60.714285714285708"/>
    <n v="76.785714285714278"/>
    <n v="5"/>
    <n v="2"/>
    <n v="7"/>
    <x v="1"/>
    <x v="0"/>
    <x v="0"/>
    <d v="2024-02-12T00:00:00"/>
    <n v="2"/>
    <n v="20000"/>
    <n v="-95000"/>
    <n v="0"/>
    <n v="20000"/>
    <n v="-95000"/>
    <n v="0"/>
    <n v="3"/>
  </r>
  <r>
    <s v="10/12/2025"/>
    <s v="2025-8783"/>
    <s v="Higher Education Awards"/>
    <s v="Feziwe Shongwe"/>
    <s v="2135313@students.wits.ac.za"/>
    <s v="Submitted"/>
    <s v="Under Review"/>
    <x v="2"/>
    <x v="0"/>
    <x v="0"/>
    <x v="0"/>
    <s v="EM"/>
    <s v="Complete"/>
    <s v="Completed"/>
    <x v="0"/>
    <s v="university of the Witwatersrand"/>
    <s v="PhD Computer Science"/>
    <s v="Enhancing Smallholder Farming in Africa through Cloud-based Deep Learning Models"/>
    <s v="Clint"/>
    <s v="Daniel"/>
    <s v="Clint van Alten"/>
    <s v="Daniel Ramotsoela"/>
    <n v="67.857142857142861"/>
    <n v="60.714285714285708"/>
    <n v="64.285714285714278"/>
    <n v="3"/>
    <n v="3"/>
    <n v="6"/>
    <x v="0"/>
    <x v="0"/>
    <x v="0"/>
    <d v="2026-02-02T00:00:00"/>
    <n v="3"/>
    <n v="167000"/>
    <n v="167000"/>
    <n v="167000"/>
    <n v="167000"/>
    <n v="167000"/>
    <n v="167000"/>
    <n v="2"/>
  </r>
  <r>
    <s v="10/12/2025"/>
    <s v="2025-8803"/>
    <s v="Higher Education Awards"/>
    <s v="Indrani Nair"/>
    <s v="indrani.nair@gmail.com"/>
    <s v="Submitted"/>
    <s v="Under Review"/>
    <x v="2"/>
    <x v="4"/>
    <x v="1"/>
    <x v="0"/>
    <s v="EM"/>
    <s v="Complete, incomplete budget"/>
    <s v="Completed"/>
    <x v="8"/>
    <s v="University of Witwatersrand"/>
    <s v="PhD"/>
    <s v="Bullying within the SA School Environment"/>
    <s v="Carolina"/>
    <s v="Danie"/>
    <s v="Carolina Meyer"/>
    <s v="Danie Visser"/>
    <n v="67.857142857142861"/>
    <n v="57.142857142857139"/>
    <n v="62.5"/>
    <n v="3"/>
    <n v="1"/>
    <n v="4"/>
    <x v="0"/>
    <x v="0"/>
    <x v="0"/>
    <d v="2025-07-01T00:00:00"/>
    <n v="3"/>
    <n v="10073"/>
    <n v="25000"/>
    <n v="25000"/>
    <n v="10073"/>
    <n v="25000"/>
    <n v="25000"/>
    <n v="3"/>
  </r>
  <r>
    <s v="10/12/2025"/>
    <s v="2025-8804"/>
    <s v="Higher Education Awards"/>
    <s v="Jared Calaca"/>
    <s v="2368319@students.wits.ac.za"/>
    <s v="Submitted"/>
    <s v="Under Review"/>
    <x v="0"/>
    <x v="1"/>
    <x v="0"/>
    <x v="0"/>
    <s v="EM"/>
    <s v="Complete"/>
    <s v="Completed"/>
    <x v="3"/>
    <s v="University of the Witwatersrand"/>
    <s v="MSc Environmental Studies"/>
    <s v="Aquatic Ecotoxicology"/>
    <s v="Diederik"/>
    <s v="Markus"/>
    <s v="Diederik Opperman"/>
    <s v="Markus Wilken"/>
    <n v="67.857142857142861"/>
    <n v="75"/>
    <n v="71.428571428571431"/>
    <n v="2"/>
    <n v="4"/>
    <n v="6"/>
    <x v="0"/>
    <x v="0"/>
    <x v="0"/>
    <d v="2025-01-01T00:00:00"/>
    <n v="1"/>
    <n v="170000"/>
    <n v="0"/>
    <n v="0"/>
    <n v="170000"/>
    <n v="0"/>
    <n v="0"/>
    <n v="3"/>
  </r>
  <r>
    <s v="10/12/2025"/>
    <s v="2025-8855"/>
    <s v="Higher Education Awards"/>
    <s v="Mathew Aibinu"/>
    <s v="moaibinu@yahoo.com"/>
    <s v="Submitted"/>
    <s v="Under Review"/>
    <x v="1"/>
    <x v="0"/>
    <x v="0"/>
    <x v="0"/>
    <s v="EM"/>
    <s v="Complete"/>
    <s v="Completed"/>
    <x v="0"/>
    <s v="Stellenbosch University"/>
    <s v="Applied Mathematics"/>
    <s v="Economic Growth Models and Analysis in the Context of Fractional Calculus”"/>
    <s v="Edzai"/>
    <s v="Nora"/>
    <s v="Edzai Zvobwo"/>
    <s v="Nora Alexeeva"/>
    <n v="83.333333333333343"/>
    <n v="83.333333333333343"/>
    <n v="83.333333333333343"/>
    <n v="5"/>
    <n v="4"/>
    <n v="9"/>
    <x v="1"/>
    <x v="1"/>
    <x v="0"/>
    <d v="2026-01-12T00:00:00"/>
    <n v="2"/>
    <n v="350000"/>
    <n v="350000"/>
    <n v="0"/>
    <n v="350000"/>
    <n v="350000"/>
    <n v="0"/>
    <n v="3"/>
  </r>
  <r>
    <s v="10/12/2025"/>
    <s v="2025-8866"/>
    <s v="Higher Education Awards"/>
    <s v="dzimani managa"/>
    <s v="managa.neani@gmail.com"/>
    <s v="Submitted"/>
    <s v="Under Review"/>
    <x v="0"/>
    <x v="0"/>
    <x v="0"/>
    <x v="0"/>
    <s v="EM"/>
    <s v="Complete"/>
    <s v="Completed"/>
    <x v="2"/>
    <s v="Witwatersrand"/>
    <s v="Master of Management (Public and Development Sector Monitoring and Evaluation)"/>
    <s v="An investigation into the Influence of Information and Communication Technology (ICT) Resources on Integrating ICT during Teaching and Learning in South African Rural Schools."/>
    <s v="Helena"/>
    <s v="Shaun"/>
    <s v="Helena Barnard"/>
    <s v="Shaun Ruggunan"/>
    <n v="92.857142857142861"/>
    <n v="64.285714285714292"/>
    <n v="78.571428571428584"/>
    <n v="5"/>
    <n v="3"/>
    <n v="8"/>
    <x v="1"/>
    <x v="0"/>
    <x v="0"/>
    <d v="2025-02-01T00:00:00"/>
    <n v="1"/>
    <n v="70000"/>
    <n v="0"/>
    <n v="0"/>
    <n v="70000"/>
    <n v="0"/>
    <n v="0"/>
    <n v="5"/>
  </r>
  <r>
    <s v="10/12/2025"/>
    <s v="2025-8902"/>
    <s v="Higher Education Awards"/>
    <s v="Eddie Mofokeng"/>
    <s v="mofokengeddie91@gmail.com"/>
    <s v="Submitted"/>
    <s v="Under Review"/>
    <x v="2"/>
    <x v="0"/>
    <x v="0"/>
    <x v="0"/>
    <s v="EM"/>
    <s v="Complete"/>
    <s v="Completed"/>
    <x v="7"/>
    <s v="University of Witwatersrand"/>
    <s v="PhD Creative Arts (Part - time)"/>
    <s v="Exploring the limitations of a young lyric baritone repertoire"/>
    <s v="Alexander"/>
    <s v="Susan"/>
    <s v="Alexander JOHNSON"/>
    <s v="Dr Musa-Duke Nkuna"/>
    <n v="53.571428571428569"/>
    <n v="53.571428571428569"/>
    <n v="53.571428571428569"/>
    <n v="3"/>
    <n v="3"/>
    <n v="6"/>
    <x v="0"/>
    <x v="0"/>
    <x v="0"/>
    <d v="2025-07-01T00:00:00"/>
    <n v="3"/>
    <n v="50000"/>
    <n v="50000"/>
    <n v="50000"/>
    <n v="50000"/>
    <n v="50000"/>
    <n v="50000"/>
    <n v="3"/>
  </r>
  <r>
    <s v="10/12/2025"/>
    <s v="2025-8941"/>
    <s v="Higher Education Awards"/>
    <s v="Lungisani Khumalo"/>
    <s v="lungisanin06@gmail.com"/>
    <s v="Submitted"/>
    <s v="Under Review"/>
    <x v="0"/>
    <x v="0"/>
    <x v="0"/>
    <x v="0"/>
    <s v="EM"/>
    <s v="Complete"/>
    <s v="Completed"/>
    <x v="3"/>
    <s v="University of the Free State"/>
    <s v="Master of Science in Agriculture measuring in Animal Science"/>
    <s v="The demographic, phenotypic and genomic status of the South African Shorthorn beef breed"/>
    <s v="Chenaimoyo"/>
    <s v="Francesca"/>
    <s v="Chenaimoyo Katiyatiya"/>
    <s v="Francesca Parrini"/>
    <n v="57.142857142857139"/>
    <n v="57.142857142857139"/>
    <n v="57.142857142857139"/>
    <n v="2"/>
    <n v="2"/>
    <n v="4"/>
    <x v="0"/>
    <x v="0"/>
    <x v="0"/>
    <d v="2026-01-01T00:00:00"/>
    <n v="2"/>
    <n v="145000"/>
    <n v="145000"/>
    <n v="0"/>
    <n v="145000"/>
    <n v="145000"/>
    <n v="0"/>
    <n v="3"/>
  </r>
  <r>
    <s v="10/12/2025"/>
    <s v="2025-8961"/>
    <s v="Higher Education Awards"/>
    <s v="Batseba Moloto"/>
    <s v="molotobpa@gmail.com"/>
    <s v="Submitted"/>
    <s v="Under Review"/>
    <x v="0"/>
    <x v="0"/>
    <x v="1"/>
    <x v="0"/>
    <s v="EM"/>
    <s v="Complete"/>
    <s v="Completed"/>
    <x v="6"/>
    <s v="University of the Free State"/>
    <s v="Master of Social Sciences with Specialisation in Political Science"/>
    <s v="Climate Change and Ontological (in)security: How Bangladesh, China and South Africa Negotiate Uncertainty and Pursue Climate Justice in the age of the Anthropocene"/>
    <s v="Badri"/>
    <s v="Johann"/>
    <s v="Badri Zolfaghari"/>
    <s v="Johan Hattingh"/>
    <n v="85.714285714285708"/>
    <n v="67.857142857142861"/>
    <n v="76.785714285714278"/>
    <n v="4"/>
    <n v="3"/>
    <n v="7"/>
    <x v="1"/>
    <x v="0"/>
    <x v="0"/>
    <d v="2025-02-03T00:00:00"/>
    <n v="2"/>
    <n v="79000"/>
    <n v="85000"/>
    <n v="0"/>
    <n v="79000"/>
    <n v="85000"/>
    <n v="0"/>
    <n v="3"/>
  </r>
  <r>
    <s v="10/12/2025"/>
    <s v="2025-8962"/>
    <s v="Higher Education Awards"/>
    <s v="Ethel Maliti"/>
    <s v="Emaliti35@gmail.com"/>
    <s v="Revisions Requested"/>
    <s v="Under Review"/>
    <x v="0"/>
    <x v="0"/>
    <x v="1"/>
    <x v="0"/>
    <s v="EM"/>
    <s v="Complete, no degree copy, 1o/s ref"/>
    <s v="Completed"/>
    <x v="1"/>
    <s v="The university of Witswatersrand"/>
    <s v="Masters of education"/>
    <s v="The influence of school climate on primary school learners emotional wellbeing"/>
    <s v="Khwezi"/>
    <s v="Robert"/>
    <s v="Khwezi Mkhize"/>
    <s v="Robert Peacock"/>
    <n v="67.857142857142861"/>
    <n v="67.857142857142861"/>
    <n v="67.857142857142861"/>
    <n v="3"/>
    <n v="3"/>
    <n v="6"/>
    <x v="0"/>
    <x v="0"/>
    <x v="0"/>
    <d v="2026-01-13T00:00:00"/>
    <n v="2"/>
    <n v="75730"/>
    <n v="30000"/>
    <n v="0"/>
    <n v="75730"/>
    <n v="30000"/>
    <n v="0"/>
    <n v="2"/>
  </r>
  <r>
    <s v="10/12/2025"/>
    <s v="2025-8996"/>
    <s v="Higher Education Awards"/>
    <s v="Buren Moodley"/>
    <s v="21607117@sun.ac.za"/>
    <s v="Submitted"/>
    <s v="Under Review"/>
    <x v="2"/>
    <x v="4"/>
    <x v="0"/>
    <x v="0"/>
    <s v="EM"/>
    <s v="Complete"/>
    <s v="Completed"/>
    <x v="5"/>
    <s v="Stellenbosch University"/>
    <s v="PhD in Chemical Engineering"/>
    <s v="Bioprocess development for the production of alginate lyase via heterologous expression"/>
    <s v="Lesedi"/>
    <s v="Pieter"/>
    <s v="Lesedi Masisi"/>
    <s v="Pieter Pistorius"/>
    <n v="67.857142857142861"/>
    <n v="64.285714285714292"/>
    <n v="66.071428571428584"/>
    <n v="3"/>
    <n v="3"/>
    <n v="6"/>
    <x v="0"/>
    <x v="0"/>
    <x v="0"/>
    <d v="2025-02-01T00:00:00"/>
    <n v="2"/>
    <n v="151885"/>
    <n v="151885"/>
    <n v="0"/>
    <n v="151885"/>
    <n v="151885"/>
    <n v="0"/>
    <n v="3"/>
  </r>
  <r>
    <s v="10/12/2025"/>
    <s v="2025-9014"/>
    <s v="Higher Education Awards"/>
    <s v="Montasha Batjes"/>
    <s v="batjesmontasha@gmail.com"/>
    <s v="Submitted"/>
    <s v="Under Review"/>
    <x v="0"/>
    <x v="2"/>
    <x v="1"/>
    <x v="0"/>
    <s v="EM"/>
    <s v="Complete"/>
    <s v="Completed"/>
    <x v="1"/>
    <s v="University of the Free State"/>
    <s v="Masters Degree"/>
    <s v="Visual support and linguistic components"/>
    <s v="Khwezi"/>
    <s v="Robert"/>
    <s v="Khwezi Mkhize"/>
    <s v="Robert Peacock"/>
    <n v="71.428571428571431"/>
    <n v="71.428571428571431"/>
    <n v="71.428571428571431"/>
    <n v="4"/>
    <n v="3"/>
    <n v="7"/>
    <x v="0"/>
    <x v="0"/>
    <x v="0"/>
    <d v="2025-06-30T00:00:00"/>
    <n v="2"/>
    <n v="23900"/>
    <n v="36100"/>
    <n v="0"/>
    <n v="23900"/>
    <n v="36100"/>
    <n v="0"/>
    <n v="3"/>
  </r>
  <r>
    <s v="10/12/2025"/>
    <s v="2025-9023"/>
    <s v="Higher Education Awards"/>
    <s v="Tebalelo Lehlaleroa"/>
    <s v="tebalelolehlaleroa@gmail.com"/>
    <s v="Submitted"/>
    <s v="Under Review"/>
    <x v="2"/>
    <x v="0"/>
    <x v="0"/>
    <x v="0"/>
    <s v="EM"/>
    <s v="Complete, in complete budget,"/>
    <s v="Completed"/>
    <x v="4"/>
    <s v="University of the Free State"/>
    <s v="Biomedical Sciences"/>
    <s v="Neurophysiology"/>
    <s v="Mubeen"/>
    <s v="Sandrine"/>
    <s v="Mubeen Goolam"/>
    <s v="Sandrine Lecour"/>
    <n v="60.714285714285708"/>
    <n v="78.571428571428569"/>
    <n v="69.642857142857139"/>
    <n v="2"/>
    <n v="4"/>
    <n v="6"/>
    <x v="0"/>
    <x v="0"/>
    <x v="0"/>
    <d v="2024-04-01T00:00:00"/>
    <n v="1"/>
    <n v="120000"/>
    <n v="0"/>
    <n v="0"/>
    <n v="120000"/>
    <n v="0"/>
    <n v="0"/>
    <n v="3"/>
  </r>
  <r>
    <s v="10/12/2025"/>
    <s v="2025-9042"/>
    <s v="Higher Education Awards"/>
    <s v="William Day"/>
    <s v="william.day.za@gmail.com"/>
    <s v="Submitted"/>
    <s v="Under Review"/>
    <x v="0"/>
    <x v="1"/>
    <x v="0"/>
    <x v="0"/>
    <s v="EM"/>
    <s v="Complete"/>
    <s v="Completed"/>
    <x v="3"/>
    <s v="Stellenbosch University"/>
    <s v="Earth Sciences"/>
    <s v="Environmental Science: Marine geochemistry"/>
    <s v="Maryna"/>
    <s v="Romano"/>
    <s v="Maryna de Wit"/>
    <s v="Romano Lottering"/>
    <n v="82.142857142857139"/>
    <n v="85.714285714285708"/>
    <n v="83.928571428571416"/>
    <n v="4"/>
    <n v="5"/>
    <n v="9"/>
    <x v="1"/>
    <x v="1"/>
    <x v="0"/>
    <d v="2026-02-09T00:00:00"/>
    <n v="2"/>
    <n v="143458"/>
    <n v="143458"/>
    <n v="0"/>
    <n v="143458"/>
    <n v="143458"/>
    <n v="0"/>
    <n v="3"/>
  </r>
  <r>
    <s v="10/12/2025"/>
    <s v="2025-9062"/>
    <s v="Higher Education Awards"/>
    <s v="Shaydine Bosman"/>
    <s v="2922389@students.wits.ac.za"/>
    <s v="Submitted"/>
    <s v="Under Review"/>
    <x v="0"/>
    <x v="2"/>
    <x v="1"/>
    <x v="0"/>
    <s v="EM"/>
    <s v="Complete"/>
    <s v="Completed"/>
    <x v="1"/>
    <s v="University of Witwatersrand"/>
    <s v="Cultural Policies and Management"/>
    <s v="The Cycle of Stagnation: Understanding the repetitive content at SABC"/>
    <s v="Chimwemwe"/>
    <s v="Dina"/>
    <s v="Chimwemwe Phiri"/>
    <s v="Dina Ligaga"/>
    <n v="67.857142857142861"/>
    <n v="71.428571428571431"/>
    <n v="69.642857142857139"/>
    <n v="3"/>
    <n v="4"/>
    <n v="7"/>
    <x v="0"/>
    <x v="0"/>
    <x v="0"/>
    <d v="2024-07-15T00:00:00"/>
    <n v="1"/>
    <n v="-36887.81"/>
    <n v="0"/>
    <n v="0"/>
    <n v="-36887.81"/>
    <n v="0"/>
    <n v="0"/>
    <n v="3"/>
  </r>
  <r>
    <s v="10/12/2025"/>
    <s v="2025-9064"/>
    <s v="Higher Education Awards"/>
    <s v="Mia Jorgensen"/>
    <s v="25903632@sun.ac.za"/>
    <s v="Submitted"/>
    <s v="Under Review"/>
    <x v="0"/>
    <x v="1"/>
    <x v="1"/>
    <x v="0"/>
    <s v="EM"/>
    <s v="Complete"/>
    <s v="Completed"/>
    <x v="4"/>
    <s v="Stellenbsoch University"/>
    <s v="MSc Pharmacology"/>
    <s v="LC-MS method development and validation"/>
    <s v="Frasia"/>
    <s v="Neil"/>
    <s v="Frasia Oosthuizen"/>
    <s v="Neil Coville"/>
    <n v="85.714285714285708"/>
    <n v="89.285714285714292"/>
    <n v="87.5"/>
    <n v="4"/>
    <n v="2"/>
    <n v="6"/>
    <x v="0"/>
    <x v="0"/>
    <x v="0"/>
    <d v="2026-02-02T00:00:00"/>
    <n v="2"/>
    <n v="148404"/>
    <n v="111246"/>
    <n v="0"/>
    <n v="148404"/>
    <n v="111246"/>
    <n v="0"/>
    <n v="3"/>
  </r>
  <r>
    <s v="10/12/2025"/>
    <s v="2025-9065"/>
    <s v="Higher Education Awards"/>
    <s v="Sandile Mkhize"/>
    <s v="0703594t@students.wits.ac.za"/>
    <s v="Submitted"/>
    <s v="Under Review"/>
    <x v="2"/>
    <x v="0"/>
    <x v="0"/>
    <x v="0"/>
    <s v="EM"/>
    <s v="Complete"/>
    <s v="Completed"/>
    <x v="4"/>
    <s v="University of the Witwatersrand"/>
    <s v="Medicinal Chemistry"/>
    <s v="Structure based design of non-covalent, non-peptidic and orally active inhibitors of the Severe Acute Respiratory Syndrome Corona Virus-2(SARS-CoV-2)."/>
    <s v="Frasia"/>
    <s v="Neil"/>
    <s v="Frasia Oosthuizen"/>
    <s v="Neil Coville"/>
    <n v="71.428571428571431"/>
    <n v="64.285714285714292"/>
    <n v="67.857142857142861"/>
    <n v="3"/>
    <n v="2"/>
    <n v="5"/>
    <x v="0"/>
    <x v="0"/>
    <x v="0"/>
    <d v="2022-09-14T00:00:00"/>
    <n v="1"/>
    <n v="119412.92"/>
    <n v="0"/>
    <n v="0"/>
    <n v="119412.92"/>
    <n v="0"/>
    <n v="0"/>
    <n v="3"/>
  </r>
  <r>
    <s v="10/12/2025"/>
    <s v="2025-9076"/>
    <s v="Higher Education Awards"/>
    <s v="Hlengiwe Maswanganyi"/>
    <s v="hgmaswanganyi1@gmail.com"/>
    <s v="Submitted"/>
    <s v="Under Review"/>
    <x v="0"/>
    <x v="0"/>
    <x v="1"/>
    <x v="0"/>
    <s v="EM"/>
    <s v="Complete"/>
    <s v="Completed"/>
    <x v="2"/>
    <s v="University of Johannesburg"/>
    <s v="Masters In Strategic Management"/>
    <s v="Investigating the Impact of Artificial Intelligence Applications on the Strategic Management in Local Municipality"/>
    <s v="Helena"/>
    <s v="Shaun"/>
    <s v="Helena Barnard"/>
    <s v="Shaun Ruggunan"/>
    <n v="53.571428571428569"/>
    <n v="53.571428571428569"/>
    <n v="53.571428571428569"/>
    <n v="2"/>
    <n v="2"/>
    <n v="4"/>
    <x v="0"/>
    <x v="0"/>
    <x v="0"/>
    <d v="2025-08-30T00:00:00"/>
    <n v="2"/>
    <n v="80000"/>
    <n v="60000"/>
    <n v="0"/>
    <n v="80000"/>
    <n v="60000"/>
    <n v="0"/>
    <n v="3"/>
  </r>
  <r>
    <s v="10/12/2025"/>
    <s v="2025-9215"/>
    <s v="Higher Education Awards"/>
    <s v="Erin Domingo"/>
    <s v="erindomingo0705@gmail.com"/>
    <s v="Submitted"/>
    <s v="Under Review"/>
    <x v="0"/>
    <x v="2"/>
    <x v="1"/>
    <x v="0"/>
    <s v="EM"/>
    <s v="Complete"/>
    <s v="Completed"/>
    <x v="7"/>
    <s v="University of Johannesburg"/>
    <s v="Masters in Visual Art"/>
    <s v="An investigation into the therapeutic potential of contemporary visual art practices in processing grief and trauma, with a focus on intentional and intuitive methods of art-making."/>
    <s v="Janine"/>
    <s v="Maureen"/>
    <s v="Janine Allen-Spies"/>
    <s v="Maureen De Jager"/>
    <n v="85.714285714285708"/>
    <n v="82.142857142857139"/>
    <n v="83.928571428571416"/>
    <n v="4"/>
    <n v="5"/>
    <n v="9"/>
    <x v="1"/>
    <x v="1"/>
    <x v="1"/>
    <d v="2026-01-01T00:00:00"/>
    <n v="2"/>
    <n v="30000"/>
    <n v="30000"/>
    <n v="0"/>
    <n v="30000"/>
    <n v="30000"/>
    <n v="0"/>
    <n v="3"/>
  </r>
  <r>
    <s v="10/12/2025"/>
    <s v="2025-9287"/>
    <s v="Higher Education Awards"/>
    <s v="Hendrik Baird"/>
    <s v="hendrik@baird.media"/>
    <s v="Submitted"/>
    <s v="Under Review"/>
    <x v="2"/>
    <x v="1"/>
    <x v="0"/>
    <x v="0"/>
    <s v="EM"/>
    <s v="Complete"/>
    <s v="Completed"/>
    <x v="1"/>
    <s v="University of Pretoria"/>
    <s v="PhD specialising in Digital Culture and Media"/>
    <s v="Indie Voices in a Platform World: The Political Economy of South African Podcasters Guild Member Podcasts"/>
    <s v="Chimwemwe"/>
    <s v="Dina"/>
    <s v="Chimwemwe Phiri"/>
    <s v="Dina Ligaga"/>
    <n v="71.428571428571431"/>
    <n v="82.142857142857139"/>
    <n v="76.785714285714278"/>
    <n v="3"/>
    <n v="5"/>
    <n v="8"/>
    <x v="1"/>
    <x v="0"/>
    <x v="0"/>
    <d v="2026-01-01T00:00:00"/>
    <n v="2"/>
    <n v="268240"/>
    <n v="265764"/>
    <n v="0"/>
    <n v="268240"/>
    <n v="265764"/>
    <n v="0"/>
    <n v="3"/>
  </r>
  <r>
    <s v="10/12/2025"/>
    <s v="2025-9313"/>
    <s v="Higher Education Awards"/>
    <s v="Naftal Nyakundi"/>
    <s v="nyakundinaftali1986@gmail.com"/>
    <s v="Submitted"/>
    <s v="Under Review"/>
    <x v="1"/>
    <x v="0"/>
    <x v="0"/>
    <x v="0"/>
    <s v="EM"/>
    <s v="Complete"/>
    <s v="Completed"/>
    <x v="6"/>
    <s v="University of Cape Town, department of linguistics and language practice"/>
    <s v="Gender, Humour, and Social Cohesion in African Media and Oral Traditions"/>
    <s v="Linguistic sexism and gendered humour:A critical Discourse study of Kenyan stand up comedy"/>
    <s v="Chimwemwe"/>
    <s v="Dina"/>
    <s v="Chimwemwe Phiri"/>
    <s v="Dina Ligaga"/>
    <n v="69.444444444444443"/>
    <n v="91.666666666666657"/>
    <n v="80.555555555555543"/>
    <n v="4"/>
    <n v="5"/>
    <n v="9"/>
    <x v="1"/>
    <x v="1"/>
    <x v="0"/>
    <d v="2026-03-01T00:00:00"/>
    <n v="1"/>
    <n v="225000"/>
    <n v="0"/>
    <n v="0"/>
    <n v="225000"/>
    <n v="0"/>
    <n v="0"/>
    <n v="3"/>
  </r>
  <r>
    <s v="10/12/2025"/>
    <s v="2025-9320"/>
    <s v="Higher Education Awards"/>
    <s v="Sanele Donald Dlamini"/>
    <s v="saneleddlamini@gmail.com"/>
    <s v="Submitted"/>
    <s v="Under Review"/>
    <x v="2"/>
    <x v="0"/>
    <x v="0"/>
    <x v="0"/>
    <s v="EM"/>
    <s v="Complete"/>
    <s v="Completed"/>
    <x v="3"/>
    <s v="University of Pretoria"/>
    <s v="PhD Soil Science"/>
    <s v="Dynamics of microplastics in the soil-water-plant system of agricultural lands and implications for food and water safety"/>
    <s v="Almuth"/>
    <s v="Neriman"/>
    <s v="Almuth Hammerbacher"/>
    <s v="Neriman Yilmaz"/>
    <n v="64.285714285714292"/>
    <n v="82.142857142857139"/>
    <n v="73.214285714285722"/>
    <n v="3"/>
    <n v="4"/>
    <n v="7"/>
    <x v="0"/>
    <x v="0"/>
    <x v="0"/>
    <d v="2026-02-02T00:00:00"/>
    <n v="3"/>
    <n v="200000"/>
    <n v="215000"/>
    <n v="230000"/>
    <n v="200000"/>
    <n v="215000"/>
    <n v="230000"/>
    <n v="2"/>
  </r>
  <r>
    <s v="10/12/2025"/>
    <s v="2025-9360"/>
    <s v="Higher Education Awards"/>
    <s v="Gavin Krastin"/>
    <s v="gavinkrastin@gmail.com"/>
    <s v="Submitted"/>
    <s v="Under Review"/>
    <x v="2"/>
    <x v="1"/>
    <x v="0"/>
    <x v="0"/>
    <s v="EM"/>
    <s v="Complete"/>
    <s v="Completed"/>
    <x v="7"/>
    <s v="I have been accepted to the University of Cape Town's Centre for Theatre, Dance and Performance Studies"/>
    <s v="Live Art, Interdisciplinary and Public Art"/>
    <s v="Decolonial framework in curating live art performance"/>
    <s v="Janine"/>
    <s v="Maureen"/>
    <s v="Janine Allen-Spies"/>
    <s v="Maureen De Jager"/>
    <n v="88.888888888888886"/>
    <n v="88.888888888888886"/>
    <n v="88.888888888888886"/>
    <n v="5"/>
    <n v="5"/>
    <n v="10"/>
    <x v="0"/>
    <x v="0"/>
    <x v="0"/>
    <d v="2026-01-01T00:00:00"/>
    <n v="1"/>
    <n v="30000"/>
    <n v="0"/>
    <n v="0"/>
    <n v="30000"/>
    <n v="0"/>
    <n v="0"/>
    <n v="3"/>
  </r>
  <r>
    <s v="10/12/2025"/>
    <s v="2025-9381"/>
    <s v="Higher Education Awards"/>
    <s v="Nicholas Onkoba"/>
    <s v="ososinick1985@gmail.com"/>
    <s v="Submitted"/>
    <s v="Under Review"/>
    <x v="2"/>
    <x v="0"/>
    <x v="0"/>
    <x v="0"/>
    <s v="EM"/>
    <s v="Complete"/>
    <s v="Completed"/>
    <x v="0"/>
    <s v="University of South Africa"/>
    <s v="PhD physics"/>
    <s v="Renewable Energy- Hydrogen Fuel cells"/>
    <s v="Abdul"/>
    <s v="Matthew"/>
    <s v="Abdul Mahomed"/>
    <s v="Mathew Moodley"/>
    <n v="64.285714285714292"/>
    <n v="64.285714285714292"/>
    <n v="64.285714285714292"/>
    <n v="2"/>
    <n v="3"/>
    <n v="5"/>
    <x v="0"/>
    <x v="0"/>
    <x v="0"/>
    <d v="2026-01-15T00:00:00"/>
    <n v="2"/>
    <n v="380760"/>
    <n v="390760"/>
    <n v="0"/>
    <n v="380760"/>
    <n v="390760"/>
    <n v="0"/>
    <n v="2"/>
  </r>
  <r>
    <s v="10/12/2025"/>
    <s v="2025-9383"/>
    <s v="Higher Education Awards"/>
    <s v="Semola kabelo Mojapelo"/>
    <s v="Semola.770@gmail.com"/>
    <s v="Submitted"/>
    <s v="Under Review"/>
    <x v="2"/>
    <x v="0"/>
    <x v="0"/>
    <x v="0"/>
    <s v="EM"/>
    <s v="Complete"/>
    <s v="Completed"/>
    <x v="4"/>
    <s v="University of Kwazulu Natal"/>
    <s v="Doctoral"/>
    <s v="Design , synthesis and potential antiviral activity against SARS-COV-2 of the functionalised amino and hydrazine benzothiazole-based pharmacopoeia compounds"/>
    <s v="Frasia"/>
    <s v="Neil"/>
    <s v="Frasia Oosthuizen"/>
    <s v="Neil Coville"/>
    <n v="35.714285714285715"/>
    <n v="60.714285714285708"/>
    <n v="48.214285714285708"/>
    <n v="1"/>
    <n v="2"/>
    <n v="3"/>
    <x v="0"/>
    <x v="0"/>
    <x v="0"/>
    <d v="2026-01-12T00:00:00"/>
    <n v="3"/>
    <n v="300000"/>
    <n v="300000"/>
    <n v="300000"/>
    <n v="300000"/>
    <n v="300000"/>
    <n v="300000"/>
    <n v="3"/>
  </r>
  <r>
    <s v="10/12/2025"/>
    <s v="2025-9387"/>
    <s v="Higher Education Awards"/>
    <s v="Clement Sichangi sichangi"/>
    <s v="26579154@mylife.unisa.ac.za"/>
    <s v="Submitted"/>
    <s v="Under Review"/>
    <x v="2"/>
    <x v="0"/>
    <x v="0"/>
    <x v="0"/>
    <s v="EM"/>
    <s v="Complete"/>
    <s v="Completed"/>
    <x v="0"/>
    <s v="University of south Africa"/>
    <s v="Ph.D."/>
    <s v="Material science- Photoluminescence"/>
    <s v="Abdul"/>
    <s v="Matthew"/>
    <s v="Abdul Mahomed"/>
    <s v="Mathew Moodley"/>
    <n v="57.142857142857139"/>
    <n v="42.857142857142854"/>
    <n v="50"/>
    <n v="2"/>
    <n v="2"/>
    <n v="4"/>
    <x v="0"/>
    <x v="0"/>
    <x v="0"/>
    <d v="2025-01-01T00:00:00"/>
    <n v="3"/>
    <n v="305394"/>
    <n v="417880"/>
    <n v="547380"/>
    <n v="305394"/>
    <n v="417880"/>
    <n v="547380"/>
    <n v="2"/>
  </r>
  <r>
    <s v="10/12/2025"/>
    <s v="2025-9400"/>
    <s v="Higher Education Awards"/>
    <s v="ABEL KITINDIO MUTAMBU"/>
    <s v="abelmutambu@gmail.com"/>
    <s v="Submitted"/>
    <s v="Under Review"/>
    <x v="2"/>
    <x v="0"/>
    <x v="0"/>
    <x v="0"/>
    <s v="EM"/>
    <s v="Complete"/>
    <s v="Completed"/>
    <x v="0"/>
    <s v="University of South Africa"/>
    <s v="PHD"/>
    <s v="SYNTHESIS,MODIFICATION AND CO-DOPING OF COPPER OXIDE (CuO) FOR ENHANCED THERMOLUMINESCENCE (TL) DOSIMETRIC PERFORMANCE"/>
    <s v="Abdul"/>
    <s v="Nabanita "/>
    <s v="Abdul Mahomed"/>
    <s v="Nabanita Chatterjee"/>
    <n v="67.857142857142861"/>
    <n v="75"/>
    <n v="71.428571428571431"/>
    <n v="3"/>
    <n v="3"/>
    <n v="6"/>
    <x v="0"/>
    <x v="0"/>
    <x v="0"/>
    <d v="2025-05-07T00:00:00"/>
    <n v="3"/>
    <n v="748380"/>
    <n v="748380"/>
    <n v="748380"/>
    <n v="748380"/>
    <n v="748380"/>
    <n v="748380"/>
    <n v="2"/>
  </r>
  <r>
    <s v="10/12/2025"/>
    <s v="2025-8271"/>
    <s v="Higher Education Awards"/>
    <s v="Hlengiwe Zwane"/>
    <s v="Mazwanepostgradstudies@gmail.com"/>
    <s v="Submitted"/>
    <s v="Under Review"/>
    <x v="0"/>
    <x v="0"/>
    <x v="1"/>
    <x v="0"/>
    <s v="CB"/>
    <s v="Complete"/>
    <s v="Completed"/>
    <x v="1"/>
    <s v="University of Pretoria"/>
    <s v="Master of Education in Mathematics Education"/>
    <s v="Misconceptions in the strategies of mathematical problem-solving (not only focusing on the final answer)"/>
    <s v="Sam"/>
    <s v="Srila"/>
    <s v="Sam Kariuki"/>
    <s v="Srila Roy"/>
    <n v="60.714285714285708"/>
    <n v="82.142857142857139"/>
    <n v="71.428571428571416"/>
    <n v="3"/>
    <n v="4"/>
    <n v="7"/>
    <x v="0"/>
    <x v="0"/>
    <x v="0"/>
    <d v="2026-02-09T00:00:00"/>
    <n v="2"/>
    <n v="357555"/>
    <n v="407555"/>
    <n v="0"/>
    <n v="357555"/>
    <n v="407555"/>
    <n v="0"/>
    <n v="2"/>
  </r>
  <r>
    <s v="10/12/2025"/>
    <s v="2025-8367"/>
    <s v="Higher Education Awards"/>
    <s v="Awonke Nomandondo"/>
    <s v="nomandondo.awonke@icloud.com"/>
    <s v="Submitted"/>
    <s v="Under Review"/>
    <x v="0"/>
    <x v="0"/>
    <x v="0"/>
    <x v="0"/>
    <s v="CB"/>
    <s v="Complete"/>
    <s v="Completed"/>
    <x v="0"/>
    <s v="Wits University"/>
    <s v="MSc IN COMPUTER &amp; INFO SCI (DATA SCIENCE)"/>
    <s v="Advancing Deepfake Detection through Explainable Multimodal Artificial Intelligence: A Deep Learning Approach to Securing Audio-Visual Media"/>
    <s v="Clint"/>
    <s v="Daniel"/>
    <s v="Clint van Alten"/>
    <s v="Daniel Ramotsoela"/>
    <n v="82.142857142857139"/>
    <n v="96.428571428571431"/>
    <n v="89.285714285714278"/>
    <n v="4"/>
    <n v="5"/>
    <n v="9"/>
    <x v="1"/>
    <x v="1"/>
    <x v="0"/>
    <d v="2026-02-01T00:00:00"/>
    <n v="2"/>
    <n v="180000"/>
    <n v="180000"/>
    <n v="0"/>
    <n v="180000"/>
    <n v="180000"/>
    <n v="0"/>
    <n v="3"/>
  </r>
  <r>
    <s v="10/12/2025"/>
    <s v="2025-8527"/>
    <s v="Higher Education Awards"/>
    <s v="TLHOLOHELO LEHLEKISO"/>
    <s v="tlehlekiso@gmail.com"/>
    <s v="Submitted"/>
    <s v="Under Review"/>
    <x v="2"/>
    <x v="0"/>
    <x v="1"/>
    <x v="0"/>
    <s v="CB"/>
    <s v="Complete"/>
    <s v="Completed"/>
    <x v="8"/>
    <s v="University of Cape Town"/>
    <s v="Doctor of Philosophy in Law"/>
    <s v="A Seat at the Table: Reclaiming African Agency and Reproductive Justice through a Decolonial Framework for Regulating Cross-Border Surrogacy"/>
    <s v="Carolina"/>
    <s v="Danie"/>
    <s v="Carolina Meyer"/>
    <s v="Danie Visser"/>
    <n v="92.857142857142861"/>
    <n v="96.428571428571431"/>
    <n v="94.642857142857139"/>
    <n v="5"/>
    <n v="5"/>
    <n v="10"/>
    <x v="1"/>
    <x v="1"/>
    <x v="1"/>
    <d v="2025-02-11T00:00:00"/>
    <n v="3"/>
    <n v="350000"/>
    <n v="350000"/>
    <n v="350000"/>
    <n v="350000"/>
    <n v="350000"/>
    <n v="350000"/>
    <n v="3"/>
  </r>
  <r>
    <s v="10/12/2025"/>
    <s v="2025-8438"/>
    <s v="Higher Education Awards"/>
    <s v="Thulani Baloyi"/>
    <s v="studentpsych@outlook.com"/>
    <s v="Submitted"/>
    <s v="Under Review"/>
    <x v="2"/>
    <x v="0"/>
    <x v="0"/>
    <x v="0"/>
    <s v="EM"/>
    <s v="Complete"/>
    <s v="Completed"/>
    <x v="1"/>
    <s v="University of Johannesburg"/>
    <s v="PhD in Anthropology (Research Dissertation)"/>
    <s v="&quot;The Deepening Relationship between Capital Offences, State-Sanctioned Death, and Sovereignty: An Archival and Ethnographic Study of Punishment, Organized Violence, and the Governance of the Body in Botswana&quot;"/>
    <s v="Nonki"/>
    <s v="Brian"/>
    <s v="Brian Sibanda"/>
    <s v="Nonki Motahane"/>
    <n v="89.285714285714292"/>
    <n v="92.857142857142861"/>
    <n v="91.071428571428584"/>
    <n v="5"/>
    <n v="5"/>
    <n v="10"/>
    <x v="1"/>
    <x v="1"/>
    <x v="1"/>
    <d v="2025-01-30T00:00:00"/>
    <n v="3"/>
    <n v="22000"/>
    <n v="172800"/>
    <n v="212000"/>
    <n v="173000"/>
    <n v="212000"/>
    <n v="0"/>
    <n v="3"/>
  </r>
  <r>
    <s v="10/12/2025"/>
    <s v="2025-8606"/>
    <s v="Higher Education Awards"/>
    <s v="AU Silimela"/>
    <s v="unaliasilimela@gmail.com"/>
    <s v="Submitted"/>
    <s v="Under Review"/>
    <x v="2"/>
    <x v="0"/>
    <x v="1"/>
    <x v="0"/>
    <s v="EM"/>
    <s v="Complete"/>
    <s v="Completed"/>
    <x v="1"/>
    <s v="University of Witwatersrand"/>
    <s v="PHD in International Relations"/>
    <s v="Exploring the relationship between natural resource wealth, control of corruption, and illicit financial flows  (IFFs) across African countries, using coefficient and regression analysis"/>
    <s v="Nonki"/>
    <s v="Brian"/>
    <s v="Brian Sibanda"/>
    <s v="Nonki Motahane"/>
    <n v="67.857142857142861"/>
    <n v="82.142857142857139"/>
    <n v="75"/>
    <n v="3"/>
    <n v="4"/>
    <n v="7"/>
    <x v="0"/>
    <x v="0"/>
    <x v="0"/>
    <d v="2026-01-01T00:00:00"/>
    <n v="3"/>
    <n v="349790"/>
    <n v="349790"/>
    <n v="349790"/>
    <n v="349790"/>
    <n v="349790"/>
    <n v="349790"/>
    <n v="3"/>
  </r>
  <r>
    <s v="10/12/2025"/>
    <s v="2025-8744"/>
    <s v="Higher Education Awards"/>
    <s v="Kabelo Peter Mbuyisa"/>
    <s v="petermbuyisa3@gmail.com"/>
    <s v="Submitted"/>
    <s v="Under Review"/>
    <x v="2"/>
    <x v="0"/>
    <x v="0"/>
    <x v="1"/>
    <s v="CB"/>
    <s v="Complete"/>
    <s v="Completed"/>
    <x v="6"/>
    <s v="University of Oxford, UK"/>
    <s v="Doctor of Philosophy in International Development"/>
    <s v="Green Industrialisation in Resource-Rich Countries in Africa: Pathways for Technology Investment, Education Development, and Economic Diversification in South Africa, Nigeria, and Algeria"/>
    <s v="Badri"/>
    <s v="Johann"/>
    <s v="Badri Zolfaghari"/>
    <s v="Johan Hattingh"/>
    <n v="93.75"/>
    <n v="100"/>
    <n v="96.875"/>
    <n v="4"/>
    <n v="5"/>
    <n v="9"/>
    <x v="1"/>
    <x v="1"/>
    <x v="1"/>
    <d v="2026-01-14T00:00:00"/>
    <n v="3"/>
    <n v="1943500"/>
    <n v="2197000"/>
    <n v="2450500"/>
    <n v="750000"/>
    <n v="750000"/>
    <n v="750000"/>
    <n v="3"/>
  </r>
  <r>
    <s v="10/12/2025"/>
    <s v="2025-8935"/>
    <s v="Higher Education Awards"/>
    <s v="Ndivhuwo Pearl Murunzi"/>
    <s v="Murunzindivhuwo@gmail.com"/>
    <s v="Submitted"/>
    <s v="Under Review"/>
    <x v="0"/>
    <x v="0"/>
    <x v="1"/>
    <x v="0"/>
    <s v="CB"/>
    <s v="Complete"/>
    <s v="Completed"/>
    <x v="4"/>
    <s v="University of Cape Town"/>
    <s v="MSc Medical Biochemistry"/>
    <s v="Investigating the anti-cancer effects of wild rooibos on cancers of high prevalence in South Africa"/>
    <s v="Rupal"/>
    <s v="Shaheen"/>
    <s v="Rupal Jival"/>
    <s v="Shaheen Mowla"/>
    <n v="78.571428571428569"/>
    <n v="82.142857142857139"/>
    <n v="80.357142857142861"/>
    <n v="4"/>
    <n v="5"/>
    <n v="9"/>
    <x v="1"/>
    <x v="1"/>
    <x v="0"/>
    <d v="2026-02-02T00:00:00"/>
    <n v="2"/>
    <n v="190000"/>
    <n v="200000"/>
    <n v="0"/>
    <n v="190000"/>
    <n v="200000"/>
    <n v="0"/>
    <n v="3"/>
  </r>
  <r>
    <s v="10/12/2025"/>
    <s v="2025-8969"/>
    <s v="Higher Education Awards"/>
    <s v="Simphiwe Hlongwa"/>
    <s v="Simphiwehlongwa@gmail.com"/>
    <s v="Submitted"/>
    <s v="Under Review"/>
    <x v="0"/>
    <x v="0"/>
    <x v="0"/>
    <x v="0"/>
    <s v="CB"/>
    <s v="Complete"/>
    <s v="Completed"/>
    <x v="0"/>
    <s v="University of the Witwatersrand"/>
    <s v="Master of Science in Biochemistry"/>
    <s v="Proteins-Proteins Interaction of the Transcription Factors"/>
    <s v="Abdul"/>
    <s v="Nabanita "/>
    <s v="Abdul Mahomed"/>
    <s v="Nabanita Chatterjee"/>
    <n v="64.285714285714292"/>
    <n v="57.142857142857139"/>
    <n v="60.714285714285715"/>
    <n v="3"/>
    <n v="3"/>
    <n v="6"/>
    <x v="0"/>
    <x v="0"/>
    <x v="0"/>
    <d v="2025-01-29T00:00:00"/>
    <n v="2"/>
    <n v="74775.11"/>
    <n v="117136"/>
    <n v="0"/>
    <n v="74775.11"/>
    <n v="117136"/>
    <n v="0"/>
    <n v="2"/>
  </r>
  <r>
    <s v="10/12/2025"/>
    <s v="2025-9003"/>
    <s v="Higher Education Awards"/>
    <s v="Siyabonga Kawana"/>
    <s v="siyabonga.makawee@gmail.com"/>
    <s v="Submitted"/>
    <s v="Under Review"/>
    <x v="0"/>
    <x v="0"/>
    <x v="0"/>
    <x v="0"/>
    <s v="CB"/>
    <s v="Complete, 1o/s ref"/>
    <s v="Completed"/>
    <x v="7"/>
    <s v="University of Cape Town and Stellenbosch University"/>
    <s v="Masters in Music"/>
    <s v="Preserving a Xhosa indigenous singing style, umngqokolo through African contemporary music."/>
    <s v="Alexander"/>
    <s v="Susan"/>
    <s v="Alexander JOHNSON"/>
    <s v="Dr Musa-Duke Nkuna"/>
    <n v="77.777777777777786"/>
    <n v="77.777777777777786"/>
    <n v="77.777777777777786"/>
    <n v="4"/>
    <n v="4"/>
    <n v="8"/>
    <x v="1"/>
    <x v="0"/>
    <x v="0"/>
    <d v="2026-02-16T00:00:00"/>
    <n v="2"/>
    <n v="150000"/>
    <n v="150000"/>
    <n v="0"/>
    <n v="150000"/>
    <n v="150000"/>
    <n v="0"/>
    <n v="2"/>
  </r>
  <r>
    <s v="10/12/2025"/>
    <s v="2025-9021"/>
    <s v="Higher Education Awards"/>
    <s v="Tokollo Molapo"/>
    <s v="thibosehappy@gmail.com"/>
    <s v="Submitted"/>
    <s v="Under Review"/>
    <x v="0"/>
    <x v="0"/>
    <x v="0"/>
    <x v="0"/>
    <s v="CB"/>
    <s v="Complete"/>
    <s v="Completed"/>
    <x v="7"/>
    <s v="University of the Witwatersrand"/>
    <s v="MA-Applied Drama: Theatre in Education, Communities &amp; Social Contexts"/>
    <s v="Reviving the Absent Stage: Exploring the Role of Applied Drama in the Re-imagining of Culturally Grounded Rites of Passage in Tsuvulani"/>
    <s v="Mwenya"/>
    <s v="Mbongeni"/>
    <s v="Mbongeni Mtshali"/>
    <s v="Mwenya Kabwe"/>
    <n v="67.857142857142861"/>
    <n v="89.285714285714292"/>
    <n v="78.571428571428584"/>
    <n v="4"/>
    <n v="4"/>
    <n v="8"/>
    <x v="1"/>
    <x v="0"/>
    <x v="0"/>
    <d v="2026-01-26T00:00:00"/>
    <n v="2"/>
    <n v="193080"/>
    <n v="183080"/>
    <n v="0"/>
    <n v="193080"/>
    <n v="183080"/>
    <n v="0"/>
    <n v="3"/>
  </r>
  <r>
    <s v="10/12/2025"/>
    <s v="2025-9060"/>
    <s v="Higher Education Awards"/>
    <s v="Sekai Joy Chengetanai Gochera"/>
    <s v="sekaijcgochera@gmail.com"/>
    <s v="Submitted"/>
    <s v="Under Review"/>
    <x v="2"/>
    <x v="0"/>
    <x v="1"/>
    <x v="0"/>
    <s v="CB"/>
    <s v="Complete, 1o/s ref"/>
    <s v="Completed"/>
    <x v="2"/>
    <s v="University of Johannesburg"/>
    <s v="Finance"/>
    <s v="The Impact of green finance on environmental sustainability in BRICS Countries"/>
    <s v="Helena"/>
    <s v="Shaun"/>
    <s v="Helena Barnard"/>
    <s v="Shaun Ruggunan"/>
    <n v="57.142857142857139"/>
    <n v="64.285714285714292"/>
    <n v="60.714285714285715"/>
    <n v="3"/>
    <n v="2"/>
    <n v="5"/>
    <x v="0"/>
    <x v="0"/>
    <x v="0"/>
    <d v="2025-01-01T00:00:00"/>
    <n v="2"/>
    <n v="40000"/>
    <n v="40000"/>
    <n v="0"/>
    <n v="40000"/>
    <n v="40000"/>
    <n v="0"/>
    <n v="3"/>
  </r>
  <r>
    <s v="10/12/2025"/>
    <s v="2025-9089"/>
    <s v="Higher Education Awards"/>
    <s v="Emmanuella Owusu"/>
    <s v="emmaaaantwi@gmail.com"/>
    <s v="Submitted"/>
    <s v="Under Review"/>
    <x v="0"/>
    <x v="0"/>
    <x v="1"/>
    <x v="0"/>
    <s v="CB"/>
    <s v="Complete"/>
    <s v="Completed"/>
    <x v="4"/>
    <s v="Sefako Makgatho Health Sciences University"/>
    <s v="Masters in Pharmacy"/>
    <s v="Clinical Pharmacy"/>
    <s v="Frasia"/>
    <s v="Neil"/>
    <s v="Frasia Oosthuizen"/>
    <s v="Neil Coville"/>
    <n v="60.714285714285708"/>
    <n v="82.142857142857139"/>
    <n v="71.428571428571416"/>
    <n v="2"/>
    <n v="4"/>
    <n v="6"/>
    <x v="0"/>
    <x v="0"/>
    <x v="0"/>
    <d v="2025-01-22T00:00:00"/>
    <n v="1"/>
    <n v="175240"/>
    <n v="0"/>
    <n v="0"/>
    <n v="175240"/>
    <n v="0"/>
    <n v="0"/>
    <n v="3"/>
  </r>
  <r>
    <s v="10/12/2025"/>
    <s v="2025-9150"/>
    <s v="Higher Education Awards"/>
    <s v="ITUMELENG CHAKANE"/>
    <s v="itumelengchakane5@gmail.com"/>
    <s v="Submitted"/>
    <s v="Under Review"/>
    <x v="0"/>
    <x v="0"/>
    <x v="0"/>
    <x v="0"/>
    <s v="CB"/>
    <s v="Complete"/>
    <s v="Completed"/>
    <x v="2"/>
    <s v="Wits University"/>
    <s v="Entrepreneurship and New Ventrure Creation"/>
    <s v="Assessing the success and effectiveness of KDJI Small, Medium, and Micro Entreprises"/>
    <s v="Helena"/>
    <s v="Shaun"/>
    <s v="Helena Barnard"/>
    <s v="Shaun Ruggunan"/>
    <n v="64.285714285714292"/>
    <n v="67.857142857142861"/>
    <n v="66.071428571428584"/>
    <n v="3"/>
    <n v="3"/>
    <n v="6"/>
    <x v="0"/>
    <x v="0"/>
    <x v="0"/>
    <d v="2025-02-03T00:00:00"/>
    <n v="2"/>
    <n v="168471"/>
    <n v="96750"/>
    <n v="0"/>
    <n v="168471"/>
    <n v="96750"/>
    <n v="0"/>
    <n v="3"/>
  </r>
  <r>
    <s v="10/12/2025"/>
    <s v="2025-9214"/>
    <s v="Higher Education Awards"/>
    <s v="Nkululeko Ngubane"/>
    <s v="1471556@students.wits.ac.za"/>
    <s v="Submitted"/>
    <s v="Under Review"/>
    <x v="2"/>
    <x v="0"/>
    <x v="0"/>
    <x v="0"/>
    <s v="CB"/>
    <s v="Complete"/>
    <s v="Completed"/>
    <x v="1"/>
    <s v="WITS University"/>
    <s v="Doctoral degree in Education"/>
    <s v="Transforming the Teaching of Algebraic Functions in AI-Enabled Learning Systems within an Activity Theory Framework 'A case of Grade 10 Under-Resourced Gauteng Province Schools'"/>
    <s v="Sam"/>
    <s v="Srila"/>
    <s v="Sam Kariuki"/>
    <s v="Srila Roy"/>
    <n v="71.428571428571431"/>
    <n v="85.714285714285708"/>
    <n v="78.571428571428569"/>
    <n v="3"/>
    <n v="3"/>
    <n v="6"/>
    <x v="0"/>
    <x v="0"/>
    <x v="0"/>
    <d v="2026-01-29T00:00:00"/>
    <n v="3"/>
    <n v="100000"/>
    <n v="100000"/>
    <n v="100000"/>
    <n v="100000"/>
    <n v="100000"/>
    <n v="100000"/>
    <n v="3"/>
  </r>
  <r>
    <s v="10/12/2025"/>
    <s v="2025-9241"/>
    <s v="Higher Education Awards"/>
    <s v="Christen Rao"/>
    <s v="christenrao7@gmail.com"/>
    <s v="Submitted"/>
    <s v="Under Review"/>
    <x v="0"/>
    <x v="4"/>
    <x v="1"/>
    <x v="1"/>
    <s v="CB"/>
    <s v="Complete"/>
    <s v="Completed"/>
    <x v="8"/>
    <s v="University of Edinburgh"/>
    <s v="LLM in Innovation, Technology and the Law"/>
    <s v="AI Safety and Governance"/>
    <s v="Carolina"/>
    <s v="Danie"/>
    <s v="Carolina Meyer"/>
    <s v="Danie Visser"/>
    <n v="78.125"/>
    <n v="68.75"/>
    <n v="73.4375"/>
    <n v="4"/>
    <n v="2"/>
    <n v="6"/>
    <x v="0"/>
    <x v="0"/>
    <x v="0"/>
    <d v="2026-01-07T00:00:00"/>
    <n v="2"/>
    <n v="301525.25"/>
    <n v="301525.25"/>
    <n v="0"/>
    <n v="301525.25"/>
    <n v="301525.25"/>
    <n v="0"/>
    <n v="3"/>
  </r>
  <r>
    <s v="10/12/2025"/>
    <s v="2025-9244"/>
    <s v="Higher Education Awards"/>
    <s v="Nobesuthu Adelaide Ngwenya"/>
    <s v="nobesuthu91@gmail.com"/>
    <s v="Submitted"/>
    <s v="Under Review"/>
    <x v="2"/>
    <x v="0"/>
    <x v="1"/>
    <x v="0"/>
    <s v="CB"/>
    <s v="Complete"/>
    <s v="Completed"/>
    <x v="3"/>
    <s v="Nelson Mandela University"/>
    <s v="PhD in Nature Conservation"/>
    <s v="Understanding and managing human elephant interactions in a multi land use landscape: The case of the Zimbabwe component of the Kavango Zambezi Trans-frontier Conservation Area"/>
    <s v="Chenaimoyo"/>
    <s v="Francesca"/>
    <s v="Chenaimoyo Katiyatiya"/>
    <s v="Francesca Parrini"/>
    <n v="92.857142857142861"/>
    <n v="92.857142857142861"/>
    <n v="92.857142857142861"/>
    <n v="5"/>
    <n v="5"/>
    <n v="10"/>
    <x v="1"/>
    <x v="1"/>
    <x v="1"/>
    <d v="2024-10-31T00:00:00"/>
    <n v="2"/>
    <n v="393500"/>
    <n v="200500"/>
    <n v="0"/>
    <n v="350000"/>
    <n v="200000"/>
    <n v="0"/>
    <n v="3"/>
  </r>
  <r>
    <s v="10/12/2025"/>
    <s v="2025-9269"/>
    <s v="Higher Education Awards"/>
    <s v="Zhane Kinnear"/>
    <s v="zkinnear210@gmail.com"/>
    <s v="Submitted"/>
    <s v="Under Review"/>
    <x v="0"/>
    <x v="2"/>
    <x v="1"/>
    <x v="0"/>
    <s v="CB"/>
    <s v="Complete"/>
    <s v="Completed"/>
    <x v="4"/>
    <s v="University of Witwatersrand"/>
    <s v="MSc(Med/Research)"/>
    <s v="Drug discovery -molecular techniques"/>
    <s v="Abdullah"/>
    <s v="Demetra"/>
    <s v="Abdullah Ely"/>
    <s v="Demetra Mavri-Damelin"/>
    <n v="78.571428571428569"/>
    <n v="53.571428571428569"/>
    <n v="66.071428571428569"/>
    <n v="4"/>
    <n v="2"/>
    <n v="6"/>
    <x v="0"/>
    <x v="0"/>
    <x v="0"/>
    <d v="2026-01-01T00:00:00"/>
    <n v="1"/>
    <n v="77000"/>
    <n v="0"/>
    <n v="0"/>
    <n v="77000"/>
    <n v="0"/>
    <n v="0"/>
    <n v="2"/>
  </r>
  <r>
    <s v="10/12/2025"/>
    <s v="2025-9126"/>
    <s v="Higher Education Awards"/>
    <s v="Ayatolah September"/>
    <s v="ayasept@gmail.com"/>
    <s v="Submitted"/>
    <s v="Under Review"/>
    <x v="2"/>
    <x v="0"/>
    <x v="1"/>
    <x v="0"/>
    <s v="EM"/>
    <s v="Complete"/>
    <s v="Completed"/>
    <x v="4"/>
    <s v="Wits, Stellenbosch University"/>
    <s v="Psychology"/>
    <s v="Unheard and Unhealed: Exploring the Long-Term Psychosocial and Public Health Impacts of Sexual and Gender-Based Violence on African Adolescent Boys in South Africa."/>
    <s v="Gill"/>
    <s v="Moses"/>
    <s v="Gill Nelson"/>
    <s v="Moses Alobo"/>
    <n v="71.428571428571431"/>
    <n v="71.428571428571431"/>
    <n v="71.428571428571431"/>
    <n v="4"/>
    <n v="4"/>
    <n v="8"/>
    <x v="0"/>
    <x v="0"/>
    <x v="0"/>
    <d v="2026-04-01T00:00:00"/>
    <n v="3"/>
    <n v="145000"/>
    <n v="65000"/>
    <n v="65000"/>
    <n v="145000"/>
    <n v="65000"/>
    <n v="65000"/>
    <n v="2"/>
  </r>
  <r>
    <s v="10/12/2025"/>
    <s v="2025-9070"/>
    <s v="Higher Education Awards"/>
    <s v="Jesse Le Roux"/>
    <s v="23868775@sun.ac.za"/>
    <s v="Submitted"/>
    <s v="Under Review"/>
    <x v="2"/>
    <x v="1"/>
    <x v="0"/>
    <x v="1"/>
    <s v="EM"/>
    <s v="Complete"/>
    <s v="Completed"/>
    <x v="1"/>
    <s v="Maynooth University"/>
    <s v="PhD"/>
    <s v="History"/>
    <s v="Nonki"/>
    <s v="Brian"/>
    <s v="Brian Sibanda"/>
    <s v="Nonki Motahane"/>
    <n v="65.625"/>
    <n v="81.25"/>
    <n v="73.4375"/>
    <n v="3"/>
    <n v="4"/>
    <n v="7"/>
    <x v="0"/>
    <x v="0"/>
    <x v="0"/>
    <d v="2026-01-31T00:00:00"/>
    <n v="3"/>
    <n v="82387.5"/>
    <n v="50488.75"/>
    <n v="68867.5"/>
    <n v="82387.5"/>
    <n v="50488.75"/>
    <n v="68867.5"/>
    <n v="3"/>
  </r>
  <r>
    <s v="10/12/2025"/>
    <s v="2025-8671"/>
    <s v="Higher Education Awards"/>
    <s v="Nokuthula Hlongwane"/>
    <s v="hlongwane.tula@gmail.com"/>
    <s v="Submitted"/>
    <s v="Under Review"/>
    <x v="0"/>
    <x v="0"/>
    <x v="1"/>
    <x v="0"/>
    <s v="EM"/>
    <s v="Complete"/>
    <s v="Completed"/>
    <x v="4"/>
    <s v="University of Cape Town"/>
    <s v="Masters in Epidemiology and Biostatistics"/>
    <s v="Effect of Bacterial Vaginosis on Cervicovaginal Inflammation Among Adolescents in South Africa: The Modifying Role of Hormonal Contraceptive Type"/>
    <s v="Frasia"/>
    <s v="Neil"/>
    <s v="Frasia Oosthuizen"/>
    <s v="Neil Coville"/>
    <n v="75"/>
    <n v="85.714285714285708"/>
    <n v="80.357142857142861"/>
    <n v="3"/>
    <n v="4"/>
    <n v="7"/>
    <x v="1"/>
    <x v="0"/>
    <x v="0"/>
    <d v="2026-03-17T00:00:00"/>
    <n v="2"/>
    <n v="110010"/>
    <n v="136050"/>
    <n v="0"/>
    <n v="110010"/>
    <n v="136050"/>
    <n v="0"/>
    <n v="3"/>
  </r>
  <r>
    <s v="10/12/2025"/>
    <s v="2025-9349"/>
    <s v="Higher Education Awards"/>
    <s v="Natalie Sifuma"/>
    <s v="nsifuma@gmail.com"/>
    <s v="Submitted"/>
    <s v="Under Review"/>
    <x v="0"/>
    <x v="0"/>
    <x v="1"/>
    <x v="0"/>
    <s v="EM"/>
    <s v="Complete"/>
    <s v="Completed"/>
    <x v="2"/>
    <s v="University of Cape Town"/>
    <s v="Master of Philosophy (MPhil) in Inclusive Innovation"/>
    <s v="Inclusive Climate Governance: Integrating African Women’s Knowledge and Leadership into Adaptation Policymaking"/>
    <s v="Helena"/>
    <s v="Philippe"/>
    <s v="Helena Barnard"/>
    <s v="Philippe Burger"/>
    <n v="85.714285714285708"/>
    <n v="60.714285714285708"/>
    <n v="73.214285714285708"/>
    <n v="5"/>
    <n v="2"/>
    <n v="7"/>
    <x v="0"/>
    <x v="0"/>
    <x v="0"/>
    <d v="2026-02-16T00:00:00"/>
    <n v="2"/>
    <n v="217500"/>
    <n v="252500"/>
    <n v="0"/>
    <n v="217500"/>
    <n v="252500"/>
    <n v="0"/>
    <n v="3"/>
  </r>
  <r>
    <s v="10/12/2025"/>
    <s v="2025-9285"/>
    <s v="Higher Education Awards"/>
    <s v="Chewe Fwalo"/>
    <s v="fwalochewe99@gmail.com"/>
    <s v="Submitted"/>
    <s v="Under Review"/>
    <x v="1"/>
    <x v="0"/>
    <x v="0"/>
    <x v="0"/>
    <s v="EM"/>
    <s v="Complete, check budget"/>
    <s v="Completed"/>
    <x v="0"/>
    <s v="University of Pretoria"/>
    <s v="Computational Physics (Research)"/>
    <s v="Investigating the catalytic effects  of graphene-(beta12)borophene cathode on various discharge products of lithium and sodium-oxides for efficient metal-oxygen batteries: A first-principles study"/>
    <s v="Abdul"/>
    <s v="Matthew"/>
    <s v="Abdul Mahomed"/>
    <s v="Mathew Moodley"/>
    <n v="77.777777777777786"/>
    <n v="69.444444444444443"/>
    <n v="73.611111111111114"/>
    <n v="3"/>
    <n v="4"/>
    <n v="7"/>
    <x v="0"/>
    <x v="0"/>
    <x v="0"/>
    <d v="2026-01-01T00:00:00"/>
    <n v="2"/>
    <n v="664400"/>
    <n v="664400"/>
    <n v="0"/>
    <n v="664400"/>
    <n v="664400"/>
    <n v="0"/>
    <n v="3"/>
  </r>
  <r>
    <s v="10/12/2025"/>
    <s v="2025-8603"/>
    <s v="Higher Education Awards"/>
    <s v="Conrad Addikah"/>
    <s v="addikah.conrad@up.ac.za"/>
    <s v="Submitted"/>
    <s v="Under Review"/>
    <x v="2"/>
    <x v="0"/>
    <x v="0"/>
    <x v="0"/>
    <s v="EM"/>
    <s v="Complete"/>
    <s v="Completed"/>
    <x v="3"/>
    <s v="University of Pretoria"/>
    <s v="PhD Agronomy"/>
    <s v="Climate change, Food security"/>
    <s v="Maryna"/>
    <s v="Romano"/>
    <s v="Maryna de Wit"/>
    <s v="Romano Lottering"/>
    <n v="85.714285714285708"/>
    <n v="82.142857142857139"/>
    <n v="83.928571428571416"/>
    <n v="5"/>
    <n v="4"/>
    <n v="9"/>
    <x v="1"/>
    <x v="1"/>
    <x v="0"/>
    <d v="2026-01-05T00:00:00"/>
    <n v="2"/>
    <n v="200750"/>
    <n v="200750"/>
    <n v="0"/>
    <n v="200750"/>
    <n v="200750"/>
    <n v="0"/>
    <n v="3"/>
  </r>
  <r>
    <s v="10/12/2025"/>
    <s v="2025-9409"/>
    <s v="Higher Education Awards"/>
    <s v="Jeffrey Som Kwale"/>
    <s v="26787032@mylife.unisa.ac.za"/>
    <s v="Submitted"/>
    <s v="Under Review"/>
    <x v="2"/>
    <x v="0"/>
    <x v="0"/>
    <x v="0"/>
    <s v="EM"/>
    <s v="Complete"/>
    <s v="Completed"/>
    <x v="0"/>
    <s v="University of South Africa"/>
    <s v="PhD in Physics"/>
    <s v="Probing Luminescent and Magnetic Phenomena in FeTaO4-based Nanoparticles for Application in Medical Imaging"/>
    <s v="Abdul"/>
    <s v="Matthew"/>
    <s v="Abdul Mahomed"/>
    <s v="Mathew Moodley"/>
    <n v="89.285714285714292"/>
    <n v="92.857142857142861"/>
    <n v="91.071428571428584"/>
    <n v="4"/>
    <n v="4"/>
    <n v="8"/>
    <x v="1"/>
    <x v="1"/>
    <x v="1"/>
    <d v="2025-02-03T00:00:00"/>
    <n v="2"/>
    <n v="223380"/>
    <n v="223380"/>
    <n v="0"/>
    <n v="224000"/>
    <n v="224000"/>
    <n v="0"/>
    <n v="3"/>
  </r>
  <r>
    <s v="10/12/2025"/>
    <s v="2025-9472"/>
    <s v="Higher Education Awards"/>
    <s v="Matladi Masete"/>
    <s v="u20818336@tuks.co.za"/>
    <s v="Submitted"/>
    <s v="Under Review"/>
    <x v="1"/>
    <x v="0"/>
    <x v="0"/>
    <x v="0"/>
    <s v="EM"/>
    <s v="Complete"/>
    <s v="Completed"/>
    <x v="4"/>
    <s v="South African Medical Research Council"/>
    <s v="Post doctotoral in Molecular Biology"/>
    <s v="Exploring risk predictive models for hyperglycaemia in pregnancy"/>
    <s v="Abdullah"/>
    <s v="Demetra"/>
    <s v="Abdullah Ely"/>
    <s v="Demetra Mavri-Damelin"/>
    <n v="61.111111111111114"/>
    <n v="36.111111111111107"/>
    <n v="48.611111111111114"/>
    <n v="2"/>
    <n v="1"/>
    <n v="3"/>
    <x v="0"/>
    <x v="0"/>
    <x v="0"/>
    <d v="2026-04-01T00:00:00"/>
    <n v="3"/>
    <n v="222265"/>
    <n v="288456"/>
    <n v="283664"/>
    <n v="222265"/>
    <n v="288456"/>
    <n v="283664"/>
    <n v="3"/>
  </r>
  <r>
    <s v="10/12/2025"/>
    <s v="2025-9475"/>
    <s v="Higher Education Awards"/>
    <s v="Neha Manhas"/>
    <s v="nehamanhas09@gmail.com"/>
    <s v="Submitted"/>
    <s v="Under Review"/>
    <x v="1"/>
    <x v="4"/>
    <x v="1"/>
    <x v="0"/>
    <s v="EM"/>
    <s v="Complete"/>
    <s v="Completed"/>
    <x v="4"/>
    <s v="University of KwaZulu-Natal, Durban, South Africa"/>
    <s v="Development of Anti-Tubercular Drugs"/>
    <s v="Isoniazid–Quinolone Molecular Hybrids as Dual-Target Inhibitors to Overcome Drug Resistance in Tuberculosis Treatment"/>
    <s v="Abdullah"/>
    <s v="Demetra"/>
    <s v="Abdullah Ely"/>
    <s v="Demetra Mavri-Damelin"/>
    <n v="72.222222222222214"/>
    <n v="61.111111111111114"/>
    <n v="66.666666666666657"/>
    <n v="2"/>
    <n v="3"/>
    <n v="5"/>
    <x v="0"/>
    <x v="0"/>
    <x v="0"/>
    <d v="2026-01-01T00:00:00"/>
    <n v="2"/>
    <n v="285000"/>
    <n v="320000"/>
    <n v="0"/>
    <n v="285000"/>
    <n v="320000"/>
    <n v="0"/>
    <n v="3"/>
  </r>
  <r>
    <s v="10/12/2025"/>
    <s v="2025-8755"/>
    <s v="Higher Education Awards"/>
    <s v="Saheed Abiola Raheem"/>
    <s v="saheedabiola9@gmail.com"/>
    <s v="Submitted"/>
    <s v="Under Review"/>
    <x v="1"/>
    <x v="0"/>
    <x v="0"/>
    <x v="0"/>
    <s v="EM"/>
    <s v="Complete"/>
    <s v="Completed"/>
    <x v="5"/>
    <s v="University of the Witwatersrand"/>
    <s v="Chemical &amp; Metallurgical Engineering"/>
    <s v="Electrocatalysis for green hydrogen production"/>
    <s v="Lesedi"/>
    <s v="Pieter"/>
    <s v="Lesedi Masisi"/>
    <s v="Pieter Pistorius"/>
    <n v="66.666666666666657"/>
    <n v="66.666666666666657"/>
    <n v="66.666666666666657"/>
    <n v="3"/>
    <n v="1"/>
    <n v="4"/>
    <x v="0"/>
    <x v="0"/>
    <x v="0"/>
    <d v="2026-01-01T00:00:00"/>
    <n v="2"/>
    <n v="510000"/>
    <n v="480000"/>
    <n v="0"/>
    <n v="510000"/>
    <n v="480000"/>
    <n v="0"/>
    <n v="3"/>
  </r>
  <r>
    <s v="10/12/2025"/>
    <s v="2025-9411"/>
    <s v="Higher Education Awards"/>
    <s v="Adebowale Adeniran"/>
    <s v="adebowaleebenezer1@gmail.com"/>
    <s v="Submitted"/>
    <s v="Under Review"/>
    <x v="2"/>
    <x v="0"/>
    <x v="0"/>
    <x v="0"/>
    <s v="EM"/>
    <s v="Complete"/>
    <s v="Completed"/>
    <x v="5"/>
    <s v="University of Johannesburg"/>
    <s v="Metallurgical Engineering"/>
    <s v="Smart Composite Materials for Renewable Hydrogen Storage Systems"/>
    <s v="Finzi"/>
    <s v="Pieter"/>
    <s v="Finzi Saidi"/>
    <s v="Pieter Pistorius"/>
    <n v="64.285714285714292"/>
    <n v="53.571428571428569"/>
    <n v="58.928571428571431"/>
    <n v="2"/>
    <n v="2"/>
    <n v="4"/>
    <x v="0"/>
    <x v="0"/>
    <x v="0"/>
    <d v="2025-02-03T00:00:00"/>
    <n v="3"/>
    <n v="270000"/>
    <n v="210000"/>
    <n v="210000"/>
    <n v="270000"/>
    <n v="210000"/>
    <n v="210000"/>
    <n v="3"/>
  </r>
  <r>
    <s v="10/12/2025"/>
    <s v="2025-8582"/>
    <s v="Higher Education Awards"/>
    <s v="Thenjiwe Dubazane"/>
    <s v="thedii@outlook.com"/>
    <s v="Submitted"/>
    <s v="Under Review"/>
    <x v="2"/>
    <x v="0"/>
    <x v="1"/>
    <x v="0"/>
    <s v="EM"/>
    <s v="Complete"/>
    <s v="Completed"/>
    <x v="4"/>
    <s v="University of the Witwatersrand, Johannesburg"/>
    <s v="Public Health"/>
    <s v="The relationship between Parenting Practices and Adolescent Girls’ Mental Health: A Cross-Sectional Nested Study"/>
    <s v="Gill"/>
    <s v="Moses"/>
    <s v="Gill Nelson"/>
    <s v="Moses Alobo"/>
    <n v="78.571428571428569"/>
    <n v="78.571428571428569"/>
    <n v="78.571428571428569"/>
    <n v="5"/>
    <n v="5"/>
    <n v="10"/>
    <x v="1"/>
    <x v="0"/>
    <x v="0"/>
    <d v="2025-07-01T00:00:00"/>
    <n v="3"/>
    <n v="95000"/>
    <n v="102000"/>
    <n v="79000"/>
    <n v="95000"/>
    <n v="102000"/>
    <n v="79000"/>
    <n v="3"/>
  </r>
  <r>
    <s v="10/12/2025"/>
    <s v="2025-9449"/>
    <s v="Higher Education Awards"/>
    <s v="Lenah Kitenge"/>
    <s v="lenah.kit@gmail.com"/>
    <s v="Submitted"/>
    <s v="Under Review"/>
    <x v="0"/>
    <x v="0"/>
    <x v="1"/>
    <x v="0"/>
    <s v="EM"/>
    <s v="Complete"/>
    <s v="Completed"/>
    <x v="2"/>
    <s v="University of Cape Town"/>
    <s v="Inclusive Innovation"/>
    <s v="Innovation"/>
    <s v="Helena"/>
    <s v="Philippe"/>
    <s v="Helena Barnard"/>
    <s v="Philippe Burger"/>
    <n v="89.285714285714292"/>
    <n v="67.857142857142861"/>
    <n v="78.571428571428584"/>
    <n v="5"/>
    <n v="3"/>
    <n v="8"/>
    <x v="1"/>
    <x v="0"/>
    <x v="0"/>
    <d v="2026-02-02T00:00:00"/>
    <n v="2"/>
    <n v="83670"/>
    <n v="115670"/>
    <n v="0"/>
    <n v="83670"/>
    <n v="115670"/>
    <n v="0"/>
    <n v="2"/>
  </r>
  <r>
    <s v="10/12/2025"/>
    <s v="2025-8915"/>
    <s v="Higher Education Awards"/>
    <s v="Lea Sixtl"/>
    <s v="lea.sixtl@live.at"/>
    <s v="Submitted"/>
    <s v="Under Review"/>
    <x v="2"/>
    <x v="1"/>
    <x v="1"/>
    <x v="0"/>
    <s v="EM"/>
    <s v="Complete"/>
    <s v="Completed"/>
    <x v="1"/>
    <s v="University of Witwatersrand"/>
    <s v="PhD"/>
    <s v="Interdisciplinary Environmental Humanities"/>
    <s v="Sam"/>
    <s v="Srila"/>
    <s v="Sam Kariuki"/>
    <s v="Srila Roy"/>
    <n v="92.857142857142861"/>
    <n v="96.428571428571431"/>
    <n v="94.642857142857139"/>
    <n v="5"/>
    <n v="4"/>
    <n v="9"/>
    <x v="1"/>
    <x v="1"/>
    <x v="0"/>
    <d v="2025-06-01T00:00:00"/>
    <n v="3"/>
    <n v="306852.88"/>
    <n v="363944.46"/>
    <n v="391888.82"/>
    <n v="306852.88"/>
    <n v="350000"/>
    <n v="350000"/>
    <n v="3"/>
  </r>
  <r>
    <s v="10/12/2025"/>
    <s v="2025-8509"/>
    <s v="Higher Education Awards"/>
    <s v="David Makateng"/>
    <s v="dmakateng55@gmail.com"/>
    <s v="Submitted"/>
    <s v="Under Review"/>
    <x v="1"/>
    <x v="0"/>
    <x v="0"/>
    <x v="0"/>
    <s v="EM"/>
    <s v="Complete, check budget"/>
    <s v="Completed"/>
    <x v="6"/>
    <s v="University of Johannesburg"/>
    <s v="Sociology"/>
    <s v="A Sociological perspective of social ontology of Orania town and selected townships in South Africa: A comparative study."/>
    <s v="Badri"/>
    <s v="Johann"/>
    <s v="Badri Zolfaghari"/>
    <s v="Johan Hattingh"/>
    <n v="75"/>
    <n v="44.444444444444443"/>
    <n v="59.722222222222221"/>
    <n v="3"/>
    <n v="1"/>
    <n v="4"/>
    <x v="0"/>
    <x v="0"/>
    <x v="0"/>
    <d v="2025-08-05T00:00:00"/>
    <n v="1"/>
    <n v="250000"/>
    <n v="0"/>
    <n v="0"/>
    <n v="250000"/>
    <n v="0"/>
    <n v="0"/>
    <n v="3"/>
  </r>
  <r>
    <s v="10/12/2025"/>
    <s v="2025-8473"/>
    <s v="Higher Education Awards"/>
    <s v="Michelle Risi"/>
    <s v="Mish.risi22@gmail.com"/>
    <s v="Submitted"/>
    <s v="Under Review"/>
    <x v="2"/>
    <x v="1"/>
    <x v="1"/>
    <x v="0"/>
    <s v="EM"/>
    <s v="Complete"/>
    <s v="Completed"/>
    <x v="3"/>
    <s v="FitzPatrick Institute of African Ornithology, University of Cape Town"/>
    <s v="Ph.D. in Biological Sciences"/>
    <s v="Understanding the Drivers of Seabird Demography in a Changing Ocean: Insights from Long-term Studies of Giant Petrels"/>
    <s v="Andrea"/>
    <s v="Themba"/>
    <s v="Andrea Fuller"/>
    <s v="Themba Mahlaba"/>
    <n v="89.285714285714292"/>
    <n v="85.714285714285708"/>
    <n v="87.5"/>
    <n v="4"/>
    <n v="4"/>
    <n v="8"/>
    <x v="1"/>
    <x v="1"/>
    <x v="0"/>
    <d v="2026-02-01T00:00:00"/>
    <n v="3"/>
    <n v="316000"/>
    <n v="271000"/>
    <n v="313000"/>
    <n v="316000"/>
    <n v="271000"/>
    <n v="313000"/>
    <n v="3"/>
  </r>
  <r>
    <s v="10/12/2025"/>
    <s v="2025-9026"/>
    <s v="Higher Education Awards"/>
    <s v="Awande Nkambule"/>
    <s v="acmnkambule@gmail.com"/>
    <s v="Submitted"/>
    <s v="Under Review"/>
    <x v="0"/>
    <x v="0"/>
    <x v="0"/>
    <x v="0"/>
    <s v="EM"/>
    <s v="Complete"/>
    <s v="Completed"/>
    <x v="4"/>
    <s v="University of Pretoria"/>
    <s v="Masters in Public Health"/>
    <s v="Health Economics"/>
    <s v="Nicola"/>
    <s v="Riffat"/>
    <s v="Nicola Christofides"/>
    <s v="Riffat Munir"/>
    <n v="57.142857142857139"/>
    <n v="60.714285714285708"/>
    <n v="58.928571428571423"/>
    <n v="1"/>
    <n v="2"/>
    <n v="3"/>
    <x v="0"/>
    <x v="0"/>
    <x v="0"/>
    <d v="2026-01-17T00:00:00"/>
    <n v="2"/>
    <n v="195500"/>
    <n v="195500"/>
    <n v="0"/>
    <n v="195500"/>
    <n v="195500"/>
    <n v="0"/>
    <n v="2"/>
  </r>
  <r>
    <s v="10/12/2025"/>
    <s v="2025-8596"/>
    <s v="Higher Education Awards"/>
    <s v="Burnet Adriaan Meyer"/>
    <s v="adriaanmeyer2@gmail.com"/>
    <s v="Submitted"/>
    <s v="Under Review"/>
    <x v="2"/>
    <x v="1"/>
    <x v="0"/>
    <x v="0"/>
    <s v="EM"/>
    <s v="Complete"/>
    <s v="Completed"/>
    <x v="4"/>
    <s v="Stellenbosch University"/>
    <s v="PhD in Medical Physiology"/>
    <s v="Cardiometabolic risk prediction in people living with HIV from the Western Cape utilizing conventional statistics and artificial intelligence"/>
    <s v="Mubeen"/>
    <s v="Sandrine"/>
    <s v="Mubeen Goolam"/>
    <s v="Sandrine Lecour"/>
    <n v="50"/>
    <n v="85.714285714285708"/>
    <n v="67.857142857142861"/>
    <n v="1"/>
    <n v="5"/>
    <n v="6"/>
    <x v="0"/>
    <x v="0"/>
    <x v="0"/>
    <d v="2026-01-01T00:00:00"/>
    <n v="3"/>
    <n v="215350"/>
    <n v="232877"/>
    <n v="234496"/>
    <n v="215350"/>
    <n v="232877"/>
    <n v="234496"/>
    <n v="3"/>
  </r>
  <r>
    <s v="10/12/2025"/>
    <s v="2025-9181"/>
    <s v="Higher Education Awards"/>
    <s v="Samkele Mnyango"/>
    <s v="2020916736@ufs4life.ac.za"/>
    <s v="Submitted"/>
    <s v="Under Review"/>
    <x v="2"/>
    <x v="0"/>
    <x v="0"/>
    <x v="0"/>
    <s v="EM"/>
    <s v="Complete"/>
    <s v="Completed"/>
    <x v="3"/>
    <s v="University of the Free State"/>
    <s v="PhD with Specialization in Land Rehabilitation"/>
    <s v="Holistic Approaches to Mitigating Eutrophication in South African Water Resources"/>
    <s v="Andrea"/>
    <s v="Themba"/>
    <s v="Andrea Fuller"/>
    <s v="Themba Mahlaba"/>
    <n v="75"/>
    <n v="75"/>
    <n v="75"/>
    <n v="4"/>
    <n v="3"/>
    <n v="7"/>
    <x v="0"/>
    <x v="0"/>
    <x v="0"/>
    <d v="2025-03-06T00:00:00"/>
    <n v="3"/>
    <n v="-303800"/>
    <n v="-294300"/>
    <n v="-284000"/>
    <n v="-303800"/>
    <n v="-294300"/>
    <n v="-284000"/>
    <n v="3"/>
  </r>
  <r>
    <s v="10/12/2025"/>
    <s v="2025-8633"/>
    <s v="Higher Education Awards"/>
    <s v="Asavela Mehlwana"/>
    <s v="asamehlwana@gmail.com"/>
    <s v="Submitted"/>
    <s v="Under Review"/>
    <x v="0"/>
    <x v="0"/>
    <x v="1"/>
    <x v="0"/>
    <s v="EM"/>
    <s v="Complete"/>
    <s v="Completed"/>
    <x v="0"/>
    <s v="Nelson Mandela University"/>
    <s v="Masters of Sciences in  Chemistry"/>
    <s v="Fabrication and evaluation of ligand-functionalized resins for the recovery of precious metals from mine waste rocks"/>
    <s v="Katherine"/>
    <s v="Mzamo"/>
    <s v="Katherine de Villiers"/>
    <s v="Mzamo Shozi"/>
    <n v="67.857142857142861"/>
    <n v="64.285714285714292"/>
    <n v="66.071428571428584"/>
    <n v="4"/>
    <n v="2"/>
    <n v="6"/>
    <x v="0"/>
    <x v="0"/>
    <x v="0"/>
    <d v="2025-02-01T00:00:00"/>
    <n v="2"/>
    <n v="100000"/>
    <n v="0"/>
    <n v="0"/>
    <n v="100000"/>
    <n v="0"/>
    <n v="0"/>
    <n v="3"/>
  </r>
  <r>
    <s v="10/12/2025"/>
    <s v="2025-8437"/>
    <s v="Higher Education Awards"/>
    <s v="Athembile Centane"/>
    <s v="athembile785@gmail.com"/>
    <s v="Submitted"/>
    <s v="Under Review"/>
    <x v="0"/>
    <x v="0"/>
    <x v="1"/>
    <x v="0"/>
    <s v="EM"/>
    <s v="Complete"/>
    <s v="Completed"/>
    <x v="4"/>
    <s v="University of the Western Cape"/>
    <s v="Master of Science"/>
    <s v="Pharmaceutical Sciences"/>
    <s v="Frasia"/>
    <s v="Neil"/>
    <s v="Frasia Oosthuizen"/>
    <s v="Neil Coville"/>
    <n v="57.142857142857139"/>
    <n v="71.428571428571431"/>
    <n v="64.285714285714278"/>
    <n v="2"/>
    <n v="2"/>
    <n v="4"/>
    <x v="0"/>
    <x v="0"/>
    <x v="0"/>
    <d v="2025-03-10T00:00:00"/>
    <n v="1"/>
    <n v="158000"/>
    <n v="0"/>
    <n v="0"/>
    <n v="158000"/>
    <n v="0"/>
    <n v="0"/>
    <n v="3"/>
  </r>
  <r>
    <s v="10/12/2025"/>
    <s v="2025-9567"/>
    <s v="Higher Education Awards"/>
    <s v="Christena Pieterse"/>
    <s v="christenapieterse@gmail.com"/>
    <s v="Submitted"/>
    <s v="Under Review"/>
    <x v="0"/>
    <x v="1"/>
    <x v="1"/>
    <x v="0"/>
    <s v="EM"/>
    <s v="Complete"/>
    <s v="Completed"/>
    <x v="4"/>
    <s v="University of Cape Town"/>
    <s v="Behavioural Medicine"/>
    <s v="Investigating the Driving Factors of IPV Perpetration Among Men Living with HIV: A Mixed Methods Study"/>
    <s v="Frasia"/>
    <s v="Neil"/>
    <s v="Frasia Oosthuizen"/>
    <s v="Neil Coville"/>
    <n v="53.571428571428569"/>
    <n v="71.428571428571431"/>
    <n v="62.5"/>
    <n v="2"/>
    <n v="3"/>
    <n v="5"/>
    <x v="0"/>
    <x v="0"/>
    <x v="0"/>
    <d v="2025-01-12T00:00:00"/>
    <n v="1"/>
    <n v="31490"/>
    <n v="0"/>
    <n v="0"/>
    <n v="31490"/>
    <n v="0"/>
    <n v="0"/>
    <n v="3"/>
  </r>
  <r>
    <s v="10/12/2025"/>
    <s v="2025-9537"/>
    <s v="Higher Education Awards"/>
    <s v="Khanya Simelane"/>
    <s v="khanyad@gmail.com"/>
    <s v="Submitted"/>
    <s v="Under Review"/>
    <x v="0"/>
    <x v="0"/>
    <x v="1"/>
    <x v="0"/>
    <s v="EM"/>
    <s v="Complete"/>
    <s v="Completed"/>
    <x v="2"/>
    <s v="UCT GSB"/>
    <s v="MPhil"/>
    <s v="Assessing the Impact of Housing Finance for Low-Income Earners in South Africa: Micro-Mortgages and Rent-to-Own Models"/>
    <s v="Helena"/>
    <s v="Philippe"/>
    <s v="Helena Barnard"/>
    <s v="Philippe Burger"/>
    <n v="53.571428571428569"/>
    <n v="39.285714285714285"/>
    <n v="46.428571428571431"/>
    <n v="1"/>
    <n v="1"/>
    <n v="2"/>
    <x v="0"/>
    <x v="0"/>
    <x v="0"/>
    <d v="2026-01-01T00:00:00"/>
    <n v="2"/>
    <n v="200000"/>
    <n v="27000"/>
    <n v="0"/>
    <n v="200000"/>
    <n v="27000"/>
    <n v="0"/>
    <n v="3"/>
  </r>
  <r>
    <s v="10/12/2025"/>
    <s v="2025-9327"/>
    <s v="Higher Education Awards"/>
    <s v="Erica Moolman"/>
    <s v="ertjiesmoolman@gmail.com"/>
    <s v="Submitted"/>
    <s v="Under Review"/>
    <x v="0"/>
    <x v="1"/>
    <x v="1"/>
    <x v="0"/>
    <s v="EM"/>
    <s v="Complete"/>
    <s v="Completed"/>
    <x v="4"/>
    <s v="University of the Free State"/>
    <s v="MSc Dietetics"/>
    <s v="Maternal Nutritional Profile and Neonatal Body Composition: A Study Utilising Air Displacement Plethysmography at Universitas Academic Hospital, Bloemfontein, South Africa"/>
    <s v="Janetta"/>
    <s v="John"/>
    <s v="Janetta Harbron"/>
    <s v="John Pettifor"/>
    <n v="92.857142857142861"/>
    <n v="78.571428571428569"/>
    <n v="85.714285714285722"/>
    <n v="5"/>
    <n v="4"/>
    <n v="9"/>
    <x v="1"/>
    <x v="1"/>
    <x v="0"/>
    <d v="2025-01-01T00:00:00"/>
    <n v="1"/>
    <n v="148157.26"/>
    <n v="0"/>
    <n v="0"/>
    <n v="148157.26"/>
    <n v="0"/>
    <n v="0"/>
    <n v="3"/>
  </r>
  <r>
    <s v="10/12/2025"/>
    <s v="2025-9548"/>
    <s v="Higher Education Awards"/>
    <s v="Sophia Gyasi"/>
    <s v="saagyasi@gmail.com"/>
    <s v="Submitted"/>
    <s v="Under Review"/>
    <x v="0"/>
    <x v="0"/>
    <x v="1"/>
    <x v="0"/>
    <s v="EM"/>
    <s v="Complete"/>
    <s v="Completed"/>
    <x v="5"/>
    <s v="University of Pretoria"/>
    <s v="Water Utilization Engineering"/>
    <s v="Carbonization of Banana Peels as anode in Microbial Fuel Cell"/>
    <s v="Lesedi"/>
    <s v="Pieter"/>
    <s v="Lesedi Masisi"/>
    <s v="Pieter Pistorius"/>
    <n v="67.857142857142861"/>
    <n v="67.857142857142861"/>
    <n v="67.857142857142861"/>
    <n v="3"/>
    <n v="3"/>
    <n v="6"/>
    <x v="0"/>
    <x v="0"/>
    <x v="0"/>
    <d v="2025-01-01T00:00:00"/>
    <n v="1"/>
    <n v="81555"/>
    <n v="0"/>
    <n v="0"/>
    <n v="81555"/>
    <n v="0"/>
    <n v="0"/>
    <n v="3"/>
  </r>
  <r>
    <s v="10/12/2025"/>
    <s v="2025-9173"/>
    <s v="Higher Education Awards"/>
    <s v="Thandekile KUNENE"/>
    <s v="Thandekile.jkunene@gmail.com"/>
    <s v="Submitted"/>
    <s v="Under Review"/>
    <x v="0"/>
    <x v="0"/>
    <x v="1"/>
    <x v="0"/>
    <s v="EM"/>
    <s v="Complete"/>
    <s v="Completed"/>
    <x v="1"/>
    <s v="University of the Free State"/>
    <s v="Master of Arts specialising in Anthropology"/>
    <s v="Unpacking 'Informal' economy in South Africa focusing on Emic perspectives of street vendors selling consumable goods in Ivory Park and Clayville, Johannesburg South Africa."/>
    <s v="Nonki"/>
    <s v="Brian"/>
    <s v="Brian Sibanda"/>
    <s v="Nonki Motahane"/>
    <n v="67.857142857142861"/>
    <n v="78.571428571428569"/>
    <n v="73.214285714285722"/>
    <n v="5"/>
    <n v="4"/>
    <n v="9"/>
    <x v="0"/>
    <x v="0"/>
    <x v="0"/>
    <d v="2025-02-10T00:00:00"/>
    <n v="1"/>
    <n v="165000"/>
    <n v="0"/>
    <n v="0"/>
    <n v="165000"/>
    <n v="0"/>
    <n v="0"/>
    <n v="3"/>
  </r>
  <r>
    <s v="10/12/2025"/>
    <s v="2025-9723"/>
    <s v="Higher Education Awards"/>
    <s v="Sifiso Dlamini"/>
    <s v="sifisodlamini411@gmail.com"/>
    <s v="Submitted"/>
    <s v="Under Review"/>
    <x v="0"/>
    <x v="0"/>
    <x v="0"/>
    <x v="0"/>
    <s v="EM"/>
    <s v="Complete"/>
    <s v="Completed"/>
    <x v="8"/>
    <s v="UCT, WITS, UP"/>
    <s v="LLM"/>
    <s v="Intellectual Property Law"/>
    <s v="Carolina"/>
    <s v="Danie"/>
    <s v="Carolina Meyer"/>
    <s v="Danie Visser"/>
    <n v="75"/>
    <n v="96.428571428571431"/>
    <n v="85.714285714285722"/>
    <n v="4"/>
    <n v="4"/>
    <n v="8"/>
    <x v="1"/>
    <x v="1"/>
    <x v="0"/>
    <d v="2026-02-02T00:00:00"/>
    <n v="1"/>
    <n v="100000"/>
    <n v="0"/>
    <n v="0"/>
    <n v="100000"/>
    <n v="0"/>
    <n v="0"/>
    <n v="3"/>
  </r>
  <r>
    <s v="10/12/2025"/>
    <s v="2025-8719"/>
    <s v="Higher Education Awards"/>
    <s v="Cairin van 't Hof"/>
    <s v="cairin.vanthof@up.ac.za"/>
    <s v="Submitted"/>
    <s v="Under Review"/>
    <x v="0"/>
    <x v="1"/>
    <x v="1"/>
    <x v="0"/>
    <s v="EM"/>
    <s v="Complete"/>
    <s v="Completed"/>
    <x v="3"/>
    <s v="University of Pretoria"/>
    <s v="MSc Genetics"/>
    <s v="Fungal genetics and pathology"/>
    <s v="Cobus"/>
    <s v="Michelle"/>
    <s v="Cobus Meyer Visagie"/>
    <s v="Michelle Greve"/>
    <n v="57.142857142857139"/>
    <n v="67.857142857142861"/>
    <n v="62.5"/>
    <n v="3"/>
    <n v="3"/>
    <n v="6"/>
    <x v="0"/>
    <x v="0"/>
    <x v="0"/>
    <d v="2026-01-19T00:00:00"/>
    <n v="2"/>
    <n v="193500"/>
    <n v="193500"/>
    <n v="0"/>
    <n v="193500"/>
    <n v="193500"/>
    <n v="0"/>
    <n v="3"/>
  </r>
  <r>
    <s v="10/12/2025"/>
    <s v="2025-8593"/>
    <s v="Higher Education Awards"/>
    <s v="Christopher Jones"/>
    <s v="chrisj22123@gmail.com"/>
    <s v="Submitted"/>
    <s v="Under Review"/>
    <x v="2"/>
    <x v="5"/>
    <x v="0"/>
    <x v="0"/>
    <s v="EM"/>
    <s v="Complete"/>
    <s v="Completed"/>
    <x v="3"/>
    <s v="FitzPatrick Institute Of African Ornithology, University of Cape Town"/>
    <s v="PhD in Biological Sciences"/>
    <s v="Climate change impacts on large surface-nesting seabirds at their breeding sites in the Southern Ocean."/>
    <s v="Martin Clark"/>
    <s v="Sindiso"/>
    <s v="Martin Clark"/>
    <s v="Sindiso Chamane"/>
    <n v="89.285714285714292"/>
    <n v="85.714285714285708"/>
    <n v="87.5"/>
    <n v="5"/>
    <n v="5"/>
    <n v="10"/>
    <x v="1"/>
    <x v="1"/>
    <x v="0"/>
    <d v="2026-01-15T00:00:00"/>
    <n v="3"/>
    <n v="164000"/>
    <n v="279150"/>
    <n v="315207.5"/>
    <n v="164000"/>
    <n v="279150"/>
    <n v="315207.5"/>
    <n v="3"/>
  </r>
  <r>
    <s v="10/12/2025"/>
    <s v="2025-8978"/>
    <s v="Higher Education Awards"/>
    <s v="CHARMAINE NYATHI"/>
    <s v="charmainenyathi23@gmail.com"/>
    <s v="Submitted"/>
    <s v="Under Review"/>
    <x v="0"/>
    <x v="0"/>
    <x v="1"/>
    <x v="0"/>
    <s v="EM"/>
    <s v="Complete, No degree copy"/>
    <s v="Completed"/>
    <x v="3"/>
    <s v="University of Limpopo"/>
    <s v="Msc(Horticulture)"/>
    <s v="Effect of Different Growing Media on the Growth, Yield, Nutritional Composition, and Phytochemical properties of Cleome gynandra in Aquaponic Conditions"/>
    <s v="Cobus"/>
    <s v="Michelle"/>
    <s v="Cobus Meyer Visagie"/>
    <s v="Michelle Greve"/>
    <n v="64.285714285714292"/>
    <n v="78.571428571428569"/>
    <n v="71.428571428571431"/>
    <n v="3"/>
    <n v="4"/>
    <n v="7"/>
    <x v="0"/>
    <x v="0"/>
    <x v="0"/>
    <d v="2026-02-03T00:00:00"/>
    <n v="2"/>
    <n v="152100"/>
    <n v="0"/>
    <n v="0"/>
    <n v="152100"/>
    <n v="0"/>
    <n v="0"/>
    <n v="3"/>
  </r>
  <r>
    <s v="10/12/2025"/>
    <s v="2025-9797"/>
    <s v="Higher Education Awards"/>
    <s v="Tshiamo Setuke"/>
    <s v="setuketshiamo@gmail.com"/>
    <s v="Submitted"/>
    <s v="Under Review"/>
    <x v="2"/>
    <x v="0"/>
    <x v="1"/>
    <x v="0"/>
    <s v="EM"/>
    <s v="Complete"/>
    <s v="Completed"/>
    <x v="1"/>
    <s v="University of Pretoria"/>
    <s v="Development Studies"/>
    <s v="Impact of marketedness and socialization on the functioning and resilience of micro-enterprises"/>
    <s v="Nonki"/>
    <s v="Brian"/>
    <s v="Brian Sibanda"/>
    <s v="Nonki Motahane"/>
    <n v="75"/>
    <n v="64.285714285714292"/>
    <n v="69.642857142857139"/>
    <n v="4"/>
    <n v="3"/>
    <n v="7"/>
    <x v="0"/>
    <x v="0"/>
    <x v="0"/>
    <d v="2025-01-15T00:00:00"/>
    <n v="3"/>
    <n v="180000"/>
    <n v="165000"/>
    <n v="165000"/>
    <n v="180000"/>
    <n v="165000"/>
    <n v="165000"/>
    <n v="4"/>
  </r>
  <r>
    <s v="10/12/2025"/>
    <s v="2025-8963"/>
    <s v="Higher Education Awards"/>
    <s v="Tshwarelelo Sibilanga"/>
    <s v="lelosibilanga@gmail.com"/>
    <s v="Submitted"/>
    <s v="Under Review"/>
    <x v="0"/>
    <x v="0"/>
    <x v="1"/>
    <x v="0"/>
    <s v="EM"/>
    <s v="Complete"/>
    <s v="Completed"/>
    <x v="4"/>
    <s v="University of the Witwatersrand"/>
    <s v="MSc Biochemistry"/>
    <s v="Drug discovery"/>
    <s v="Raymond"/>
    <s v="Shahidul"/>
    <s v="Md. Shahidul Islam"/>
    <s v="Raymond Hewer"/>
    <n v="57.142857142857139"/>
    <n v="50"/>
    <n v="53.571428571428569"/>
    <n v="2"/>
    <n v="3"/>
    <n v="5"/>
    <x v="0"/>
    <x v="0"/>
    <x v="0"/>
    <d v="2025-01-31T00:00:00"/>
    <n v="1"/>
    <n v="251562"/>
    <n v="0"/>
    <n v="0"/>
    <n v="251562"/>
    <n v="0"/>
    <n v="0"/>
    <n v="3"/>
  </r>
  <r>
    <s v="10/12/2025"/>
    <s v="2025-9352"/>
    <s v="Higher Education Awards"/>
    <s v="Vonakalani Thursday Mbhungele"/>
    <s v="thursdaym1@gmail.com"/>
    <s v="Submitted"/>
    <s v="Under Review"/>
    <x v="0"/>
    <x v="0"/>
    <x v="0"/>
    <x v="0"/>
    <s v="EM"/>
    <s v="Complete"/>
    <s v="Completed"/>
    <x v="2"/>
    <s v="University of Cape Town"/>
    <s v="Master of Development Policy and Practice"/>
    <s v="My focus on the African Continental Free Trade Area (AfCFTA) and its implications for vulnerable children address several critical social justice issues."/>
    <s v="Ekaete"/>
    <s v="Philippe"/>
    <s v="Ekaete Benedict"/>
    <s v="Philippe Burger"/>
    <n v="67.857142857142861"/>
    <n v="46.428571428571431"/>
    <n v="57.142857142857146"/>
    <n v="2"/>
    <n v="1"/>
    <n v="3"/>
    <x v="0"/>
    <x v="0"/>
    <x v="0"/>
    <d v="2025-01-15T00:00:00"/>
    <n v="2"/>
    <n v="1732.4"/>
    <n v="95558.399999999994"/>
    <n v="0"/>
    <n v="1732.4"/>
    <n v="95558.399999999994"/>
    <n v="0"/>
    <n v="3"/>
  </r>
  <r>
    <s v="10/12/2025"/>
    <s v="2025-9726"/>
    <s v="Higher Education Awards"/>
    <s v="Maxwell Madara"/>
    <s v="madaram253@gmail.com"/>
    <s v="Submitted"/>
    <s v="Under Review"/>
    <x v="2"/>
    <x v="0"/>
    <x v="0"/>
    <x v="0"/>
    <s v="EM"/>
    <s v="Complete"/>
    <s v="Completed"/>
    <x v="1"/>
    <s v="Rhodes University, University of Cape Town, University of Johannesburg (Accepted at Rhodes, waiting UCT decision as my first choice, otherwise I will join Rhodes)"/>
    <s v="PhD -Journalism and Media Studies"/>
    <s v="From Hashtags to Firewalls: Digital Activism and AI’s Algorithmic Censorship, Implications for Media Freedom in Kenya"/>
    <s v="Chimwemwe"/>
    <s v="Dina"/>
    <s v="Chimwemwe Phiri"/>
    <s v="Dina Ligaga"/>
    <n v="67.857142857142861"/>
    <n v="89.285714285714292"/>
    <n v="78.571428571428584"/>
    <n v="3"/>
    <n v="5"/>
    <n v="8"/>
    <x v="1"/>
    <x v="0"/>
    <x v="0"/>
    <d v="2026-02-15T00:00:00"/>
    <n v="3"/>
    <n v="130000"/>
    <n v="105000"/>
    <n v="95000"/>
    <n v="130000"/>
    <n v="105000"/>
    <n v="95000"/>
    <n v="3"/>
  </r>
  <r>
    <s v="10/12/2025"/>
    <s v="2025-8821"/>
    <s v="Higher Education Awards"/>
    <s v="Gibbon Khathutshelo Ramaremisa"/>
    <s v="gibbonramaremisa@gmail.com"/>
    <s v="Submitted"/>
    <s v="Under Review"/>
    <x v="1"/>
    <x v="0"/>
    <x v="0"/>
    <x v="0"/>
    <s v="EM"/>
    <s v="Complete"/>
    <s v="Completed"/>
    <x v="0"/>
    <s v="University of the Witwatersrand"/>
    <s v="Chemistry"/>
    <s v="=Geochemical modelling of the physical-chemical behaviour of microplastics"/>
    <s v="Katherine"/>
    <s v="Mzamo"/>
    <s v="Katherine de Villiers"/>
    <s v="Mzamo Shozi"/>
    <n v="66.666666666666657"/>
    <n v="66.666666666666657"/>
    <n v="66.666666666666657"/>
    <n v="3"/>
    <n v="2"/>
    <n v="5"/>
    <x v="0"/>
    <x v="0"/>
    <x v="0"/>
    <d v="2026-02-10T00:00:00"/>
    <n v="2"/>
    <n v="370000"/>
    <n v="370000"/>
    <n v="0"/>
    <n v="370000"/>
    <n v="370000"/>
    <n v="0"/>
    <n v="2"/>
  </r>
  <r>
    <s v="10/12/2025"/>
    <s v="2025-9717"/>
    <s v="Higher Education Awards"/>
    <s v="Pamela Suzzana Moyo"/>
    <s v="suzzanamoyo@gmail.com"/>
    <s v="Submitted"/>
    <s v="Under Review"/>
    <x v="1"/>
    <x v="0"/>
    <x v="1"/>
    <x v="0"/>
    <s v="EM"/>
    <s v="Complete"/>
    <s v="Completed"/>
    <x v="0"/>
    <s v="University of Witwatersrand, Johannesburg"/>
    <s v="Scholarship Postdoctoral study"/>
    <s v="Chemoselective transfer hydrogenation of ketones and aldehydes catalyzed by simple ruthenium(II) catalysts in water"/>
    <s v="Katherine"/>
    <s v="Mzamo"/>
    <s v="Katherine de Villiers"/>
    <s v="Mzamo Shozi"/>
    <n v="63.888888888888886"/>
    <n v="69.444444444444443"/>
    <n v="66.666666666666657"/>
    <n v="3"/>
    <n v="2"/>
    <n v="5"/>
    <x v="0"/>
    <x v="0"/>
    <x v="0"/>
    <d v="2026-01-05T00:00:00"/>
    <n v="2"/>
    <n v="110000"/>
    <n v="110000"/>
    <n v="0"/>
    <n v="110000"/>
    <n v="110000"/>
    <n v="0"/>
    <n v="3"/>
  </r>
  <r>
    <s v="10/12/2025"/>
    <s v="2025-9440"/>
    <s v="Higher Education Awards"/>
    <s v="Sabela Rey Vila"/>
    <s v="sreyvila88@gmail.com"/>
    <s v="Submitted"/>
    <s v="Under Review"/>
    <x v="2"/>
    <x v="1"/>
    <x v="1"/>
    <x v="0"/>
    <s v="CB"/>
    <s v="Complete"/>
    <s v="Completed"/>
    <x v="5"/>
    <s v="Universidad del Witwatersrand"/>
    <s v=""/>
    <s v="Architectural Competitions"/>
    <s v="Finzi"/>
    <s v="Carin"/>
    <s v="Carin Brown"/>
    <s v="Finzi Saidi"/>
    <n v="75"/>
    <n v="96.428571428571431"/>
    <n v="85.714285714285722"/>
    <n v="4"/>
    <n v="4"/>
    <n v="8"/>
    <x v="1"/>
    <x v="1"/>
    <x v="2"/>
    <d v="2026-01-15T00:00:00"/>
    <n v="3"/>
    <n v="93598"/>
    <n v="98981"/>
    <n v="102376"/>
    <n v="93598"/>
    <n v="98981"/>
    <n v="102376"/>
    <n v="3"/>
  </r>
  <r>
    <s v="10/12/2025"/>
    <s v="2025-8407"/>
    <s v="Higher Education Awards"/>
    <s v="Nokulunga Nkambule"/>
    <s v="nokulungankambule8@gmail.com"/>
    <s v="Submitted"/>
    <s v="Under Review"/>
    <x v="0"/>
    <x v="0"/>
    <x v="1"/>
    <x v="0"/>
    <s v="CB"/>
    <s v="Complete"/>
    <s v="Completed"/>
    <x v="1"/>
    <s v="University of Johannesburg"/>
    <s v="Masters in Development Studies (RD)"/>
    <s v="Between global goals and continental goals: A critical study on the impact and effects of SDG dominance over agenda 2063 in Africa"/>
    <s v="Sam"/>
    <s v="Srila"/>
    <s v="Sam Kariuki"/>
    <s v="Srila Roy"/>
    <n v="53.571428571428569"/>
    <n v="71.428571428571431"/>
    <n v="62.5"/>
    <n v="2"/>
    <n v="3"/>
    <n v="5"/>
    <x v="0"/>
    <x v="0"/>
    <x v="0"/>
    <d v="2026-02-09T00:00:00"/>
    <n v="2"/>
    <n v="118560"/>
    <n v="123560"/>
    <n v="0"/>
    <n v="118560"/>
    <n v="123560"/>
    <n v="0"/>
    <n v="3"/>
  </r>
  <r>
    <s v="10/12/2025"/>
    <s v="2025-9392"/>
    <s v="Higher Education Awards"/>
    <s v="Lario Odendaal"/>
    <s v="lblom4@gmail.com"/>
    <s v="Submitted"/>
    <s v="Under Review"/>
    <x v="0"/>
    <x v="1"/>
    <x v="1"/>
    <x v="0"/>
    <s v="CB"/>
    <s v="Complete"/>
    <s v="Completed"/>
    <x v="1"/>
    <s v="Rhodes University"/>
    <s v="Master of Education (Inclusive)"/>
    <s v="Investigating experiences of parents with autistic children in the Northern Cape, South Africa, regarding inclusivity and Ubuntu in the education system"/>
    <s v="David Johnson"/>
    <s v="Lindy"/>
    <s v="David Johnson"/>
    <s v="Lindy Stiebel"/>
    <n v="100"/>
    <n v="85.714285714285708"/>
    <n v="92.857142857142861"/>
    <n v="5"/>
    <n v="4"/>
    <n v="9"/>
    <x v="1"/>
    <x v="1"/>
    <x v="0"/>
    <d v="2026-01-01T00:00:00"/>
    <n v="2"/>
    <n v="30000"/>
    <n v="30000"/>
    <n v="0"/>
    <n v="30000"/>
    <n v="30000"/>
    <n v="0"/>
    <n v="3"/>
  </r>
  <r>
    <s v="10/12/2025"/>
    <s v="2025-8644"/>
    <s v="Higher Education Awards"/>
    <s v="Gabisile Radebe"/>
    <s v="gabisileradebe858@gmail.com"/>
    <s v="Submitted"/>
    <s v="Under Review"/>
    <x v="0"/>
    <x v="0"/>
    <x v="1"/>
    <x v="0"/>
    <s v="CB"/>
    <s v="Complete, 1o/s ref"/>
    <s v="Completed"/>
    <x v="3"/>
    <s v="University of Johannesburg"/>
    <s v="Biochemistry"/>
    <s v="16SrRNA-based bacterial community profiling of Haemonchus contortus infecting goats using nextgeneration sequencing "/>
    <s v="Cobus"/>
    <s v="Michelle"/>
    <s v="Cobus Meyer Visagie"/>
    <s v="Michelle Greve"/>
    <n v="89.285714285714292"/>
    <n v="89.285714285714292"/>
    <n v="89.285714285714292"/>
    <n v="5"/>
    <n v="5"/>
    <n v="10"/>
    <x v="1"/>
    <x v="1"/>
    <x v="1"/>
    <d v="2026-02-02T00:00:00"/>
    <n v="2"/>
    <n v="110000"/>
    <n v="110000"/>
    <n v="0"/>
    <n v="110000"/>
    <n v="110000"/>
    <n v="0"/>
    <n v="2"/>
  </r>
  <r>
    <s v="10/12/2025"/>
    <s v="2025-8460"/>
    <s v="Higher Education Awards"/>
    <s v="August Herbert"/>
    <s v="augustherbert.professional@gmail.com"/>
    <s v="Submitted"/>
    <s v="Under Review"/>
    <x v="0"/>
    <x v="1"/>
    <x v="2"/>
    <x v="0"/>
    <s v="CB"/>
    <s v="Complete"/>
    <s v="Completed"/>
    <x v="4"/>
    <s v="The University of Cape Town"/>
    <s v="Master's in Medical Science (Medical Cell Biology)"/>
    <s v="Neurodevelopmental Biology"/>
    <s v="Frasia"/>
    <s v="Neil"/>
    <s v="Frasia Oosthuizen"/>
    <s v="Neil Coville"/>
    <n v="89.285714285714292"/>
    <n v="100"/>
    <n v="94.642857142857139"/>
    <n v="5"/>
    <n v="5"/>
    <n v="10"/>
    <x v="1"/>
    <x v="1"/>
    <x v="1"/>
    <d v="2026-02-02T00:00:00"/>
    <n v="1"/>
    <n v="197530"/>
    <n v="0"/>
    <n v="0"/>
    <n v="198000"/>
    <n v="0"/>
    <n v="0"/>
    <n v="3"/>
  </r>
  <r>
    <s v="10/12/2025"/>
    <s v="2025-8221"/>
    <s v="Higher Education Awards"/>
    <s v="Riyaaz Davids"/>
    <s v="riyaaz.davids@spu.ac.za"/>
    <s v="Submitted"/>
    <s v="Under Review"/>
    <x v="0"/>
    <x v="2"/>
    <x v="0"/>
    <x v="0"/>
    <s v="CB"/>
    <s v="Complete"/>
    <s v="Completed"/>
    <x v="3"/>
    <s v="Sol Plaatje University"/>
    <s v="Master of Science in Biological Sciences (Zoology)"/>
    <s v="Carnivore Ecology"/>
    <s v="Andrea"/>
    <s v="Themba"/>
    <s v="Andrea Fuller"/>
    <s v="Themba Mahlaba"/>
    <n v="75"/>
    <n v="89.285714285714292"/>
    <n v="82.142857142857139"/>
    <n v="4"/>
    <n v="4"/>
    <n v="8"/>
    <x v="1"/>
    <x v="1"/>
    <x v="0"/>
    <d v="2026-01-25T00:00:00"/>
    <n v="2"/>
    <n v="150000"/>
    <n v="150000"/>
    <n v="0"/>
    <n v="150000"/>
    <n v="150000"/>
    <n v="0"/>
    <n v="3"/>
  </r>
  <r>
    <s v="10/12/2025"/>
    <s v="2025-9672"/>
    <s v="Higher Education Awards"/>
    <s v="Emily Grant"/>
    <s v="emily01grant@gmail.com"/>
    <s v="Submitted"/>
    <s v="Under Review"/>
    <x v="0"/>
    <x v="1"/>
    <x v="1"/>
    <x v="0"/>
    <s v="CB"/>
    <s v="Complete"/>
    <s v="Completed"/>
    <x v="3"/>
    <s v="University of Cape Town"/>
    <s v="Data Science"/>
    <s v="Renewable Energy"/>
    <s v="Andrea"/>
    <s v="Themba"/>
    <s v="Andrea Fuller"/>
    <s v="Themba Mahlaba"/>
    <n v="71.428571428571431"/>
    <n v="71.428571428571431"/>
    <n v="71.428571428571431"/>
    <n v="3"/>
    <n v="3"/>
    <n v="6"/>
    <x v="0"/>
    <x v="0"/>
    <x v="0"/>
    <d v="2026-01-19T00:00:00"/>
    <n v="2"/>
    <n v="180910"/>
    <n v="144780"/>
    <n v="0"/>
    <n v="180910"/>
    <n v="144780"/>
    <n v="0"/>
    <n v="3"/>
  </r>
  <r>
    <s v="10/12/2025"/>
    <s v="2025-9263"/>
    <s v="Higher Education Awards"/>
    <s v="Tshedza Nethonzhe"/>
    <s v="nethtshedza4@gmail.com"/>
    <s v="Submitted"/>
    <s v="Under Review"/>
    <x v="0"/>
    <x v="0"/>
    <x v="1"/>
    <x v="0"/>
    <s v="CB"/>
    <s v="Complete"/>
    <s v="Completed"/>
    <x v="1"/>
    <s v="University of Pretoria"/>
    <s v="Full time"/>
    <s v="Fictionalising the collective self: strategies of representation in selected African novels"/>
    <s v="David Johnson"/>
    <s v="Lindy"/>
    <s v="David Johnson"/>
    <s v="Lindy Stiebel"/>
    <n v="96.428571428571431"/>
    <n v="57.142857142857139"/>
    <n v="76.785714285714278"/>
    <n v="4"/>
    <n v="2"/>
    <n v="6"/>
    <x v="0"/>
    <x v="0"/>
    <x v="0"/>
    <d v="2025-01-15T00:00:00"/>
    <n v="2"/>
    <n v="120000"/>
    <n v="120000"/>
    <n v="0"/>
    <n v="120000"/>
    <n v="120000"/>
    <n v="0"/>
    <n v="2"/>
  </r>
  <r>
    <s v="10/12/2025"/>
    <s v="2025-9666"/>
    <s v="Higher Education Awards"/>
    <s v="Wei-Yu Feng"/>
    <s v="wei.yu.louis.feng@gmail.com"/>
    <s v="Submitted"/>
    <s v="Under Review"/>
    <x v="2"/>
    <x v="6"/>
    <x v="0"/>
    <x v="0"/>
    <s v="CB"/>
    <s v="Complete"/>
    <s v="Completed"/>
    <x v="0"/>
    <s v="University of Cape Town"/>
    <s v="Artificial Intelligence Safety"/>
    <s v="Artificial Intelligence Safety in the African Context"/>
    <s v="Clint"/>
    <s v="Daniel"/>
    <s v="Clint van Alten"/>
    <s v="Daniel Ramotsoela"/>
    <n v="82.142857142857139"/>
    <n v="78.571428571428569"/>
    <n v="80.357142857142861"/>
    <n v="4"/>
    <n v="3"/>
    <n v="7"/>
    <x v="1"/>
    <x v="0"/>
    <x v="0"/>
    <d v="2025-11-03T00:00:00"/>
    <n v="3"/>
    <n v="350000"/>
    <n v="350000"/>
    <n v="350000"/>
    <n v="350000"/>
    <n v="350000"/>
    <n v="350000"/>
    <n v="3"/>
  </r>
  <r>
    <s v="10/12/2025"/>
    <s v="2025-8358"/>
    <s v="Higher Education Awards"/>
    <s v="MICHAEL IFEANYICHUKWU EDEH"/>
    <s v="edehmichael16@gmail.com"/>
    <s v="Submitted"/>
    <s v="Under Review"/>
    <x v="0"/>
    <x v="0"/>
    <x v="0"/>
    <x v="0"/>
    <s v="CB"/>
    <s v="Complete"/>
    <s v="Completed"/>
    <x v="4"/>
    <s v="University of Johannesburg (UJ)"/>
    <s v="Master of Science (MSc) in Biochemistry (Research)"/>
    <s v="Application of structural biology techniques for rational discovery and design of druggable compounds against Mycobacterium tuberculosis and zika virus."/>
    <s v="Raymond"/>
    <s v="Shahidul"/>
    <s v="Md. Shahidul Islam"/>
    <s v="Raymond Hewer"/>
    <n v="71.428571428571431"/>
    <n v="46.428571428571431"/>
    <n v="58.928571428571431"/>
    <n v="2"/>
    <n v="1"/>
    <n v="3"/>
    <x v="0"/>
    <x v="0"/>
    <x v="0"/>
    <d v="2026-01-05T00:00:00"/>
    <n v="2"/>
    <n v="171800"/>
    <n v="171800"/>
    <n v="0"/>
    <n v="171800"/>
    <n v="171800"/>
    <n v="0"/>
    <n v="2"/>
  </r>
  <r>
    <s v="10/12/2025"/>
    <s v="2025-8914"/>
    <s v="Higher Education Awards"/>
    <s v="Asanda Ngwenya"/>
    <s v="sandamichelle22@gmail.com"/>
    <s v="Submitted"/>
    <s v="Under Review"/>
    <x v="0"/>
    <x v="0"/>
    <x v="1"/>
    <x v="0"/>
    <s v="CB"/>
    <s v="Complete"/>
    <s v="Completed"/>
    <x v="0"/>
    <s v="University of KwaZulu Natal"/>
    <s v="Chemistry"/>
    <s v="Homogeneous Catalysis"/>
    <s v="Katherine"/>
    <s v="Mzamo"/>
    <s v="Katherine de Villiers"/>
    <s v="Mzamo Shozi"/>
    <n v="89.285714285714292"/>
    <n v="89.285714285714292"/>
    <n v="89.285714285714292"/>
    <n v="5"/>
    <n v="4"/>
    <n v="9"/>
    <x v="1"/>
    <x v="1"/>
    <x v="1"/>
    <d v="2026-02-09T00:00:00"/>
    <n v="1"/>
    <n v="163385"/>
    <n v="0"/>
    <n v="0"/>
    <n v="164000"/>
    <n v="0"/>
    <n v="0"/>
    <n v="3"/>
  </r>
  <r>
    <s v="10/12/2025"/>
    <s v="2025-8215"/>
    <s v="Higher Education Awards"/>
    <s v="Gabrielle Da Silva"/>
    <s v="22292519@sun.ac.za"/>
    <s v="Submitted"/>
    <s v="Under Review"/>
    <x v="2"/>
    <x v="2"/>
    <x v="1"/>
    <x v="0"/>
    <s v="CB"/>
    <s v="Complete"/>
    <s v="Completed"/>
    <x v="1"/>
    <s v="Stellenbosch University"/>
    <s v="PhD Political Science"/>
    <s v="Comparative foreign Policy: comparing Brazilian and South African foreign policy positions towards Israel and Palestine since October 7 2023"/>
    <s v="David"/>
    <s v="Badri"/>
    <s v="Badri Zolfaghari"/>
    <s v="David Medalie"/>
    <n v="85.714285714285708"/>
    <n v="78.571428571428569"/>
    <n v="82.142857142857139"/>
    <n v="3"/>
    <n v="4"/>
    <n v="7"/>
    <x v="1"/>
    <x v="0"/>
    <x v="0"/>
    <d v="2025-03-31T00:00:00"/>
    <n v="2"/>
    <n v="133739.19"/>
    <n v="67550"/>
    <n v="0"/>
    <n v="133739.19"/>
    <n v="67550"/>
    <n v="0"/>
    <n v="3"/>
  </r>
  <r>
    <s v="10/12/2025"/>
    <s v="2025-8392"/>
    <s v="Higher Education Awards"/>
    <s v="Andile Madlala"/>
    <s v="mandile251@gmail.com"/>
    <s v="Submitted"/>
    <s v="Under Review"/>
    <x v="2"/>
    <x v="0"/>
    <x v="0"/>
    <x v="0"/>
    <s v="CB"/>
    <s v="Complete"/>
    <s v="Completed"/>
    <x v="1"/>
    <s v="University of KwaZulu-Natal"/>
    <s v="PhD in Science Education"/>
    <s v="Reimagining School Science Education: Interrogating Indigenous Knowledge Integration in Environmental Studies."/>
    <s v="Khwezi"/>
    <s v="Robert"/>
    <s v="Khwezi Mkhize"/>
    <s v="Robert Peacock"/>
    <n v="75"/>
    <n v="96.428571428571431"/>
    <n v="85.714285714285722"/>
    <n v="3"/>
    <n v="5"/>
    <n v="8"/>
    <x v="1"/>
    <x v="1"/>
    <x v="0"/>
    <d v="2026-01-06T00:00:00"/>
    <n v="3"/>
    <n v="276000"/>
    <n v="314000"/>
    <n v="340000"/>
    <n v="276000"/>
    <n v="314000"/>
    <n v="340000"/>
    <n v="3"/>
  </r>
  <r>
    <s v="10/12/2025"/>
    <s v="2025-9430"/>
    <s v="Higher Education Awards"/>
    <s v="Zerfie Marshet Mihabaw"/>
    <s v="ziye2112@gmail.com"/>
    <s v="Submitted"/>
    <s v="Under Review"/>
    <x v="2"/>
    <x v="0"/>
    <x v="1"/>
    <x v="0"/>
    <s v="CB"/>
    <s v="Complete"/>
    <s v="Completed"/>
    <x v="0"/>
    <s v="University of Pretoria"/>
    <s v="PhD in physics"/>
    <s v="CO2 conversion to Carbonates"/>
    <s v="Abdul"/>
    <s v="Matthew"/>
    <s v="Abdul Mahomed"/>
    <s v="Mathew Moodley"/>
    <n v="85.714285714285708"/>
    <n v="92.857142857142861"/>
    <n v="89.285714285714278"/>
    <n v="4"/>
    <n v="4"/>
    <n v="8"/>
    <x v="1"/>
    <x v="1"/>
    <x v="0"/>
    <d v="2026-01-05T00:00:00"/>
    <n v="3"/>
    <n v="223000"/>
    <n v="216000"/>
    <n v="223000"/>
    <n v="223000"/>
    <n v="216000"/>
    <n v="223000"/>
    <n v="3"/>
  </r>
  <r>
    <s v="10/12/2025"/>
    <s v="2025-8491"/>
    <s v="Higher Education Awards"/>
    <s v="Anthea le Roux"/>
    <s v="anthea735@gmail.com"/>
    <s v="Submitted"/>
    <s v="Under Review"/>
    <x v="2"/>
    <x v="1"/>
    <x v="1"/>
    <x v="0"/>
    <s v="CB"/>
    <s v="Complete"/>
    <s v="Completed"/>
    <x v="4"/>
    <s v="University of Pretoria"/>
    <s v="PhD Medical Immunology"/>
    <s v="Breast cancer metabolism and obesity"/>
    <s v="Rupal"/>
    <s v="Shaheen"/>
    <s v="Rupal Jival"/>
    <s v="Shaheen Mowla"/>
    <n v="89.285714285714292"/>
    <n v="82.142857142857139"/>
    <n v="85.714285714285722"/>
    <n v="4"/>
    <n v="4"/>
    <n v="8"/>
    <x v="1"/>
    <x v="1"/>
    <x v="0"/>
    <d v="2026-01-01T00:00:00"/>
    <n v="3"/>
    <n v="275000"/>
    <n v="296000"/>
    <n v="317000"/>
    <n v="275000"/>
    <n v="296000"/>
    <n v="317000"/>
    <n v="3"/>
  </r>
  <r>
    <s v="10/12/2025"/>
    <s v="2025-8876"/>
    <s v="Higher Education Awards"/>
    <s v="Mompati Mpho Bulayani"/>
    <s v="bulayanimpho45@gmail.com"/>
    <s v="Submitted"/>
    <s v="Under Review"/>
    <x v="2"/>
    <x v="0"/>
    <x v="0"/>
    <x v="0"/>
    <s v="CB"/>
    <s v="Complete"/>
    <s v="Completed"/>
    <x v="5"/>
    <s v="University Of South Africa"/>
    <s v="DOCTORAL DEGREE IN ENGINEERING"/>
    <s v="Development of Ti-Al-Ni-Zn High-Entropy Alloy Reinforced with Carbon Nanotubes for High-Temperature Applications"/>
    <s v="Lesedi"/>
    <s v="Pieter"/>
    <s v="Lesedi Masisi"/>
    <s v="Pieter Pistorius"/>
    <n v="67.857142857142861"/>
    <n v="57.142857142857139"/>
    <n v="62.5"/>
    <n v="3"/>
    <n v="3"/>
    <n v="6"/>
    <x v="0"/>
    <x v="0"/>
    <x v="0"/>
    <d v="2026-01-11T00:00:00"/>
    <n v="3"/>
    <n v="230380"/>
    <n v="265380"/>
    <n v="270380"/>
    <n v="230380"/>
    <n v="265380"/>
    <n v="270380"/>
    <n v="3"/>
  </r>
  <r>
    <s v="10/12/2025"/>
    <s v="2025-8776"/>
    <s v="Higher Education Awards"/>
    <s v="SIKELWA NXADI"/>
    <s v="juliesaidbe@gmail.com"/>
    <s v="Submitted"/>
    <s v="Under Review"/>
    <x v="2"/>
    <x v="0"/>
    <x v="1"/>
    <x v="0"/>
    <s v="CB"/>
    <s v="Complete"/>
    <s v="Completed"/>
    <x v="1"/>
    <s v="University of Cape Town"/>
    <s v="Doctoral"/>
    <s v="Literatures &amp; Visual Culture"/>
    <s v="Sam"/>
    <s v="Srila"/>
    <s v="Sam Kariuki"/>
    <s v="Srila Roy"/>
    <n v="82.142857142857139"/>
    <n v="78.571428571428569"/>
    <n v="80.357142857142861"/>
    <n v="4"/>
    <n v="4"/>
    <n v="8"/>
    <x v="1"/>
    <x v="1"/>
    <x v="0"/>
    <d v="2026-02-02T00:00:00"/>
    <n v="3"/>
    <n v="332170"/>
    <n v="309170"/>
    <n v="309170"/>
    <n v="332170"/>
    <n v="309170"/>
    <n v="309170"/>
    <n v="3"/>
  </r>
  <r>
    <s v="10/12/2025"/>
    <s v="2025-9317"/>
    <s v="Higher Education Awards"/>
    <s v="Thobeka Fortunate Vilakazi"/>
    <s v="thobekafortunatevilakazi82@gmail.com"/>
    <s v="Submitted"/>
    <s v="Under Review"/>
    <x v="0"/>
    <x v="0"/>
    <x v="1"/>
    <x v="0"/>
    <s v="CB"/>
    <s v="Complete"/>
    <s v="Completed"/>
    <x v="1"/>
    <s v="University of Johannesburg"/>
    <s v="Masters in Applied Linguistic"/>
    <s v="Investigating Translanguaging Praxis-Possibilities in First-Year Engineering Tutorials for Multilinguals: An Urban South African University Case Study"/>
    <s v="Khwezi"/>
    <s v="Robert"/>
    <s v="Khwezi Mkhize"/>
    <s v="Robert Peacock"/>
    <n v="67.857142857142861"/>
    <n v="75"/>
    <n v="71.428571428571431"/>
    <n v="2"/>
    <n v="4"/>
    <n v="6"/>
    <x v="0"/>
    <x v="0"/>
    <x v="0"/>
    <d v="2026-01-05T00:00:00"/>
    <n v="1"/>
    <n v="99031"/>
    <n v="0"/>
    <n v="0"/>
    <n v="99031"/>
    <n v="0"/>
    <n v="0"/>
    <n v="3"/>
  </r>
  <r>
    <s v="10/12/2025"/>
    <s v="2025-9532"/>
    <s v="Higher Education Awards"/>
    <s v="Nelisiwe Nokubonga Sithole"/>
    <s v="nelisiwes677@gmail.com"/>
    <s v="Submitted"/>
    <s v="Under Review"/>
    <x v="0"/>
    <x v="0"/>
    <x v="1"/>
    <x v="0"/>
    <s v="CB"/>
    <s v="Complete"/>
    <s v="Completed"/>
    <x v="6"/>
    <s v="University of Johannesburg"/>
    <s v="Masters in Applied Linguistics"/>
    <s v="Exploring Language-in-Education-Policy Praxis: A Case Study of a Gauteng Township Primary School Study"/>
    <s v="Puleng"/>
    <s v="Annie"/>
    <s v="Annie Devenish"/>
    <s v="Puleng Segalo"/>
    <n v="92.857142857142861"/>
    <n v="92.857142857142861"/>
    <n v="92.857142857142861"/>
    <n v="3"/>
    <n v="5"/>
    <n v="8"/>
    <x v="1"/>
    <x v="1"/>
    <x v="0"/>
    <d v="2025-01-05T00:00:00"/>
    <n v="1"/>
    <n v="109488"/>
    <n v="0"/>
    <n v="0"/>
    <n v="109488"/>
    <n v="0"/>
    <n v="0"/>
    <n v="3"/>
  </r>
  <r>
    <s v="10/12/2025"/>
    <s v="2025-8245"/>
    <s v="Higher Education Awards"/>
    <s v="Sisonke Sigonya"/>
    <s v="sigonyasisonke@gmail.com"/>
    <s v="Submitted"/>
    <s v="Under Review"/>
    <x v="1"/>
    <x v="0"/>
    <x v="1"/>
    <x v="0"/>
    <s v="CB"/>
    <s v="Complete"/>
    <s v="Completed"/>
    <x v="0"/>
    <s v="University of South Africa"/>
    <s v="Postdoctoral research"/>
    <s v="Development of Advanced Composite Materials for Sensor and Energy Storage Applications"/>
    <s v="Abdul"/>
    <s v="Matthew"/>
    <s v="Abdul Mahomed"/>
    <s v="Mathew Moodley"/>
    <n v="77.777777777777786"/>
    <n v="75"/>
    <n v="76.388888888888886"/>
    <n v="4"/>
    <n v="3"/>
    <n v="7"/>
    <x v="1"/>
    <x v="0"/>
    <x v="0"/>
    <d v="2025-01-06T00:00:00"/>
    <n v="2"/>
    <n v="29600"/>
    <n v="29600"/>
    <n v="29600"/>
    <n v="29600"/>
    <n v="29600"/>
    <n v="29600"/>
    <n v="3"/>
  </r>
  <r>
    <s v="10/12/2025"/>
    <s v="2025-9525"/>
    <s v="Higher Education Awards"/>
    <s v="Kamogelo Molapisi"/>
    <s v="kamogelomolapisi208@gmail.com"/>
    <s v="Submitted"/>
    <s v="Under Review"/>
    <x v="0"/>
    <x v="0"/>
    <x v="1"/>
    <x v="0"/>
    <s v="CB"/>
    <s v="Complete"/>
    <s v="Completed"/>
    <x v="2"/>
    <s v="Stellenbosch University"/>
    <s v="MPhil Development Finance"/>
    <s v="Infrastructure and Climate Finance &amp; Capital Mobilisation in Emerging Markets"/>
    <s v="Ekaete"/>
    <s v="Philippe"/>
    <s v="Ekaete Benedict"/>
    <s v="Philippe Burger"/>
    <n v="82.142857142857139"/>
    <n v="75"/>
    <n v="78.571428571428569"/>
    <n v="4"/>
    <n v="4"/>
    <n v="8"/>
    <x v="1"/>
    <x v="0"/>
    <x v="0"/>
    <d v="2026-01-26T00:00:00"/>
    <n v="2"/>
    <n v="110768"/>
    <n v="110768"/>
    <n v="0"/>
    <n v="110768"/>
    <n v="110768"/>
    <n v="0"/>
    <n v="3"/>
  </r>
  <r>
    <s v="10/12/2025"/>
    <s v="2025-9425"/>
    <s v="Higher Education Awards"/>
    <s v="Ayrton Griffin-Ellis"/>
    <s v="ayrtongriffinellis@gmail.com"/>
    <s v="Submitted"/>
    <s v="Under Review"/>
    <x v="0"/>
    <x v="1"/>
    <x v="0"/>
    <x v="0"/>
    <s v="CB"/>
    <s v="Complete"/>
    <s v="Completed"/>
    <x v="2"/>
    <s v="University of Cape Town"/>
    <s v="Master of Commerce specializing in Economics"/>
    <s v="Resolving the tension between achieving fiscal sustainability in the face of an potential fiscal crisis and economic growth amid the rising debt-burden in the South African economy."/>
    <s v="Ekaete"/>
    <s v="Philippe"/>
    <s v="Ekaete Benedict"/>
    <s v="Philippe Burger"/>
    <n v="85.714285714285708"/>
    <n v="82.142857142857139"/>
    <n v="83.928571428571416"/>
    <n v="4"/>
    <n v="4"/>
    <n v="8"/>
    <x v="1"/>
    <x v="1"/>
    <x v="0"/>
    <d v="2026-01-19T00:00:00"/>
    <n v="1"/>
    <n v="230000"/>
    <n v="0"/>
    <n v="0"/>
    <n v="230000"/>
    <n v="0"/>
    <n v="0"/>
    <n v="4"/>
  </r>
  <r>
    <s v="10/12/2025"/>
    <s v="2025-9262"/>
    <s v="Higher Education Awards"/>
    <s v="Arunprasad Jayaraman"/>
    <s v="arunaug21@gmail.com"/>
    <s v="Submitted"/>
    <s v="Under Review"/>
    <x v="1"/>
    <x v="4"/>
    <x v="0"/>
    <x v="0"/>
    <s v="CB"/>
    <s v="Complete"/>
    <s v="Completed"/>
    <x v="5"/>
    <s v="University of the Witwatersrand"/>
    <s v="Mechanical, Industrial  and Aeronautical Engineering"/>
    <s v="Evaluation of Sustainability, Emission Control, and Tribological Characteristics of a CRDI Engine Fueled with Hydrogen and Metal Oxide-Doped Third-Generation Biofuel"/>
    <s v="Lesedi"/>
    <s v="Pieter"/>
    <s v="Lesedi Masisi"/>
    <s v="Pieter Pistorius"/>
    <n v="69.444444444444443"/>
    <n v="72.222222222222214"/>
    <n v="70.833333333333329"/>
    <n v="4"/>
    <n v="3"/>
    <n v="7"/>
    <x v="0"/>
    <x v="0"/>
    <x v="0"/>
    <d v="2026-01-01T00:00:00"/>
    <n v="2"/>
    <n v="500000"/>
    <n v="495000"/>
    <n v="0"/>
    <n v="500000"/>
    <n v="495000"/>
    <n v="0"/>
    <n v="3"/>
  </r>
  <r>
    <s v="10/12/2025"/>
    <s v="2025-9061"/>
    <s v="Higher Education Awards"/>
    <s v="Louvina Elizabeth van der Laan"/>
    <s v="vdlaan@sun.ac.za"/>
    <s v="Submitted"/>
    <s v="Under Review"/>
    <x v="3"/>
    <x v="1"/>
    <x v="1"/>
    <x v="0"/>
    <s v="CB"/>
    <s v="Complete, no ID"/>
    <s v="Completed"/>
    <x v="4"/>
    <s v="Stellenbosch University (alternative coul dalso be : University of Cape Town)"/>
    <s v="Advanced population pharmacokinetic, pharmacodynamic and pharmacogenetic modelling."/>
    <s v="1 Optimising childhood TB meningitis treatment through CSF drug exposure analysis 2  Population pharmacokinetics of clofazimine in children, adults, and pregnant women with rifampicin-resistant TB: Towards harmonised dosing strategies"/>
    <s v="Mandeep"/>
    <s v="Abdullah"/>
    <s v="Abdullah Ely"/>
    <s v="Mandeep Kaur"/>
    <n v="83.333333333333343"/>
    <n v="80.555555555555557"/>
    <n v="81.944444444444457"/>
    <n v="4"/>
    <n v="3"/>
    <n v="7"/>
    <x v="1"/>
    <x v="0"/>
    <x v="0"/>
    <d v="2025-01-01T00:00:00"/>
    <n v="1"/>
    <n v="1656656.4"/>
    <n v="0"/>
    <n v="0"/>
    <n v="1656656.4"/>
    <n v="0"/>
    <n v="0"/>
    <n v="3"/>
  </r>
  <r>
    <s v="10/12/2025"/>
    <s v="2025-9037"/>
    <s v="Higher Education Awards"/>
    <s v="Shirah Theron"/>
    <s v="20698976@sun.ac.za"/>
    <s v="Submitted"/>
    <s v="Under Review"/>
    <x v="1"/>
    <x v="1"/>
    <x v="1"/>
    <x v="0"/>
    <s v="CB"/>
    <s v="Complete"/>
    <s v="Completed"/>
    <x v="1"/>
    <s v="Stellenbosch University"/>
    <s v="Post-Doctorate in Philosophy"/>
    <s v="Philosophy of Sex and Sexual Ethics"/>
    <s v="David"/>
    <s v="Srila"/>
    <s v="David Medalie"/>
    <s v="Srila Roy"/>
    <n v="63.888888888888886"/>
    <n v="66.666666666666657"/>
    <n v="65.277777777777771"/>
    <n v="3"/>
    <n v="3"/>
    <n v="6"/>
    <x v="0"/>
    <x v="0"/>
    <x v="0"/>
    <d v="2026-01-01T00:00:00"/>
    <n v="2"/>
    <n v="316400"/>
    <n v="358160"/>
    <n v="0"/>
    <n v="316400"/>
    <n v="358160"/>
    <n v="0"/>
    <n v="3"/>
  </r>
  <r>
    <s v="10/12/2025"/>
    <s v="2025-9551"/>
    <s v="Higher Education Awards"/>
    <s v="Rowan Madzamba"/>
    <s v="rowanmadzamba@gmail.com"/>
    <s v="Submitted"/>
    <s v="Under Review"/>
    <x v="1"/>
    <x v="0"/>
    <x v="0"/>
    <x v="0"/>
    <s v="CB"/>
    <s v="Complete"/>
    <s v="Completed"/>
    <x v="4"/>
    <s v="University of KwaZulu-Natal and  Stellenbosch University"/>
    <s v="Post-doctoral study"/>
    <s v="Migrant Women, Urban Informal Settlements, and the Politics of Food Security in South Africa"/>
    <s v="Jaya"/>
    <s v="Mary"/>
    <s v="Jaya George"/>
    <s v="Mary Kawonga"/>
    <n v="80.555555555555557"/>
    <n v="86.111111111111114"/>
    <n v="83.333333333333343"/>
    <n v="4"/>
    <n v="5"/>
    <n v="9"/>
    <x v="1"/>
    <x v="1"/>
    <x v="0"/>
    <d v="2026-03-01T00:00:00"/>
    <n v="2"/>
    <n v="750000"/>
    <n v="750000"/>
    <n v="0"/>
    <n v="500000"/>
    <n v="500000"/>
    <n v="0"/>
    <n v="3"/>
  </r>
  <r>
    <s v="10/12/2025"/>
    <s v="2025-8289"/>
    <s v="Higher Education Awards"/>
    <s v="Amanda Dludla"/>
    <s v="amandadludla998@gmail.com"/>
    <s v="Submitted"/>
    <s v="Under Review"/>
    <x v="0"/>
    <x v="0"/>
    <x v="1"/>
    <x v="0"/>
    <s v="CB"/>
    <s v="Complete"/>
    <s v="Completed"/>
    <x v="3"/>
    <s v="University of zululand"/>
    <s v="Science"/>
    <s v="Synthesis of carboxymethyl cellulose-chitosan-metal oxide hybrid aerogels for enhanced adsorption of heavy metals in polluted water"/>
    <s v="Cobus"/>
    <s v="Michelle"/>
    <s v="Cobus Meyer Visagie"/>
    <s v="Michelle Greve"/>
    <n v="57.142857142857139"/>
    <n v="53.571428571428569"/>
    <n v="55.357142857142854"/>
    <n v="2"/>
    <n v="2"/>
    <n v="4"/>
    <x v="0"/>
    <x v="0"/>
    <x v="0"/>
    <d v="2025-06-10T00:00:00"/>
    <n v="1"/>
    <n v="130000"/>
    <n v="0"/>
    <n v="0"/>
    <n v="130000"/>
    <n v="0"/>
    <n v="0"/>
    <n v="3"/>
  </r>
  <r>
    <s v="10/12/2025"/>
    <s v="2025-9233"/>
    <s v="Higher Education Awards"/>
    <s v="Sarel Marais"/>
    <s v="sarelmetalz@gmail.com"/>
    <s v="Submitted"/>
    <s v="Under Review"/>
    <x v="1"/>
    <x v="1"/>
    <x v="0"/>
    <x v="0"/>
    <s v="CB"/>
    <s v="Complete"/>
    <s v="Completed"/>
    <x v="1"/>
    <s v="University of Pretoria"/>
    <s v="Postdoctoral study"/>
    <s v="Philosophy of Disability, technology, and access"/>
    <s v="David"/>
    <s v="Khwezi"/>
    <s v="David Medalie"/>
    <s v="Khwezi Mkhize"/>
    <n v="69.444444444444443"/>
    <n v="58.333333333333336"/>
    <n v="63.888888888888886"/>
    <n v="4"/>
    <n v="3"/>
    <n v="7"/>
    <x v="0"/>
    <x v="0"/>
    <x v="0"/>
    <d v="2025-08-01T00:00:00"/>
    <n v="1"/>
    <n v="223200"/>
    <n v="0"/>
    <n v="0"/>
    <n v="223200"/>
    <n v="0"/>
    <n v="0"/>
    <n v="3"/>
  </r>
  <r>
    <s v="10/12/2025"/>
    <s v="2025-8712"/>
    <s v="Higher Education Awards"/>
    <s v="Thandolwethu Shisa"/>
    <s v="thandolwethutshisa@gmail.com"/>
    <s v="Submitted"/>
    <s v="Under Review"/>
    <x v="0"/>
    <x v="0"/>
    <x v="1"/>
    <x v="0"/>
    <s v="CB"/>
    <s v="Complete"/>
    <s v="Completed"/>
    <x v="2"/>
    <s v="University of the Witwatersrand"/>
    <s v="Master of Management Governance (Development and Economics)"/>
    <s v="Governance (Development and Economics)"/>
    <s v="Ekaete"/>
    <s v="Philippe"/>
    <s v="Ekaete Benedict"/>
    <s v="Philippe Burger"/>
    <n v="67.857142857142861"/>
    <n v="67.857142857142861"/>
    <n v="67.857142857142861"/>
    <n v="3"/>
    <n v="3"/>
    <n v="6"/>
    <x v="0"/>
    <x v="0"/>
    <x v="0"/>
    <d v="2026-02-09T00:00:00"/>
    <n v="1"/>
    <n v="181466"/>
    <n v="0"/>
    <n v="0"/>
    <n v="181466"/>
    <n v="0"/>
    <n v="0"/>
    <n v="3"/>
  </r>
  <r>
    <s v="10/12/2025"/>
    <s v="2025-8544"/>
    <s v="Higher Education Awards"/>
    <s v="Kuhle Mcinga"/>
    <s v="mcingakuhle@gmail.com"/>
    <s v="Submitted"/>
    <s v="Under Review"/>
    <x v="2"/>
    <x v="0"/>
    <x v="1"/>
    <x v="0"/>
    <s v="CB"/>
    <s v="Complete"/>
    <s v="Completed"/>
    <x v="4"/>
    <s v="University of Cape Town"/>
    <s v="PhD Bioinformatics"/>
    <s v="Creating an African near telomere-to-telomere genome and investigating its usefulness in an African population."/>
    <s v="Jaya"/>
    <s v="Mary"/>
    <s v="Jaya George"/>
    <s v="Mary Kawonga"/>
    <n v="85.714285714285708"/>
    <n v="96.428571428571431"/>
    <n v="91.071428571428569"/>
    <n v="4"/>
    <n v="5"/>
    <n v="9"/>
    <x v="1"/>
    <x v="1"/>
    <x v="0"/>
    <d v="2026-01-13T00:00:00"/>
    <n v="2"/>
    <n v="224049.92000000001"/>
    <n v="212461.73"/>
    <n v="28000"/>
    <n v="224049.92000000001"/>
    <n v="212461.73"/>
    <n v="28000"/>
    <n v="3"/>
  </r>
  <r>
    <s v="10/12/2025"/>
    <s v="2025-9528"/>
    <s v="Higher Education Awards"/>
    <s v="Deon van der Mescht"/>
    <s v="flyingwxsa@gmail.com"/>
    <s v="Submitted"/>
    <s v="Under Review"/>
    <x v="2"/>
    <x v="1"/>
    <x v="0"/>
    <x v="0"/>
    <s v="CB"/>
    <s v="Complete"/>
    <s v="Completed"/>
    <x v="3"/>
    <s v="University of Pretoria"/>
    <s v="Doctorate"/>
    <s v="Mountain wave induced turbulence features forming inland from the Tsitsikamma Mountains during south westerly wind events."/>
    <s v="Diederik"/>
    <s v="Markus"/>
    <s v="Diederik Opperman"/>
    <s v="Markus Wilken"/>
    <n v="53.571428571428569"/>
    <n v="82.142857142857139"/>
    <n v="67.857142857142861"/>
    <n v="2"/>
    <n v="5"/>
    <n v="7"/>
    <x v="0"/>
    <x v="0"/>
    <x v="0"/>
    <d v="2025-02-01T00:00:00"/>
    <n v="2"/>
    <n v="103720"/>
    <n v="65170"/>
    <n v="0"/>
    <n v="103720"/>
    <n v="65170"/>
    <n v="0"/>
    <n v="3"/>
  </r>
  <r>
    <s v="10/12/2025"/>
    <s v="2025-9354"/>
    <s v="Higher Education Awards"/>
    <s v="Rentia Lourens"/>
    <s v="rentialourens17@gmail.com"/>
    <s v="Submitted"/>
    <s v="Under Review"/>
    <x v="1"/>
    <x v="1"/>
    <x v="1"/>
    <x v="0"/>
    <s v="CB"/>
    <s v="Complete"/>
    <s v="Completed"/>
    <x v="4"/>
    <s v="University of Pretoria"/>
    <s v="Postdoctoral Fellowship in Pharmacology"/>
    <s v="Antimicrobial surveillance in the South African context."/>
    <s v="Frasia"/>
    <s v="Neil"/>
    <s v="Frasia Oosthuizen"/>
    <s v="Neil Coville"/>
    <n v="83.333333333333343"/>
    <n v="97.222222222222214"/>
    <n v="90.277777777777771"/>
    <n v="3"/>
    <n v="5"/>
    <n v="8"/>
    <x v="1"/>
    <x v="1"/>
    <x v="2"/>
    <d v="2026-01-01T00:00:00"/>
    <n v="2"/>
    <n v="466000"/>
    <n v="495000"/>
    <n v="0"/>
    <n v="466000"/>
    <n v="495000"/>
    <n v="0"/>
    <n v="3"/>
  </r>
  <r>
    <s v="10/12/2025"/>
    <s v="2025-8585"/>
    <s v="Higher Education Awards"/>
    <s v="Muneiwa Mudau"/>
    <s v="mmuneiwa032@gmail.com"/>
    <s v="Submitted"/>
    <s v="Under Review"/>
    <x v="0"/>
    <x v="0"/>
    <x v="1"/>
    <x v="0"/>
    <s v="CB"/>
    <s v="Complete"/>
    <s v="Completed"/>
    <x v="4"/>
    <s v="University of Western Cape"/>
    <s v="MSc Pharmaceutical Science"/>
    <s v="Design and evaluation of pyrazinoic acid loaded PCL nanoparticles to overcome pyrazinamide resistance in mycoacteria"/>
    <s v="Frasia"/>
    <s v="Neil"/>
    <s v="Frasia Oosthuizen"/>
    <s v="Neil Coville"/>
    <n v="50"/>
    <n v="60.714285714285708"/>
    <n v="55.357142857142854"/>
    <n v="1"/>
    <n v="2"/>
    <n v="3"/>
    <x v="0"/>
    <x v="0"/>
    <x v="0"/>
    <d v="2025-02-04T00:00:00"/>
    <n v="1"/>
    <n v="188045"/>
    <n v="0"/>
    <n v="0"/>
    <n v="188045"/>
    <n v="0"/>
    <n v="0"/>
    <n v="3"/>
  </r>
  <r>
    <s v="10/12/2025"/>
    <s v="2025-8608"/>
    <s v="Higher Education Awards"/>
    <s v="ntokozo dladla"/>
    <s v="dladlantokozo1@gmail.com"/>
    <s v="Submitted"/>
    <s v="Under Review"/>
    <x v="0"/>
    <x v="0"/>
    <x v="1"/>
    <x v="0"/>
    <s v="CB"/>
    <s v="Complete"/>
    <s v="Completed"/>
    <x v="6"/>
    <s v="University of Zululand"/>
    <s v="Masters Degree"/>
    <s v="The Organizational Structure and Operations of the National Party,1970-1980"/>
    <s v="Puleng"/>
    <s v="Annie"/>
    <s v="Annie Devenish"/>
    <s v="Puleng Segalo"/>
    <n v="78.571428571428569"/>
    <n v="85.714285714285708"/>
    <n v="82.142857142857139"/>
    <n v="2"/>
    <n v="2"/>
    <n v="4"/>
    <x v="0"/>
    <x v="0"/>
    <x v="0"/>
    <d v="2017-02-17T00:00:00"/>
    <n v="1"/>
    <n v="-18713"/>
    <n v="0"/>
    <n v="0"/>
    <n v="-18713"/>
    <n v="0"/>
    <n v="0"/>
    <n v="3"/>
  </r>
  <r>
    <s v="10/12/2025"/>
    <s v="2025-9957"/>
    <s v="Higher Education Awards"/>
    <s v="Musa Jaiteh"/>
    <s v="mjaiteh1993@gmail.com"/>
    <s v="Submitted"/>
    <s v="Under Review"/>
    <x v="1"/>
    <x v="0"/>
    <x v="0"/>
    <x v="0"/>
    <s v="EM"/>
    <s v="Complete"/>
    <s v="Completed"/>
    <x v="4"/>
    <s v="University of Johannesburg"/>
    <s v="Postdoctoral"/>
    <s v="APPLICATION OF MACHINE LEARNING FOR HIV SURVEILLANCE AMONG ADOLESCENT GIRLS AND YOUNG WOMEN IN SOUTH AFRICA: A FRAMEWORK TOWARD EPIDEMIC CONTROL"/>
    <s v="Gill"/>
    <s v="Moses"/>
    <s v="Gill Nelson"/>
    <s v="Moses Alobo"/>
    <n v="91.666666666666657"/>
    <n v="91.666666666666657"/>
    <n v="91.666666666666657"/>
    <n v="5"/>
    <n v="5"/>
    <n v="10"/>
    <x v="1"/>
    <x v="1"/>
    <x v="1"/>
    <d v="2026-01-01T00:00:00"/>
    <n v="2"/>
    <n v="444000"/>
    <n v="444000"/>
    <n v="0"/>
    <n v="444000"/>
    <n v="444000"/>
    <n v="0"/>
    <n v="3"/>
  </r>
  <r>
    <s v="10/12/2025"/>
    <s v="2025-10096"/>
    <s v="Higher Education Awards"/>
    <s v="Wilton KHUMALO"/>
    <s v="d.w.kwilton@gmail.com"/>
    <s v="Submitted"/>
    <s v="Under Review"/>
    <x v="2"/>
    <x v="0"/>
    <x v="0"/>
    <x v="0"/>
    <s v="EM"/>
    <s v="Complete"/>
    <s v="Completed"/>
    <x v="4"/>
    <s v="The University of the Free State"/>
    <s v="PhD Studies"/>
    <s v="AI-Driven Occupational Dose Monitoring and Radiation Risk Assessment and Mitigation in Interventional Radiology in Eswatini"/>
    <s v="Frasia"/>
    <s v="Neil"/>
    <s v="Frasia Oosthuizen"/>
    <s v="Neil Coville"/>
    <n v="64.285714285714292"/>
    <n v="75"/>
    <n v="69.642857142857139"/>
    <n v="1"/>
    <n v="3"/>
    <n v="4"/>
    <x v="0"/>
    <x v="0"/>
    <x v="0"/>
    <d v="2025-01-01T00:00:00"/>
    <n v="3"/>
    <n v="99370"/>
    <n v="50370"/>
    <n v="36670"/>
    <n v="99370"/>
    <n v="50370"/>
    <n v="36670"/>
    <n v="3"/>
  </r>
  <r>
    <s v="10/12/2025"/>
    <s v="2025-9919"/>
    <s v="Higher Education Awards"/>
    <s v="Mduduzi Vilakazi"/>
    <s v="2483004@students.wits.ac.za"/>
    <s v="Submitted"/>
    <s v="Under Review"/>
    <x v="0"/>
    <x v="0"/>
    <x v="0"/>
    <x v="0"/>
    <s v="EM"/>
    <s v="Complete"/>
    <s v="Completed"/>
    <x v="4"/>
    <s v="University of the Witwatersrand"/>
    <s v="masters"/>
    <s v="Histomorphological changes in major arterial vessels of white South African geriatric population"/>
    <s v="Jaya"/>
    <s v="Mary"/>
    <s v="Jaya George"/>
    <s v="Mary Kawonga"/>
    <n v="57.142857142857139"/>
    <n v="42.857142857142854"/>
    <n v="50"/>
    <n v="2"/>
    <n v="1"/>
    <n v="3"/>
    <x v="0"/>
    <x v="0"/>
    <x v="0"/>
    <d v="2025-01-15T00:00:00"/>
    <n v="2"/>
    <n v="170000"/>
    <n v="170000"/>
    <n v="0"/>
    <n v="170000"/>
    <n v="170000"/>
    <n v="0"/>
    <n v="3"/>
  </r>
  <r>
    <s v="10/12/2025"/>
    <s v="2025-10024"/>
    <s v="Higher Education Awards"/>
    <s v="Sindisiwe Magubane"/>
    <s v="sindimagubane05@gmail.com"/>
    <s v="Revisions Requested"/>
    <s v="Under Review"/>
    <x v="0"/>
    <x v="0"/>
    <x v="1"/>
    <x v="0"/>
    <s v="EM"/>
    <s v="Complete"/>
    <s v="Completed"/>
    <x v="6"/>
    <s v="The University of the Witwatersrand"/>
    <s v="Masters in Psychology by Research (Dissertation)"/>
    <s v="“Faith, Identity, and Psychological Well-being: Women’s Mental Health Experiences in Age-Disparate and Polygynous Marriages within Isonto lamaNazaretha.”"/>
    <s v="Puleng"/>
    <s v="Wahbie"/>
    <s v="Puleng Segalo"/>
    <s v="Wahbie Long"/>
    <n v="71.428571428571431"/>
    <n v="53.571428571428569"/>
    <n v="62.5"/>
    <n v="3"/>
    <n v="2"/>
    <n v="5"/>
    <x v="0"/>
    <x v="0"/>
    <x v="0"/>
    <d v="2026-01-01T00:00:00"/>
    <n v="1"/>
    <n v="51000"/>
    <n v="0"/>
    <n v="0"/>
    <n v="51000"/>
    <n v="0"/>
    <n v="0"/>
    <n v="3"/>
  </r>
  <r>
    <s v="10/12/2025"/>
    <s v="2025-9933"/>
    <s v="Higher Education Awards"/>
    <s v="Tamsyn Alexander"/>
    <s v="tamsynalex@gmail.com"/>
    <s v="Submitted"/>
    <s v="Under Review"/>
    <x v="0"/>
    <x v="2"/>
    <x v="1"/>
    <x v="0"/>
    <s v="EM"/>
    <s v="Complete, incomplete budget"/>
    <s v="Completed"/>
    <x v="1"/>
    <s v="The University of Cape Town"/>
    <s v=""/>
    <s v="‘Re-signifying “Coloured” identity in South Africa: Liminal performativity, vernacular humour, and trickster logics in the Third Space’"/>
    <s v="Khwezi"/>
    <s v="Robert"/>
    <s v="Khwezi Mkhize"/>
    <s v="Robert Peacock"/>
    <n v="71.428571428571431"/>
    <n v="75"/>
    <n v="73.214285714285722"/>
    <n v="4"/>
    <n v="4"/>
    <n v="8"/>
    <x v="0"/>
    <x v="0"/>
    <x v="0"/>
    <d v="2025-02-13T00:00:00"/>
    <n v="1"/>
    <n v="48000"/>
    <n v="0"/>
    <n v="0"/>
    <n v="48000"/>
    <n v="0"/>
    <n v="0"/>
    <n v="3"/>
  </r>
  <r>
    <s v="10/12/2025"/>
    <s v="2025-8629"/>
    <s v="Higher Education Awards"/>
    <s v="NV Maninjwa"/>
    <s v="viwemaninjwa@icloud.com"/>
    <s v="Submitted"/>
    <s v="Under Review"/>
    <x v="0"/>
    <x v="0"/>
    <x v="1"/>
    <x v="0"/>
    <s v="EM"/>
    <s v="Complete"/>
    <s v="Completed"/>
    <x v="5"/>
    <s v="University of Cape Town"/>
    <s v="Master of Science in Technology and Innovation Management"/>
    <s v="Navigating the Regulatory Landscape: A Comparative Analysis of Timber Adoption in South Africa and Lessons from the Global North"/>
    <s v="Lesedi"/>
    <s v="Pieter"/>
    <s v="Lesedi Masisi"/>
    <s v="Pieter Pistorius"/>
    <n v="67.857142857142861"/>
    <n v="42.857142857142854"/>
    <n v="55.357142857142861"/>
    <n v="3"/>
    <n v="2"/>
    <n v="5"/>
    <x v="0"/>
    <x v="0"/>
    <x v="0"/>
    <d v="2025-02-03T00:00:00"/>
    <n v="1"/>
    <n v="1108000"/>
    <n v="0"/>
    <n v="0"/>
    <n v="1108000"/>
    <n v="0"/>
    <n v="0"/>
    <n v="3"/>
  </r>
  <r>
    <s v="10/12/2025"/>
    <s v="2025-9613"/>
    <s v="Higher Education Awards"/>
    <s v="William Kah Chu"/>
    <s v="onekind21@gmail.com"/>
    <s v="Submitted"/>
    <s v="Under Review"/>
    <x v="1"/>
    <x v="0"/>
    <x v="0"/>
    <x v="0"/>
    <s v="EM"/>
    <s v="Complete"/>
    <s v="Completed"/>
    <x v="4"/>
    <s v="University of Cape Town"/>
    <s v="Bioinorganic/Medicinal Chemistry"/>
    <s v="SAHA-Functionalized Arene Ru(II) Complexes for Targeted Cancer Therapy and DNA Sensing"/>
    <s v="Rupal"/>
    <s v="Shaheen"/>
    <s v="Rupal Jival"/>
    <s v="Shaheen Mowla"/>
    <n v="80.555555555555557"/>
    <n v="88.888888888888886"/>
    <n v="84.722222222222229"/>
    <n v="3"/>
    <n v="3"/>
    <n v="6"/>
    <x v="0"/>
    <x v="0"/>
    <x v="0"/>
    <d v="2026-01-26T00:00:00"/>
    <n v="2"/>
    <n v="445500"/>
    <n v="457000"/>
    <n v="0"/>
    <n v="445500"/>
    <n v="457000"/>
    <n v="0"/>
    <n v="3"/>
  </r>
  <r>
    <s v="10/12/2025"/>
    <s v="2025-9819"/>
    <s v="Higher Education Awards"/>
    <s v="Anelisa Mahlungulu"/>
    <s v="anelisamahlungulu@gmail.com"/>
    <s v="Submitted"/>
    <s v="Under Review"/>
    <x v="0"/>
    <x v="0"/>
    <x v="1"/>
    <x v="0"/>
    <s v="EM"/>
    <s v="Complete"/>
    <s v="Completed"/>
    <x v="7"/>
    <s v="University of Cape Town"/>
    <s v="Master in Music Performance, Coursework and Dissertation"/>
    <s v="Amagokra (Heroes)—A One-Act Opera Composed by Sibusiso Njeza with a Libretto by Asanda Chuma Sopotela: Gender-Based Violence Addressed through Opera"/>
    <s v="Alexander"/>
    <s v="Susan"/>
    <s v="Alexander JOHNSON"/>
    <s v="Dr Musa-Duke Nkuna"/>
    <n v="71.428571428571431"/>
    <n v="71.428571428571431"/>
    <n v="71.428571428571431"/>
    <n v="4"/>
    <n v="4"/>
    <n v="8"/>
    <x v="0"/>
    <x v="0"/>
    <x v="0"/>
    <d v="2016-02-16T00:00:00"/>
    <n v="1"/>
    <n v="122140"/>
    <n v="0"/>
    <n v="0"/>
    <n v="122140"/>
    <n v="0"/>
    <n v="0"/>
    <n v="3"/>
  </r>
  <r>
    <s v="10/12/2025"/>
    <s v="2025-9989"/>
    <s v="Higher Education Awards"/>
    <s v="Ntsika Tyopo"/>
    <s v="ntsikatyopo@gmail.com"/>
    <s v="Submitted"/>
    <s v="Under Review"/>
    <x v="0"/>
    <x v="0"/>
    <x v="1"/>
    <x v="0"/>
    <s v="EM"/>
    <s v="Complete"/>
    <s v="Completed"/>
    <x v="3"/>
    <s v="Stellenbosch University"/>
    <s v="Chemistry"/>
    <s v="Development and Characterisation of Hydrogen-Bonded Organic Frameworks (HOFs) for  Effluent Gas Capture and Storage"/>
    <s v="Andrea"/>
    <s v="Themba"/>
    <s v="Andrea Fuller"/>
    <s v="Themba Mahlaba"/>
    <n v="78.571428571428569"/>
    <n v="82.142857142857139"/>
    <n v="80.357142857142861"/>
    <n v="4"/>
    <n v="4"/>
    <n v="8"/>
    <x v="1"/>
    <x v="1"/>
    <x v="0"/>
    <d v="2026-01-15T00:00:00"/>
    <n v="2"/>
    <n v="273000"/>
    <n v="166000"/>
    <n v="0"/>
    <n v="250000"/>
    <n v="166000"/>
    <n v="0"/>
    <n v="3"/>
  </r>
  <r>
    <s v="10/12/2025"/>
    <s v="2025-9137"/>
    <s v="Higher Education Awards"/>
    <s v="Oliver Kieser"/>
    <s v="okieser@gmail.com"/>
    <s v="Submitted"/>
    <s v="Under Review"/>
    <x v="2"/>
    <x v="1"/>
    <x v="0"/>
    <x v="0"/>
    <s v="EM"/>
    <s v="Complete"/>
    <s v="Completed"/>
    <x v="4"/>
    <s v="University of the Witwatersrand"/>
    <s v="Doctor of Philosophy Health Sciences"/>
    <s v="Sleep Physiology, Obstructive apnoea of people living with HIV"/>
    <s v="Jaya"/>
    <s v="Mary"/>
    <s v="Jaya George"/>
    <s v="Mary Kawonga"/>
    <n v="96.428571428571431"/>
    <n v="82.142857142857139"/>
    <n v="89.285714285714278"/>
    <n v="4"/>
    <n v="4"/>
    <n v="8"/>
    <x v="1"/>
    <x v="1"/>
    <x v="0"/>
    <d v="2026-02-01T00:00:00"/>
    <n v="3"/>
    <n v="234000"/>
    <n v="234000"/>
    <n v="234000.4"/>
    <n v="234000"/>
    <n v="234000"/>
    <n v="234000.4"/>
    <n v="3"/>
  </r>
  <r>
    <s v="10/12/2025"/>
    <s v="2025-9949"/>
    <s v="Higher Education Awards"/>
    <s v="Yusuf Isa"/>
    <s v="yusufisa@yahoo.com"/>
    <s v="Submitted"/>
    <s v="Under Review"/>
    <x v="3"/>
    <x v="0"/>
    <x v="0"/>
    <x v="1"/>
    <s v="EM"/>
    <s v="Complete"/>
    <s v="Completed"/>
    <x v="5"/>
    <s v="Joint Bioenergy Institute, USA and Multiphase flows and reactors engineering and education laboratory  Linda and Bipin Doshi Department of chemical and biochemical engineering, Missouri Science and Technology."/>
    <s v="Sabbatical Fellowship"/>
    <s v="Biomass as a tool for decentralised, circular and just energy systems"/>
    <s v="Finzi"/>
    <s v="Pieter"/>
    <s v="Finzi Saidi"/>
    <s v="Pieter Pistorius"/>
    <n v="75"/>
    <n v="60"/>
    <n v="67.5"/>
    <n v="3"/>
    <n v="3"/>
    <n v="6"/>
    <x v="0"/>
    <x v="0"/>
    <x v="0"/>
    <d v="2026-01-01T00:00:00"/>
    <n v="1"/>
    <n v="945936"/>
    <n v="0"/>
    <n v="0"/>
    <n v="945936"/>
    <n v="0"/>
    <n v="0"/>
    <n v="3"/>
  </r>
  <r>
    <s v="10/12/2025"/>
    <s v="2025-10095"/>
    <s v="Higher Education Awards"/>
    <s v="Munashe Alvin Rukuni"/>
    <s v="202100311@ufh.ac.za"/>
    <s v="Submitted"/>
    <s v="Under Review"/>
    <x v="0"/>
    <x v="0"/>
    <x v="0"/>
    <x v="0"/>
    <s v="EM"/>
    <s v="Complete, No degree copy"/>
    <s v="Completed"/>
    <x v="8"/>
    <s v="UCT &amp; UWC "/>
    <s v="LLM IP"/>
    <s v="Strict IP Laws v Human Rights: Balancing the two in the new age of the 4IR"/>
    <s v="Carolina"/>
    <s v="Danie"/>
    <s v="Carolina Meyer"/>
    <s v="Danie Visser"/>
    <n v="67.857142857142861"/>
    <n v="50"/>
    <n v="58.928571428571431"/>
    <n v="4"/>
    <n v="1"/>
    <n v="5"/>
    <x v="0"/>
    <x v="0"/>
    <x v="0"/>
    <d v="2026-01-31T00:00:00"/>
    <n v="2"/>
    <n v="152000"/>
    <n v="132000"/>
    <n v="0"/>
    <n v="152000"/>
    <n v="132000"/>
    <n v="0"/>
    <n v="3"/>
  </r>
  <r>
    <s v="10/12/2025"/>
    <s v="2025-8626"/>
    <s v="Higher Education Awards"/>
    <s v="Samuel Leareng"/>
    <s v="sleareng@gmail.com"/>
    <s v="Submitted"/>
    <s v="Under Review"/>
    <x v="1"/>
    <x v="0"/>
    <x v="0"/>
    <x v="0"/>
    <s v="EM"/>
    <s v="Complete"/>
    <s v="Completed"/>
    <x v="3"/>
    <s v="Stellenbosch University"/>
    <s v="Postdoctoral research"/>
    <s v="Microbiome responses for assessment of water quality and chemical exposure in aquatic environments"/>
    <s v="Maryna"/>
    <s v="Romano"/>
    <s v="Maryna de Wit"/>
    <s v="Romano Lottering"/>
    <n v="91.666666666666657"/>
    <n v="94.444444444444443"/>
    <n v="93.055555555555543"/>
    <n v="5"/>
    <n v="4"/>
    <n v="9"/>
    <x v="1"/>
    <x v="1"/>
    <x v="1"/>
    <d v="2026-01-01T00:00:00"/>
    <n v="2"/>
    <n v="132000"/>
    <n v="132000"/>
    <n v="0"/>
    <n v="132000"/>
    <n v="132000"/>
    <n v="0"/>
    <n v="3"/>
  </r>
  <r>
    <s v="10/12/2025"/>
    <s v="2025-10004"/>
    <s v="Higher Education Awards"/>
    <s v="Leonard Johannes Pelser"/>
    <s v="lenpelser@gmail.com"/>
    <s v="Submitted"/>
    <s v="Under Review"/>
    <x v="0"/>
    <x v="1"/>
    <x v="0"/>
    <x v="0"/>
    <s v="EM"/>
    <s v="Complete"/>
    <s v="Completed"/>
    <x v="1"/>
    <s v="University of Johannesburg"/>
    <s v="MEd in Curriculum Studies"/>
    <s v="Bridging the STEM Achievement Gap: A Comparative Study of South Africa, China, and  Singapore"/>
    <s v="David Johnson"/>
    <s v="Lindy"/>
    <s v="David Johnson"/>
    <s v="Lindy Stiebel"/>
    <n v="100"/>
    <n v="92.857142857142861"/>
    <n v="96.428571428571431"/>
    <n v="5"/>
    <n v="5"/>
    <n v="10"/>
    <x v="1"/>
    <x v="1"/>
    <x v="1"/>
    <d v="2026-01-01T00:00:00"/>
    <n v="2"/>
    <n v="102261.17"/>
    <n v="110850"/>
    <n v="0"/>
    <n v="103000"/>
    <n v="111000"/>
    <n v="0"/>
    <n v="3"/>
  </r>
  <r>
    <s v="10/12/2025"/>
    <s v="2025-8467"/>
    <s v="Higher Education Awards"/>
    <s v="Majahonkhe Shabangu"/>
    <s v="majahonkhe.shabangu@uct.ac.za"/>
    <s v="Submitted"/>
    <s v="Under Review"/>
    <x v="1"/>
    <x v="0"/>
    <x v="0"/>
    <x v="0"/>
    <s v="EM"/>
    <s v="Complete"/>
    <s v="Completed"/>
    <x v="4"/>
    <s v="University of Cape Town"/>
    <s v="Postdoctoral research in mechanobiology and biomedical sciences"/>
    <s v="Investigating the effects of mechanical forces and inflammatory cues on the structural and functional integrity of the blood-brain and blood-spinal cord barriers."/>
    <s v="Mubeen"/>
    <s v="Sandrine"/>
    <s v="Mubeen Goolam"/>
    <s v="Sandrine Lecour"/>
    <n v="88.888888888888886"/>
    <n v="63.888888888888886"/>
    <n v="76.388888888888886"/>
    <n v="5"/>
    <n v="3"/>
    <n v="8"/>
    <x v="1"/>
    <x v="0"/>
    <x v="0"/>
    <d v="2026-04-01T00:00:00"/>
    <n v="2"/>
    <n v="460000"/>
    <n v="460000"/>
    <n v="0"/>
    <n v="460000"/>
    <n v="460000"/>
    <n v="0"/>
    <n v="3"/>
  </r>
  <r>
    <s v="10/12/2025"/>
    <s v="2025-9617"/>
    <s v="Higher Education Awards"/>
    <s v="Sienne Molepo"/>
    <s v="moleposienne@gmail.com"/>
    <s v="Submitted"/>
    <s v="Under Review"/>
    <x v="2"/>
    <x v="0"/>
    <x v="1"/>
    <x v="0"/>
    <s v="EM"/>
    <s v="Complete"/>
    <s v="Completed"/>
    <x v="6"/>
    <s v="University of the Western Cape, Institute for Poverty, Land and Agrarian Studies (PLAAS)"/>
    <s v="PhD in Land and Agrarian studies "/>
    <s v="Financial investments in rural South Africa: The expansion of finance capital on customary land"/>
    <s v="Khwezi"/>
    <s v="Robert"/>
    <s v="Khwezi Mkhize"/>
    <s v="Robert Peacock"/>
    <n v="100"/>
    <n v="96.428571428571431"/>
    <n v="98.214285714285722"/>
    <n v="5"/>
    <n v="5"/>
    <n v="10"/>
    <x v="1"/>
    <x v="1"/>
    <x v="1"/>
    <d v="2026-01-19T00:00:00"/>
    <n v="3"/>
    <n v="255342"/>
    <n v="251735"/>
    <n v="193735"/>
    <n v="256000"/>
    <n v="252000"/>
    <n v="194000"/>
    <n v="3"/>
  </r>
  <r>
    <s v="10/12/2025"/>
    <s v="2025-9116"/>
    <s v="Higher Education Awards"/>
    <s v="Sarah Abi Rowe"/>
    <s v="sarahabiirowe@gmail.com"/>
    <s v="Submitted"/>
    <s v="Under Review"/>
    <x v="0"/>
    <x v="1"/>
    <x v="1"/>
    <x v="0"/>
    <s v="EM"/>
    <s v="Complete"/>
    <s v="Completed"/>
    <x v="2"/>
    <s v="University of Cape Town"/>
    <s v="Masters Economics"/>
    <s v="Health and behavioural economics, intersected with the built environment."/>
    <s v="Ekaete"/>
    <s v="Philippe"/>
    <s v="Ekaete Benedict"/>
    <s v="Philippe Burger"/>
    <n v="82.142857142857139"/>
    <n v="67.857142857142861"/>
    <n v="75"/>
    <n v="4"/>
    <n v="2"/>
    <n v="6"/>
    <x v="0"/>
    <x v="0"/>
    <x v="0"/>
    <d v="2026-01-15T00:00:00"/>
    <n v="1"/>
    <n v="53000"/>
    <n v="0"/>
    <n v="0"/>
    <n v="53000"/>
    <n v="0"/>
    <n v="0"/>
    <n v="3"/>
  </r>
  <r>
    <s v="10/12/2025"/>
    <s v="2025-9322"/>
    <s v="Higher Education Awards"/>
    <s v="Andiswa Njilo"/>
    <s v="u24137490@tuks.co.za"/>
    <s v="Submitted"/>
    <s v="Under Review"/>
    <x v="2"/>
    <x v="0"/>
    <x v="1"/>
    <x v="0"/>
    <s v="EM"/>
    <s v="Complete"/>
    <s v="Completed"/>
    <x v="4"/>
    <s v="University of Pretoria"/>
    <s v="PhD Bioinformatics"/>
    <s v="A Novel Pan-Cancer Multi-omics Molecular Study of Gynaecologic and Breast Cancers in Africa"/>
    <s v="Rupal"/>
    <s v="Shaheen"/>
    <s v="Rupal Jival"/>
    <s v="Shaheen Mowla"/>
    <n v="96.428571428571431"/>
    <n v="82.142857142857139"/>
    <n v="89.285714285714278"/>
    <n v="5"/>
    <n v="4"/>
    <n v="9"/>
    <x v="1"/>
    <x v="1"/>
    <x v="0"/>
    <d v="2024-08-06T00:00:00"/>
    <n v="2"/>
    <n v="56682"/>
    <n v="119022"/>
    <n v="0"/>
    <n v="56682"/>
    <n v="119022"/>
    <n v="0"/>
    <n v="3"/>
  </r>
  <r>
    <s v="10/12/2025"/>
    <s v="2025-8442"/>
    <s v="Higher Education Awards"/>
    <s v="Brent January"/>
    <s v="brentjanuary1305@gmail.com"/>
    <s v="Submitted"/>
    <s v="Under Review"/>
    <x v="2"/>
    <x v="2"/>
    <x v="0"/>
    <x v="1"/>
    <s v="EM"/>
    <s v="Complete"/>
    <s v="Completed"/>
    <x v="7"/>
    <s v="The University of Memphis"/>
    <s v="Classical Music, Classical Guitar"/>
    <s v="Performance"/>
    <s v="Alexander"/>
    <s v="Susan"/>
    <s v="Alexander JOHNSON"/>
    <s v="Dr Musa-Duke Nkuna"/>
    <n v="82.5"/>
    <n v="82.5"/>
    <n v="82.5"/>
    <n v="4"/>
    <n v="4"/>
    <n v="8"/>
    <x v="1"/>
    <x v="1"/>
    <x v="2"/>
    <d v="2026-01-21T00:00:00"/>
    <n v="3"/>
    <n v="577198.31999999995"/>
    <n v="577198.31999999995"/>
    <n v="577198.31999999995"/>
    <n v="577198.31999999995"/>
    <n v="577198.31999999995"/>
    <n v="577198.31999999995"/>
    <n v="3"/>
  </r>
  <r>
    <s v="10/12/2025"/>
    <s v="2025-9151"/>
    <s v="Higher Education Awards"/>
    <s v="Ross Van Herzeele"/>
    <s v="rossvh1408@gmail.com"/>
    <s v="Submitted"/>
    <s v="Under Review"/>
    <x v="0"/>
    <x v="1"/>
    <x v="0"/>
    <x v="0"/>
    <s v="EM"/>
    <s v="Complete"/>
    <s v="Completed"/>
    <x v="2"/>
    <s v="Stellenbosch University "/>
    <s v="Master's "/>
    <s v="Economics "/>
    <s v="Ekaete"/>
    <s v="Philippe"/>
    <s v="Ekaete Benedict"/>
    <s v="Philippe Burger"/>
    <n v="67.857142857142861"/>
    <n v="42.857142857142854"/>
    <n v="55.357142857142861"/>
    <n v="3"/>
    <n v="2"/>
    <n v="5"/>
    <x v="0"/>
    <x v="0"/>
    <x v="0"/>
    <d v="2026-01-05T00:00:00"/>
    <n v="2"/>
    <n v="224961"/>
    <n v="193585"/>
    <n v="0"/>
    <n v="224961"/>
    <n v="193585"/>
    <n v="0"/>
    <n v="3"/>
  </r>
  <r>
    <s v="10/12/2025"/>
    <s v="2025-9725"/>
    <s v="Higher Education Awards"/>
    <s v="Dara Kell"/>
    <s v="dara.kell@gmail.com"/>
    <s v="Submitted"/>
    <s v="Under Review"/>
    <x v="2"/>
    <x v="1"/>
    <x v="1"/>
    <x v="0"/>
    <s v="EM"/>
    <s v="Complete"/>
    <s v="Completed"/>
    <x v="6"/>
    <s v="Stellenbosch University"/>
    <s v="Sociology"/>
    <s v="Breathscapes: A Transdisciplinary Inquiry into Air, Race, and Resistance in South Africa’s Sacrifice Zones"/>
    <s v="Sam"/>
    <s v="Srila"/>
    <s v="Sam Kariuki"/>
    <s v="Srila Roy"/>
    <n v="92.857142857142861"/>
    <n v="92.857142857142861"/>
    <n v="92.857142857142861"/>
    <n v="5"/>
    <n v="5"/>
    <n v="10"/>
    <x v="1"/>
    <x v="1"/>
    <x v="2"/>
    <d v="2026-01-10T00:00:00"/>
    <n v="3"/>
    <n v="435000"/>
    <n v="1185000"/>
    <n v="800000"/>
    <n v="350000"/>
    <n v="350000"/>
    <n v="350000"/>
    <n v="3"/>
  </r>
  <r>
    <s v="10/12/2025"/>
    <s v="2025-9886"/>
    <s v="Higher Education Awards"/>
    <s v="Danile Mata"/>
    <s v="danilemata2@gmail.com"/>
    <s v="Submitted"/>
    <s v="Under Review"/>
    <x v="0"/>
    <x v="0"/>
    <x v="1"/>
    <x v="0"/>
    <s v="EM"/>
    <s v="Complete"/>
    <s v="Completed"/>
    <x v="0"/>
    <s v="University of Cape Town"/>
    <s v="Chemistry"/>
    <s v="Development of heterobimetallic Rh/Ir tandem catalysts for hydroaminomethylation of olefins"/>
    <s v="Katherine"/>
    <s v="Mzamo"/>
    <s v="Katherine de Villiers"/>
    <s v="Mzamo Shozi"/>
    <n v="64.285714285714292"/>
    <n v="67.857142857142861"/>
    <n v="66.071428571428584"/>
    <n v="5"/>
    <n v="2"/>
    <n v="7"/>
    <x v="0"/>
    <x v="0"/>
    <x v="0"/>
    <d v="2026-01-19T00:00:00"/>
    <n v="1"/>
    <n v="200000"/>
    <n v="0"/>
    <n v="0"/>
    <n v="200000"/>
    <n v="0"/>
    <n v="0"/>
    <n v="3"/>
  </r>
  <r>
    <s v="10/12/2025"/>
    <s v="2025-9678"/>
    <s v="Higher Education Awards"/>
    <s v="Keith Dube"/>
    <s v="28800621@sun.ac.za"/>
    <s v="Submitted"/>
    <s v="Under Review"/>
    <x v="2"/>
    <x v="0"/>
    <x v="0"/>
    <x v="0"/>
    <s v="EM"/>
    <s v="Complete"/>
    <s v="Completed"/>
    <x v="3"/>
    <s v="Stellenbosch University"/>
    <s v="PhD"/>
    <s v="Bioinformatics and microbial ecology"/>
    <s v="Cobus"/>
    <s v="Michelle"/>
    <s v="Cobus Meyer Visagie"/>
    <s v="Michelle Greve"/>
    <n v="85.714285714285708"/>
    <n v="85.714285714285708"/>
    <n v="85.714285714285708"/>
    <n v="4"/>
    <n v="4"/>
    <n v="8"/>
    <x v="1"/>
    <x v="1"/>
    <x v="0"/>
    <d v="2024-01-01T00:00:00"/>
    <n v="1"/>
    <n v="210000"/>
    <n v="0"/>
    <n v="0"/>
    <n v="210000"/>
    <n v="0"/>
    <n v="0"/>
    <n v="3"/>
  </r>
  <r>
    <s v="10/12/2025"/>
    <s v="2025-9785"/>
    <s v="Higher Education Awards"/>
    <s v="Jarid du Plooy"/>
    <s v="duplooyjarid@gmail.com"/>
    <s v="Submitted"/>
    <s v="Under Review"/>
    <x v="1"/>
    <x v="2"/>
    <x v="0"/>
    <x v="0"/>
    <s v="EM"/>
    <s v="Complete"/>
    <s v="Completed"/>
    <x v="4"/>
    <s v="University of Cape Town"/>
    <s v="Chemistry"/>
    <s v="Tuberculosis Detection (Diagnostic tools)"/>
    <s v="Jaya"/>
    <s v="Mary"/>
    <s v="Jaya George"/>
    <s v="Mary Kawonga"/>
    <n v="83.333333333333343"/>
    <n v="52.777777777777779"/>
    <n v="68.055555555555557"/>
    <n v="4"/>
    <n v="2"/>
    <n v="6"/>
    <x v="0"/>
    <x v="0"/>
    <x v="0"/>
    <d v="2026-03-02T00:00:00"/>
    <n v="2"/>
    <n v="335000"/>
    <n v="382000"/>
    <n v="0"/>
    <n v="335000"/>
    <n v="382000"/>
    <n v="0"/>
    <n v="3"/>
  </r>
  <r>
    <s v="10/12/2025"/>
    <s v="2025-9511"/>
    <s v="Higher Education Awards"/>
    <s v="Seemeen Wookey"/>
    <s v="201703165@spu.ac.za"/>
    <s v="Submitted"/>
    <s v="Under Review"/>
    <x v="0"/>
    <x v="4"/>
    <x v="1"/>
    <x v="0"/>
    <s v="EM"/>
    <s v="Complete"/>
    <s v="Completed"/>
    <x v="3"/>
    <s v="Sol Plaatje University"/>
    <s v="Master of Computer and Information Science (Data Science)"/>
    <s v="AI-Powered Water Resource Management for Sustainable Supply and Demand in Kimberley Municipality"/>
    <s v="Cobus"/>
    <s v="Michelle"/>
    <s v="Cobus Meyer Visagie"/>
    <s v="Michelle Greve"/>
    <n v="57.142857142857139"/>
    <n v="71.428571428571431"/>
    <n v="64.285714285714278"/>
    <n v="2"/>
    <n v="3"/>
    <n v="5"/>
    <x v="0"/>
    <x v="0"/>
    <x v="0"/>
    <d v="2026-01-30T00:00:00"/>
    <n v="1"/>
    <n v="210000"/>
    <n v="0"/>
    <n v="0"/>
    <n v="210000"/>
    <n v="0"/>
    <n v="0"/>
    <n v="2"/>
  </r>
  <r>
    <s v="10/12/2025"/>
    <s v="2025-8604"/>
    <s v="Higher Education Awards"/>
    <s v="Camila Nkhama Nkhama"/>
    <s v="camila.nkhama@gmail.com"/>
    <s v="Submitted"/>
    <s v="Under Review"/>
    <x v="0"/>
    <x v="0"/>
    <x v="1"/>
    <x v="0"/>
    <s v="EM"/>
    <s v="Complete"/>
    <s v="Completed"/>
    <x v="6"/>
    <s v="Stellenbosch University"/>
    <s v="Masters In Socio-Informatics"/>
    <s v="Becoming the Machine: Investigating the Psychological Effects of Artificial Intelligence on Human Cognition and Identity"/>
    <s v="Badri"/>
    <s v="Johann"/>
    <s v="Badri Zolfaghari"/>
    <s v="Johan Hattingh"/>
    <n v="92.857142857142861"/>
    <n v="85.714285714285708"/>
    <n v="89.285714285714278"/>
    <n v="4"/>
    <n v="5"/>
    <n v="9"/>
    <x v="1"/>
    <x v="1"/>
    <x v="0"/>
    <d v="2026-01-12T00:00:00"/>
    <n v="2"/>
    <n v="201000"/>
    <n v="209500"/>
    <n v="0"/>
    <n v="201000"/>
    <n v="209500"/>
    <n v="0"/>
    <n v="3"/>
  </r>
  <r>
    <s v="10/12/2025"/>
    <s v="2025-9942"/>
    <s v="Higher Education Awards"/>
    <s v="Sahil Dowra"/>
    <s v="19021690@sun.ac.za"/>
    <s v="Submitted"/>
    <s v="Under Review"/>
    <x v="0"/>
    <x v="4"/>
    <x v="0"/>
    <x v="0"/>
    <s v="EM"/>
    <s v="Complete"/>
    <s v="Completed"/>
    <x v="3"/>
    <s v="Stellenbosch University"/>
    <s v="MSc Microbiology"/>
    <s v="Microbiology"/>
    <s v="Martin"/>
    <s v="Tuan"/>
    <s v="Martin Coetzee"/>
    <s v="Tuan Duong"/>
    <n v="64.285714285714292"/>
    <n v="32.142857142857146"/>
    <n v="48.214285714285722"/>
    <n v="3"/>
    <n v="1"/>
    <n v="4"/>
    <x v="0"/>
    <x v="0"/>
    <x v="0"/>
    <d v="2026-01-01T00:00:00"/>
    <n v="2"/>
    <n v="230000"/>
    <n v="230000"/>
    <n v="0"/>
    <n v="230000"/>
    <n v="230000"/>
    <n v="0"/>
    <n v="3"/>
  </r>
  <r>
    <s v="10/12/2025"/>
    <s v="2025-9789"/>
    <s v="Higher Education Awards"/>
    <s v="Zukiswa Zanazo"/>
    <s v="znzzuk001@myuct.ac.za"/>
    <s v="Revisions Requested"/>
    <s v="Under Review"/>
    <x v="2"/>
    <x v="0"/>
    <x v="1"/>
    <x v="0"/>
    <s v="EM"/>
    <s v="Complete, incomplete budget"/>
    <s v="Completed"/>
    <x v="1"/>
    <s v="University of Cape Town"/>
    <s v="Doctor of Philosophy in Industrial Sociology"/>
    <s v="Domestic Work"/>
    <s v="Sam"/>
    <s v="Srila"/>
    <s v="Sam Kariuki"/>
    <s v="Srila Roy"/>
    <n v="78.571428571428569"/>
    <n v="71.428571428571431"/>
    <n v="75"/>
    <n v="4"/>
    <n v="3"/>
    <n v="7"/>
    <x v="0"/>
    <x v="0"/>
    <x v="0"/>
    <d v="2024-02-01T00:00:00"/>
    <n v="2"/>
    <n v="-17148"/>
    <n v="-17148"/>
    <n v="0"/>
    <n v="-17148"/>
    <n v="-17148"/>
    <n v="0"/>
    <n v="3"/>
  </r>
  <r>
    <s v="10/12/2025"/>
    <s v="2025-9860"/>
    <s v="Higher Education Awards"/>
    <s v="Wycliffe Oluoch"/>
    <s v="wycliffeoluoch1@gmail.com"/>
    <s v="Submitted"/>
    <s v="Under Review"/>
    <x v="1"/>
    <x v="0"/>
    <x v="0"/>
    <x v="0"/>
    <s v="EM"/>
    <s v="Complete"/>
    <s v="Completed"/>
    <x v="2"/>
    <s v="University of Cape Town Graduate School of Business"/>
    <s v="Postdoctoral fellowship"/>
    <s v="The Gender Agenda: Structural Barriers and Implications on Women-Owned and Women-Led Microenterprises in Africa"/>
    <s v="Ekaete"/>
    <s v="Philippe"/>
    <s v="Ekaete Benedict"/>
    <s v="Philippe Burger"/>
    <n v="86.111111111111114"/>
    <n v="72.222222222222214"/>
    <n v="79.166666666666657"/>
    <n v="4"/>
    <n v="3"/>
    <n v="7"/>
    <x v="1"/>
    <x v="0"/>
    <x v="0"/>
    <d v="2026-01-01T00:00:00"/>
    <n v="2"/>
    <n v="665000"/>
    <n v="657100"/>
    <n v="0"/>
    <n v="665000"/>
    <n v="657100"/>
    <n v="0"/>
    <n v="2"/>
  </r>
  <r>
    <s v="10/12/2025"/>
    <s v="2025-8891"/>
    <s v="Higher Education Awards"/>
    <s v="Zama Mkhwanazi"/>
    <s v="zamamkhwanazi71@gmail.com"/>
    <s v="Submitted"/>
    <s v="Under Review"/>
    <x v="0"/>
    <x v="0"/>
    <x v="1"/>
    <x v="0"/>
    <s v="EM"/>
    <s v="Complete"/>
    <s v="Completed"/>
    <x v="1"/>
    <s v="University of Cape Town"/>
    <s v="Musicology"/>
    <s v="An investigation on the impact of social and political movements on the development of opera and how that has influenced opera to this day"/>
    <s v="Khwezi"/>
    <s v="Robert"/>
    <s v="Khwezi Mkhize"/>
    <s v="Robert Peacock"/>
    <n v="82.142857142857139"/>
    <n v="64.285714285714292"/>
    <n v="73.214285714285722"/>
    <n v="4"/>
    <n v="2"/>
    <n v="6"/>
    <x v="0"/>
    <x v="0"/>
    <x v="0"/>
    <d v="2026-02-16T00:00:00"/>
    <n v="1"/>
    <n v="40000"/>
    <n v="0"/>
    <n v="0"/>
    <n v="40000"/>
    <n v="0"/>
    <n v="0"/>
    <n v="2"/>
  </r>
  <r>
    <s v="10/12/2025"/>
    <s v="2025-10060"/>
    <s v="Higher Education Awards"/>
    <s v="Zizikazi Sodzidzi"/>
    <s v="zizikazis@gmail.com"/>
    <s v="Submitted"/>
    <s v="Under Review"/>
    <x v="1"/>
    <x v="0"/>
    <x v="1"/>
    <x v="0"/>
    <s v="EM"/>
    <s v="Complete"/>
    <s v="Completed"/>
    <x v="0"/>
    <s v="University of the Witwatersrand"/>
    <s v="Postdoctoral"/>
    <s v="Boron-graphene nanoplatelets incorporated in polyvinylidene fluoride membranes for high flux and adsorption of heavy metals"/>
    <s v="Katherine"/>
    <s v="Mzamo"/>
    <s v="Katherine de Villiers"/>
    <s v="Mzamo Shozi"/>
    <n v="75"/>
    <n v="63.888888888888886"/>
    <n v="69.444444444444443"/>
    <n v="4"/>
    <n v="2"/>
    <n v="6"/>
    <x v="0"/>
    <x v="0"/>
    <x v="0"/>
    <d v="2026-01-05T00:00:00"/>
    <n v="2"/>
    <n v="440000"/>
    <n v="460000"/>
    <n v="0"/>
    <n v="440000"/>
    <n v="460000"/>
    <n v="0"/>
    <n v="3"/>
  </r>
  <r>
    <s v="10/12/2025"/>
    <s v="2025-9759"/>
    <s v="Higher Education Awards"/>
    <s v="Zama Mahlobo"/>
    <s v="pzamah@sun.ac.za"/>
    <s v="Submitted"/>
    <s v="Under Review"/>
    <x v="1"/>
    <x v="0"/>
    <x v="1"/>
    <x v="0"/>
    <s v="EM"/>
    <s v="Complete"/>
    <s v="Completed"/>
    <x v="3"/>
    <s v="Stellenbosch University"/>
    <s v="Postdoctoral"/>
    <s v="Microbiome aerobiology: Biological factors associated with the viability of airborne pathogenic bacteria during aerosol transmission."/>
    <s v="Almuth"/>
    <s v="Neriman"/>
    <s v="Almuth Hammerbacher"/>
    <s v="Neriman Yilmaz"/>
    <n v="75"/>
    <n v="88.888888888888886"/>
    <n v="81.944444444444443"/>
    <n v="3"/>
    <n v="4"/>
    <n v="7"/>
    <x v="1"/>
    <x v="0"/>
    <x v="0"/>
    <d v="2025-03-27T00:00:00"/>
    <n v="2"/>
    <n v="248000"/>
    <n v="201000"/>
    <n v="0"/>
    <n v="248000"/>
    <n v="201000"/>
    <n v="0"/>
    <n v="3"/>
  </r>
  <r>
    <s v="10/12/2025"/>
    <s v="2025-10071"/>
    <s v="Higher Education Awards"/>
    <s v="Tony Noveld"/>
    <s v="noveldtony@gmail.com"/>
    <s v="Revisions Requested"/>
    <s v="Under Review"/>
    <x v="0"/>
    <x v="0"/>
    <x v="0"/>
    <x v="0"/>
    <s v="EM"/>
    <s v="Complete"/>
    <s v="Completed"/>
    <x v="4"/>
    <s v="University of Cape Town, Institute of Infectious Diseases &amp; Immunology"/>
    <s v="MSc Medicine (Medical Microbiology)"/>
    <s v="Elucidating Synergistic Drug Targets in DNA Metabolism, RNA Synthesis, and Cell Envelope Biogenesis Pathways of Mycobacterium tuberculosis Using a CRISPRi Approach"/>
    <s v="Raymond"/>
    <s v="Shahidul"/>
    <s v="Md. Shahidul Islam"/>
    <s v="Raymond Hewer"/>
    <n v="60.714285714285708"/>
    <n v="75"/>
    <n v="67.857142857142861"/>
    <n v="3"/>
    <n v="5"/>
    <n v="8"/>
    <x v="0"/>
    <x v="0"/>
    <x v="0"/>
    <d v="2026-01-19T00:00:00"/>
    <n v="2"/>
    <n v="196000"/>
    <n v="196000"/>
    <n v="0"/>
    <n v="196000"/>
    <n v="196000"/>
    <n v="0"/>
    <n v="3"/>
  </r>
  <r>
    <s v="10/12/2025"/>
    <s v="2025-9703"/>
    <s v="Higher Education Awards"/>
    <s v="Mufudzi Chihambakwe"/>
    <s v="mufudzi@worldspinecare.org"/>
    <s v="Submitted"/>
    <s v="Under Review"/>
    <x v="2"/>
    <x v="0"/>
    <x v="0"/>
    <x v="0"/>
    <s v="EM"/>
    <s v="Complete"/>
    <s v="Completed"/>
    <x v="4"/>
    <s v="Stellenbosch University"/>
    <s v="PhD in Global Public Health"/>
    <s v="The unseen NCD: The syndemics of musculoskeletal disorders in Southern Africa"/>
    <s v="Gill"/>
    <s v="Moses"/>
    <s v="Gill Nelson"/>
    <s v="Moses Alobo"/>
    <n v="100"/>
    <n v="100"/>
    <n v="100"/>
    <n v="5"/>
    <n v="5"/>
    <n v="10"/>
    <x v="1"/>
    <x v="1"/>
    <x v="1"/>
    <d v="2026-02-02T00:00:00"/>
    <n v="3"/>
    <n v="95000"/>
    <n v="80000"/>
    <n v="80000"/>
    <n v="95000"/>
    <n v="80000"/>
    <n v="80000"/>
    <n v="3"/>
  </r>
  <r>
    <s v="10/12/2025"/>
    <s v="2025-10055"/>
    <s v="Higher Education Awards"/>
    <s v="Sithabile Mngadi-Ncube"/>
    <s v="sithabilemngadi64@gmail.com"/>
    <s v="Submitted"/>
    <s v="Under Review"/>
    <x v="2"/>
    <x v="0"/>
    <x v="1"/>
    <x v="0"/>
    <s v="EM"/>
    <s v="Complete"/>
    <s v="Completed"/>
    <x v="4"/>
    <s v="University of Witwatersrand"/>
    <s v="PhD in Public Health"/>
    <s v="Co-designing an Adaptable Multi-Component Intervention to Address Intimate Partner Violence and Mental Health Among Women Living with HIV in South Africa"/>
    <s v="Gill"/>
    <s v="Moses"/>
    <s v="Gill Nelson"/>
    <s v="Moses Alobo"/>
    <n v="75"/>
    <n v="75"/>
    <n v="75"/>
    <n v="4"/>
    <n v="4"/>
    <n v="8"/>
    <x v="0"/>
    <x v="0"/>
    <x v="0"/>
    <d v="2026-02-02T00:00:00"/>
    <n v="3"/>
    <n v="162500"/>
    <n v="147500"/>
    <n v="126000"/>
    <n v="162500"/>
    <n v="147500"/>
    <n v="126000"/>
    <n v="3"/>
  </r>
  <r>
    <s v="10/12/2025"/>
    <s v="2025-9978"/>
    <s v="Higher Education Awards"/>
    <s v="Nic-Quinlyn Titus"/>
    <s v="nic.quinlyntitus@gmail.com"/>
    <s v="Submitted"/>
    <s v="Under Review"/>
    <x v="2"/>
    <x v="2"/>
    <x v="0"/>
    <x v="0"/>
    <s v="EM"/>
    <s v="Complete"/>
    <s v="Completed"/>
    <x v="0"/>
    <s v="University of the Western Cape"/>
    <s v="Doctor of Philosophy in Chemistry"/>
    <s v="Two-Dimensional Nanomaterial-Functionalized Nanobody Electrolyte-Gated Organic Field Effect Transistor-based Sensing Platform for Electrochemical Respiratory Virus Monitoring"/>
    <s v="Katherine"/>
    <s v="Mzamo"/>
    <s v="Katherine de Villiers"/>
    <s v="Mzamo Shozi"/>
    <n v="71.428571428571431"/>
    <n v="85.714285714285708"/>
    <n v="78.571428571428569"/>
    <n v="4"/>
    <n v="5"/>
    <n v="9"/>
    <x v="1"/>
    <x v="0"/>
    <x v="0"/>
    <d v="2026-01-12T00:00:00"/>
    <n v="3"/>
    <n v="210000"/>
    <n v="145500"/>
    <n v="145500"/>
    <n v="210000"/>
    <n v="145500"/>
    <n v="145500"/>
    <n v="3"/>
  </r>
  <r>
    <s v="10/12/2025"/>
    <s v="2025-9616"/>
    <s v="Higher Education Awards"/>
    <s v="Fezeka Ntsanwisi"/>
    <s v="fntsanwisi7@gmail.com"/>
    <s v="Submitted"/>
    <s v="Under Review"/>
    <x v="2"/>
    <x v="0"/>
    <x v="1"/>
    <x v="0"/>
    <s v="EM"/>
    <s v="Complete"/>
    <s v="Completed"/>
    <x v="8"/>
    <s v="University of Cape Town"/>
    <s v="Doctor of Philosophy (PhD) in Private Law"/>
    <s v="Consent and the Interim Protection of Informal Land Rights Act: How to obtain genuine consent from South African customary communities for access to their land for mining projects"/>
    <s v="Carolina"/>
    <s v="Danie"/>
    <s v="Carolina Meyer"/>
    <s v="Danie Visser"/>
    <n v="78.571428571428569"/>
    <n v="92.857142857142861"/>
    <n v="85.714285714285722"/>
    <n v="4"/>
    <n v="4"/>
    <n v="8"/>
    <x v="1"/>
    <x v="1"/>
    <x v="0"/>
    <d v="2026-02-16T00:00:00"/>
    <n v="2"/>
    <n v="158500"/>
    <n v="77000"/>
    <n v="0"/>
    <n v="158500"/>
    <n v="77000"/>
    <n v="0"/>
    <n v="3"/>
  </r>
  <r>
    <s v="10/12/2025"/>
    <s v="2025-9991"/>
    <s v="Higher Education Awards"/>
    <s v="Andzani Mdaka"/>
    <s v="carren.mdaka56@gmail.com"/>
    <s v="Submitted"/>
    <s v="Under Review"/>
    <x v="2"/>
    <x v="0"/>
    <x v="1"/>
    <x v="0"/>
    <s v="EM"/>
    <s v="Complete"/>
    <s v="Completed"/>
    <x v="4"/>
    <s v="University of Cape town"/>
    <s v="Biomedical sciences"/>
    <s v="Investigating anti-HIV-1 reverse transcriptase and protease and the apoptotic effect of two plants."/>
    <s v="Jaya"/>
    <s v="Mary"/>
    <s v="Jaya George"/>
    <s v="Mary Kawonga"/>
    <n v="60.714285714285708"/>
    <n v="75"/>
    <n v="67.857142857142861"/>
    <n v="4"/>
    <n v="3"/>
    <n v="7"/>
    <x v="0"/>
    <x v="0"/>
    <x v="0"/>
    <d v="2026-01-01T00:00:00"/>
    <n v="3"/>
    <n v="209300"/>
    <n v="209300"/>
    <n v="209300"/>
    <n v="209300"/>
    <n v="209300"/>
    <n v="209300"/>
    <n v="2"/>
  </r>
  <r>
    <s v="10/12/2025"/>
    <s v="2025-8416"/>
    <s v="Higher Education Awards"/>
    <s v="Kutlwano Kgaoganyeng"/>
    <s v="kutlwikgao91@gmail.com"/>
    <s v="Submitted"/>
    <s v="Under Review"/>
    <x v="0"/>
    <x v="0"/>
    <x v="1"/>
    <x v="0"/>
    <s v="EM"/>
    <s v="Complete"/>
    <s v="Completed"/>
    <x v="1"/>
    <s v="University of Pretoria"/>
    <s v="MA in African Languages-Setswana"/>
    <s v="Evaluating The Effectiveness of Setswana Translating Tools in Setswana Formal and Informal Texts: A Comparative Study of Glosbe, Autshumato, and Google Translate."/>
    <s v="David Johnson"/>
    <s v="Lindy"/>
    <s v="David Johnson"/>
    <s v="Lindy Stiebel"/>
    <n v="78.571428571428569"/>
    <n v="82.142857142857139"/>
    <n v="80.357142857142861"/>
    <n v="4"/>
    <n v="4"/>
    <n v="8"/>
    <x v="1"/>
    <x v="1"/>
    <x v="0"/>
    <d v="2026-01-01T00:00:00"/>
    <n v="2"/>
    <n v="170000"/>
    <n v="170000"/>
    <n v="0"/>
    <n v="170000"/>
    <n v="170000"/>
    <n v="0"/>
    <n v="4"/>
  </r>
  <r>
    <s v="10/12/2025"/>
    <s v="2025-10014"/>
    <s v="Higher Education Awards"/>
    <s v="Thozama Njobe"/>
    <s v="thozama.njobe@gmail.com"/>
    <s v="Submitted"/>
    <s v="Under Review"/>
    <x v="0"/>
    <x v="0"/>
    <x v="2"/>
    <x v="0"/>
    <s v="EM"/>
    <s v="Complete"/>
    <s v="Completed"/>
    <x v="6"/>
    <s v="The University of Witwatersrand"/>
    <s v="Masters Political Science specialising in Transitional Justice"/>
    <s v="Transitional Justice: An African Perspective of Memory and Reparative Justice"/>
    <s v="David"/>
    <s v="Dina"/>
    <s v="David Medalie"/>
    <s v="Dina Ligaga"/>
    <n v="75"/>
    <n v="92.857142857142861"/>
    <n v="83.928571428571431"/>
    <n v="4"/>
    <n v="5"/>
    <n v="9"/>
    <x v="1"/>
    <x v="1"/>
    <x v="0"/>
    <d v="2026-01-18T00:00:00"/>
    <n v="2"/>
    <n v="259340"/>
    <n v="273754"/>
    <n v="0"/>
    <n v="250000"/>
    <n v="250000"/>
    <n v="0"/>
    <n v="3"/>
  </r>
  <r>
    <s v="10/12/2025"/>
    <s v="2025-9951"/>
    <s v="Higher Education Awards"/>
    <s v="Lucy Bischof"/>
    <s v="lucybischof03@gmail.com"/>
    <s v="Submitted"/>
    <s v="Under Review"/>
    <x v="0"/>
    <x v="1"/>
    <x v="1"/>
    <x v="0"/>
    <s v="EM"/>
    <s v="Complete"/>
    <s v="Completed"/>
    <x v="1"/>
    <s v="Stellenbosch University"/>
    <s v="Masters in Visual Arts"/>
    <s v="Exploring Indigenous Plant Wisdom through Talismanic Art Jewellery as a Vessel of Healing."/>
    <s v="Sam"/>
    <s v="Srila"/>
    <s v="Sam Kariuki"/>
    <s v="Srila Roy"/>
    <n v="75"/>
    <n v="78.571428571428569"/>
    <n v="76.785714285714278"/>
    <n v="4"/>
    <n v="4"/>
    <n v="8"/>
    <x v="1"/>
    <x v="0"/>
    <x v="0"/>
    <d v="2026-02-02T00:00:00"/>
    <n v="2"/>
    <n v="210810"/>
    <n v="210810"/>
    <n v="0"/>
    <n v="210810"/>
    <n v="210810"/>
    <n v="0"/>
    <n v="3"/>
  </r>
  <r>
    <s v="10/12/2025"/>
    <s v="2025-9994"/>
    <s v="Higher Education Awards"/>
    <s v="Ephraim Maphasa"/>
    <s v="Ephraimmaphasa@gmail.com"/>
    <s v="Revisions Requested"/>
    <s v="Under Review"/>
    <x v="1"/>
    <x v="0"/>
    <x v="0"/>
    <x v="0"/>
    <s v="EM"/>
    <s v="Complete, incomplete budget"/>
    <s v="Completed"/>
    <x v="4"/>
    <s v="Stellenbosch University"/>
    <s v="Microbiology/Immunology"/>
    <s v="Drug discovery for HIV-TB coinfections"/>
    <s v="Raymond"/>
    <s v="Shahidul"/>
    <s v="Md. Shahidul Islam"/>
    <s v="Raymond Hewer"/>
    <n v="58.333333333333336"/>
    <n v="47.222222222222221"/>
    <n v="52.777777777777779"/>
    <n v="1"/>
    <n v="1"/>
    <n v="2"/>
    <x v="0"/>
    <x v="0"/>
    <x v="0"/>
    <d v="2025-02-03T00:00:00"/>
    <n v="2"/>
    <n v="-430000"/>
    <n v="-444000"/>
    <n v="0"/>
    <n v="-430000"/>
    <n v="-444000"/>
    <n v="0"/>
    <n v="3"/>
  </r>
  <r>
    <s v="10/12/2025"/>
    <s v="2025-10021"/>
    <s v="Higher Education Awards"/>
    <s v="Bafokeng Sekaleli"/>
    <s v="Bafokengsekaleli@gmail.com"/>
    <s v="Submitted"/>
    <s v="Under Review"/>
    <x v="2"/>
    <x v="0"/>
    <x v="0"/>
    <x v="0"/>
    <s v="EM"/>
    <s v="Complete"/>
    <s v="Completed"/>
    <x v="0"/>
    <s v="University of KwaZulu-Natal"/>
    <s v="Chemistry (Catalysis)"/>
    <s v="Direct conversion of carbon dioxide through transition metal catalysis to dimethyl ether for hydrogen storage"/>
    <s v="Katherine"/>
    <s v="Mzamo"/>
    <s v="Katherine de Villiers"/>
    <s v="Mzamo Shozi"/>
    <n v="92.857142857142861"/>
    <n v="82.142857142857139"/>
    <n v="87.5"/>
    <n v="4"/>
    <n v="4"/>
    <n v="8"/>
    <x v="1"/>
    <x v="1"/>
    <x v="0"/>
    <d v="2025-02-01T00:00:00"/>
    <n v="2"/>
    <n v="111809"/>
    <n v="99260"/>
    <n v="0"/>
    <n v="111809"/>
    <n v="99260"/>
    <n v="0"/>
    <n v="3"/>
  </r>
  <r>
    <s v="10/12/2025"/>
    <s v="2025-9967"/>
    <s v="Higher Education Awards"/>
    <s v="Khazimla Songo Joba"/>
    <s v="jobakhazimla@gmail.com"/>
    <s v="Submitted"/>
    <s v="Under Review"/>
    <x v="0"/>
    <x v="0"/>
    <x v="1"/>
    <x v="0"/>
    <s v="EM"/>
    <s v="Complete"/>
    <s v="Completed"/>
    <x v="1"/>
    <s v="University of the Free State"/>
    <s v="Bachelor of Arts honours with specialisation in linguistics"/>
    <s v="Phonological and Morphosyntactic Documentation of Khwe in Platfontein"/>
    <s v="Khwezi"/>
    <s v="Robert"/>
    <s v="Khwezi Mkhize"/>
    <s v="Robert Peacock"/>
    <n v="67.857142857142861"/>
    <n v="85.714285714285708"/>
    <n v="76.785714285714278"/>
    <n v="4"/>
    <n v="5"/>
    <n v="9"/>
    <x v="1"/>
    <x v="0"/>
    <x v="0"/>
    <d v="2026-02-10T00:00:00"/>
    <n v="1"/>
    <n v="112000"/>
    <n v="0"/>
    <n v="0"/>
    <n v="112000"/>
    <n v="0"/>
    <n v="0"/>
    <n v="3"/>
  </r>
  <r>
    <s v="10/12/2025"/>
    <s v="2025-9133"/>
    <s v="Higher Education Awards"/>
    <s v="Monique van Bers"/>
    <s v="Moniquevb321@gmail.com"/>
    <s v="Submitted"/>
    <s v="Under Review"/>
    <x v="0"/>
    <x v="1"/>
    <x v="1"/>
    <x v="0"/>
    <s v="EM"/>
    <s v="Complete"/>
    <s v="Completed"/>
    <x v="3"/>
    <s v="University of Pretoria"/>
    <s v="Masters in Ecology"/>
    <s v="Invasion biology: Reconstructing the food web of an apex invader on sub-Antartic Marion Island"/>
    <s v="Diederik"/>
    <s v="Markus"/>
    <s v="Diederik Opperman"/>
    <s v="Markus Wilken"/>
    <n v="71.428571428571431"/>
    <n v="89.285714285714292"/>
    <n v="80.357142857142861"/>
    <n v="3"/>
    <n v="5"/>
    <n v="8"/>
    <x v="1"/>
    <x v="1"/>
    <x v="0"/>
    <d v="2026-01-01T00:00:00"/>
    <n v="2"/>
    <n v="177000"/>
    <n v="193000"/>
    <n v="0"/>
    <n v="177000"/>
    <n v="193000"/>
    <n v="0"/>
    <n v="3"/>
  </r>
  <r>
    <s v="10/12/2025"/>
    <s v="2025-9175"/>
    <s v="Higher Education Awards"/>
    <s v="Nobuhle Kambunga"/>
    <s v="27729753@sun.ac.za"/>
    <s v="Submitted"/>
    <s v="Under Review"/>
    <x v="0"/>
    <x v="0"/>
    <x v="1"/>
    <x v="0"/>
    <s v="EM"/>
    <s v="Complete"/>
    <s v="Completed"/>
    <x v="4"/>
    <s v="Stellenbosch university"/>
    <s v="MSc in Microbiology"/>
    <s v="Human gut microbiome"/>
    <s v="Raymond"/>
    <s v="Shahidul"/>
    <s v="Md. Shahidul Islam"/>
    <s v="Raymond Hewer"/>
    <n v="89.285714285714292"/>
    <n v="78.571428571428569"/>
    <n v="83.928571428571431"/>
    <n v="4"/>
    <n v="4"/>
    <n v="8"/>
    <x v="1"/>
    <x v="1"/>
    <x v="0"/>
    <d v="2026-01-01T00:00:00"/>
    <n v="1"/>
    <n v="200000"/>
    <n v="0"/>
    <n v="0"/>
    <n v="200000"/>
    <n v="0"/>
    <n v="0"/>
    <n v="3"/>
  </r>
  <r>
    <s v="10/12/2025"/>
    <s v="2025-8510"/>
    <s v="Higher Education Awards"/>
    <s v="Betty Sehlola"/>
    <s v="bettysehlola@gmail.com"/>
    <s v="Submitted"/>
    <s v="Under Review"/>
    <x v="2"/>
    <x v="0"/>
    <x v="1"/>
    <x v="0"/>
    <s v="EM"/>
    <s v="Complete"/>
    <s v="Completed"/>
    <x v="3"/>
    <s v="North -West University"/>
    <s v="Doctor of Philosophy in Agricultural Economics"/>
    <s v="Investigating the Impact of Agro-Processing on the Agricultural Value Chains of Smallholder Vegetable Farmers in Limpopo Province, South Africa"/>
    <s v="Almuth"/>
    <s v="Neriman"/>
    <s v="Almuth Hammerbacher"/>
    <s v="Neriman Yilmaz"/>
    <n v="64.285714285714292"/>
    <n v="71.428571428571431"/>
    <n v="67.857142857142861"/>
    <n v="2"/>
    <n v="3"/>
    <n v="5"/>
    <x v="0"/>
    <x v="0"/>
    <x v="0"/>
    <d v="2026-02-09T00:00:00"/>
    <n v="3"/>
    <n v="315000"/>
    <n v="325000"/>
    <n v="290000"/>
    <n v="315000"/>
    <n v="325000"/>
    <n v="290000"/>
    <n v="3"/>
  </r>
  <r>
    <s v="10/12/2025"/>
    <s v="2025-9460"/>
    <s v="Higher Education Awards"/>
    <s v="Bontle Lesego Bonolo Kgothule"/>
    <s v="kbontle910@gmail.com"/>
    <s v="Submitted"/>
    <s v="Under Review"/>
    <x v="0"/>
    <x v="0"/>
    <x v="1"/>
    <x v="0"/>
    <s v="EM"/>
    <s v="Complete"/>
    <s v="Completed"/>
    <x v="4"/>
    <s v="University of Cape Town"/>
    <s v="Master's in Medical Microbiology"/>
    <s v="Development of a label-free Fourier Transform Infrared (FTIR) spectroscopy method for non-invasive mycobacterial detection in bioaerosols"/>
    <s v="Raymond"/>
    <s v="Shahidul"/>
    <s v="Md. Shahidul Islam"/>
    <s v="Raymond Hewer"/>
    <n v="67.857142857142861"/>
    <n v="60.714285714285708"/>
    <n v="64.285714285714278"/>
    <n v="3"/>
    <n v="2"/>
    <n v="5"/>
    <x v="0"/>
    <x v="0"/>
    <x v="0"/>
    <d v="2025-02-03T00:00:00"/>
    <n v="2"/>
    <n v="165000"/>
    <n v="165000"/>
    <n v="0"/>
    <n v="165000"/>
    <n v="165000"/>
    <n v="0"/>
    <n v="3"/>
  </r>
  <r>
    <s v="10/12/2025"/>
    <s v="2025-8727"/>
    <s v="Higher Education Awards"/>
    <s v="Mbali Dhlamini"/>
    <s v="mbalidhlamini@yahoo.co.uk"/>
    <s v="Submitted"/>
    <s v="Under Review"/>
    <x v="2"/>
    <x v="0"/>
    <x v="1"/>
    <x v="1"/>
    <s v="EM"/>
    <s v="Complete"/>
    <s v="Completed"/>
    <x v="7"/>
    <s v="Birmingham City University"/>
    <s v="Research to Phd"/>
    <s v="Regenerative Ecologies in practice led research."/>
    <s v="Janine"/>
    <s v="Maureen"/>
    <s v="Janine Allen-Spies"/>
    <s v="Maureen De Jager"/>
    <n v="75"/>
    <n v="62.5"/>
    <n v="68.75"/>
    <n v="3"/>
    <n v="3"/>
    <n v="6"/>
    <x v="0"/>
    <x v="0"/>
    <x v="0"/>
    <d v="2026-02-02T00:00:00"/>
    <n v="3"/>
    <n v="343614.03"/>
    <n v="343614.03"/>
    <n v="343614.03"/>
    <n v="343614.03"/>
    <n v="343614.03"/>
    <n v="343614.03"/>
    <n v="3"/>
  </r>
  <r>
    <s v="10/12/2025"/>
    <s v="2025-9679"/>
    <s v="Higher Education Awards"/>
    <s v="Juanita Karol Chinemerem Nwachukwu"/>
    <s v="nwcjua001@myuct.ac.za"/>
    <s v="Submitted"/>
    <s v="Under Review"/>
    <x v="0"/>
    <x v="0"/>
    <x v="1"/>
    <x v="0"/>
    <s v="EM"/>
    <s v="Complete"/>
    <s v="Completed"/>
    <x v="4"/>
    <s v="University of Cape Town"/>
    <s v="MSc Med in Forensic Medicine"/>
    <s v="Machine Learning for Disease Detection in Postmortem LODOX® Investigations: A Novel Approach to Enhancing Forensic Radiology Capabilities in Cases of Pneumonia"/>
    <s v="Gill"/>
    <s v="Moses"/>
    <s v="Gill Nelson"/>
    <s v="Moses Alobo"/>
    <n v="78.571428571428569"/>
    <n v="78.571428571428569"/>
    <n v="78.571428571428569"/>
    <n v="4"/>
    <n v="4"/>
    <n v="8"/>
    <x v="1"/>
    <x v="0"/>
    <x v="0"/>
    <d v="2025-02-26T00:00:00"/>
    <n v="1"/>
    <n v="250000"/>
    <n v="0"/>
    <n v="0"/>
    <n v="250000"/>
    <n v="0"/>
    <n v="0"/>
    <n v="3"/>
  </r>
  <r>
    <s v="10/12/2025"/>
    <s v="2025-9012"/>
    <s v="Higher Education Awards"/>
    <s v="Tanya Megan van der Merwe"/>
    <s v="tanyavdm@outlook.com"/>
    <s v="Submitted"/>
    <s v="Under Review"/>
    <x v="0"/>
    <x v="1"/>
    <x v="1"/>
    <x v="0"/>
    <s v="EM"/>
    <s v="Complete"/>
    <s v="Completed"/>
    <x v="3"/>
    <s v="University of Cape Town"/>
    <s v="MSc in Ocean and Atmosphere Science"/>
    <s v="Hydrological extreme events in South Africa "/>
    <s v="Martin"/>
    <s v="Tuan"/>
    <s v="Martin Coetzee"/>
    <s v="Tuan Duong"/>
    <n v="85.714285714285708"/>
    <n v="89.285714285714292"/>
    <n v="87.5"/>
    <n v="5"/>
    <n v="5"/>
    <n v="10"/>
    <x v="1"/>
    <x v="1"/>
    <x v="1"/>
    <d v="2025-01-13T00:00:00"/>
    <n v="2"/>
    <n v="151670"/>
    <n v="159010"/>
    <n v="0"/>
    <n v="152000"/>
    <n v="160000"/>
    <n v="0"/>
    <n v="3"/>
  </r>
  <r>
    <s v="10/12/2025"/>
    <s v="2025-9818"/>
    <s v="Higher Education Awards"/>
    <s v="Katlego Malatji"/>
    <s v="valenciamalatji22@gmail.com"/>
    <s v="Submitted"/>
    <s v="Under Review"/>
    <x v="0"/>
    <x v="0"/>
    <x v="1"/>
    <x v="0"/>
    <s v="EM"/>
    <s v="Complete"/>
    <s v="Completed"/>
    <x v="4"/>
    <s v="University of the Witwatersrand "/>
    <s v="MSc(Med) Forensic Medicine"/>
    <s v="Smell of death, VOCs released during different decomposition stages: A South African context"/>
    <s v="Jaya"/>
    <s v="Mary"/>
    <s v="Jaya George"/>
    <s v="Mary Kawonga"/>
    <n v="67.857142857142861"/>
    <n v="50"/>
    <n v="58.928571428571431"/>
    <n v="3"/>
    <n v="2"/>
    <n v="5"/>
    <x v="0"/>
    <x v="0"/>
    <x v="0"/>
    <d v="2026-01-12T00:00:00"/>
    <n v="2"/>
    <n v="147030"/>
    <n v="102410"/>
    <n v="0"/>
    <n v="147030"/>
    <n v="102410"/>
    <n v="0"/>
    <n v="3"/>
  </r>
  <r>
    <s v="10/12/2025"/>
    <s v="2025-8273"/>
    <s v="Higher Education Awards"/>
    <s v="Penelope Rampedi"/>
    <s v="Ofentse1.sib@gmail.com"/>
    <s v="Submitted"/>
    <s v="Under Review"/>
    <x v="2"/>
    <x v="0"/>
    <x v="1"/>
    <x v="0"/>
    <s v="EM"/>
    <s v="Complete"/>
    <s v="Completed"/>
    <x v="4"/>
    <s v="Sefako Makgatho Health Sciences University"/>
    <s v="PhD (pharmacology)"/>
    <s v="PRECLINICAL DEVELOPMENT AND EVALUATION OF AN INJECTABLE FORMULATION FOR THE PHARMACOTHERAPY OF DRUG RESISTANT TUBERCULOSIS"/>
    <s v="Frasia"/>
    <s v="Neil"/>
    <s v="Frasia Oosthuizen"/>
    <s v="Neil Coville"/>
    <n v="85.714285714285708"/>
    <n v="92.857142857142861"/>
    <n v="89.285714285714278"/>
    <n v="4"/>
    <n v="5"/>
    <n v="9"/>
    <x v="1"/>
    <x v="1"/>
    <x v="0"/>
    <d v="2023-06-26T00:00:00"/>
    <n v="1"/>
    <n v="109724.8"/>
    <n v="0"/>
    <n v="0"/>
    <n v="109724.8"/>
    <n v="0"/>
    <n v="0"/>
    <n v="3"/>
  </r>
  <r>
    <s v="10/12/2025"/>
    <s v="2025-9279"/>
    <s v="Higher Education Awards"/>
    <s v="Tyler Gibbons"/>
    <s v="tgibbons@sun.ac.za"/>
    <s v="Submitted"/>
    <s v="Under Review"/>
    <x v="2"/>
    <x v="1"/>
    <x v="0"/>
    <x v="0"/>
    <s v="EM"/>
    <s v="Complete"/>
    <s v="Completed"/>
    <x v="7"/>
    <s v="Stellenbosch University"/>
    <s v="PhD (Music)"/>
    <s v="The South African Wind Band: Cultural life across community, education and the profession."/>
    <s v="Alexander"/>
    <s v="Susan"/>
    <s v="Alexander JOHNSON"/>
    <s v="Dr Musa-Duke Nkuna"/>
    <n v="72.222222222222214"/>
    <n v="72.222222222222214"/>
    <n v="72.222222222222214"/>
    <n v="5"/>
    <n v="5"/>
    <n v="10"/>
    <x v="0"/>
    <x v="0"/>
    <x v="0"/>
    <d v="2026-01-05T00:00:00"/>
    <n v="3"/>
    <n v="264400"/>
    <n v="264400"/>
    <n v="264400"/>
    <n v="264400"/>
    <n v="264400"/>
    <n v="264400"/>
    <n v="3"/>
  </r>
  <r>
    <s v="10/12/2025"/>
    <s v="2025-9720"/>
    <s v="Higher Education Awards"/>
    <s v="Matt Lourens"/>
    <s v="lourensmattj@gmail.com"/>
    <s v="Submitted"/>
    <s v="Under Review"/>
    <x v="1"/>
    <x v="1"/>
    <x v="0"/>
    <x v="0"/>
    <s v="EM"/>
    <s v="Complete"/>
    <s v="Completed"/>
    <x v="0"/>
    <s v="Stellenbosch University"/>
    <s v="Quantum Many-Body Physics"/>
    <s v="Automated variational ansatz design for quantum many-body systems"/>
    <s v="Nabanita "/>
    <s v="Matthew"/>
    <s v="Mathew Moodley"/>
    <s v="Nabanita Chatterjee"/>
    <n v="69.444444444444443"/>
    <n v="88.888888888888886"/>
    <n v="79.166666666666657"/>
    <n v="3"/>
    <n v="4"/>
    <n v="7"/>
    <x v="1"/>
    <x v="0"/>
    <x v="0"/>
    <d v="2026-01-12T00:00:00"/>
    <n v="2"/>
    <n v="294600"/>
    <n v="308580"/>
    <n v="0"/>
    <n v="294600"/>
    <n v="308580"/>
    <n v="0"/>
    <n v="3"/>
  </r>
  <r>
    <s v="10/12/2025"/>
    <s v="2025-8413"/>
    <s v="Higher Education Awards"/>
    <s v="Charlize Hermans"/>
    <s v="charlizehermans08@gmail.com"/>
    <s v="Submitted"/>
    <s v="Under Review"/>
    <x v="2"/>
    <x v="2"/>
    <x v="1"/>
    <x v="0"/>
    <s v="EM"/>
    <s v="Complete"/>
    <s v="Completed"/>
    <x v="1"/>
    <s v="University of Western Cape"/>
    <s v="First"/>
    <s v="Sociopolitical history"/>
    <s v="David Johnson"/>
    <s v="Lindy"/>
    <s v="David Johnson"/>
    <s v="Lindy Stiebel"/>
    <n v="89.285714285714292"/>
    <n v="82.142857142857139"/>
    <n v="85.714285714285722"/>
    <n v="4"/>
    <n v="3"/>
    <n v="7"/>
    <x v="1"/>
    <x v="0"/>
    <x v="0"/>
    <d v="2026-02-09T00:00:00"/>
    <n v="3"/>
    <n v="260607"/>
    <n v="215000"/>
    <n v="215000"/>
    <n v="260607"/>
    <n v="215000"/>
    <n v="215000"/>
    <n v="3"/>
  </r>
  <r>
    <s v="10/12/2025"/>
    <s v="2025-9284"/>
    <s v="Higher Education Awards"/>
    <s v="Denny Mabetha"/>
    <s v="denny.mabetha@wits.ac.za"/>
    <s v="Submitted"/>
    <s v="Under Review"/>
    <x v="2"/>
    <x v="0"/>
    <x v="1"/>
    <x v="0"/>
    <s v="EM"/>
    <s v="Complete"/>
    <s v="Completed"/>
    <x v="4"/>
    <s v="University of the Witwatersrand"/>
    <s v="Implementation Public Health research"/>
    <s v="HIV prevention services for young men"/>
    <s v="Nicola"/>
    <s v="Riffat"/>
    <s v="Nicola Christofides"/>
    <s v="Riffat Munir"/>
    <n v="92.857142857142861"/>
    <n v="67.857142857142861"/>
    <n v="80.357142857142861"/>
    <n v="4"/>
    <n v="4"/>
    <n v="8"/>
    <x v="1"/>
    <x v="1"/>
    <x v="0"/>
    <d v="2024-02-06T00:00:00"/>
    <n v="2"/>
    <n v="283000"/>
    <n v="420000"/>
    <n v="0"/>
    <n v="283000"/>
    <n v="350000"/>
    <n v="0"/>
    <n v="3"/>
  </r>
  <r>
    <s v="10/12/2025"/>
    <s v="2025-9271"/>
    <s v="Higher Education Awards"/>
    <s v="Alex Pennington"/>
    <s v="zoopennington@gmail.com"/>
    <s v="Submitted"/>
    <s v="Under Review"/>
    <x v="2"/>
    <x v="1"/>
    <x v="0"/>
    <x v="0"/>
    <s v="EM"/>
    <s v="Complete"/>
    <s v="Completed"/>
    <x v="1"/>
    <s v="Nelson Mandela University"/>
    <s v="Philosophy"/>
    <s v="An image of a dialogical practices that enhances our capacities to relate"/>
    <s v="David"/>
    <s v="Puleng"/>
    <s v="David Medalie"/>
    <s v="Puleng Segalo"/>
    <n v="85.714285714285708"/>
    <n v="85.714285714285708"/>
    <n v="85.714285714285708"/>
    <n v="4"/>
    <n v="3"/>
    <n v="7"/>
    <x v="1"/>
    <x v="0"/>
    <x v="0"/>
    <d v="2026-01-01T00:00:00"/>
    <n v="3"/>
    <n v="337880"/>
    <n v="327215"/>
    <n v="342203"/>
    <n v="337880"/>
    <n v="327215"/>
    <n v="342203"/>
    <n v="3"/>
  </r>
  <r>
    <s v="10/12/2025"/>
    <s v="2025-10086"/>
    <s v="Higher Education Awards"/>
    <s v="Andile Ramalamula"/>
    <s v="zaneleandile@gmail.com"/>
    <s v="Submitted"/>
    <s v="Under Review"/>
    <x v="0"/>
    <x v="0"/>
    <x v="1"/>
    <x v="0"/>
    <s v="EM"/>
    <s v="Complete"/>
    <s v="Completed"/>
    <x v="3"/>
    <s v="University of Free State"/>
    <s v=" MSc in Environmental Management"/>
    <s v="INVESTIGATING THE DYNAMICS OF PFAS REMOVAL IN A CONSTRUCTED WETLAND IN A PROTECTED AREA, SOUTH AFRICA"/>
    <s v="Maryna"/>
    <s v="Romano"/>
    <s v="Maryna de Wit"/>
    <s v="Romano Lottering"/>
    <n v="71.428571428571431"/>
    <n v="71.428571428571431"/>
    <n v="71.428571428571431"/>
    <n v="3"/>
    <n v="3"/>
    <n v="6"/>
    <x v="0"/>
    <x v="0"/>
    <x v="0"/>
    <d v="2025-01-13T00:00:00"/>
    <n v="1"/>
    <n v="220000"/>
    <n v="0"/>
    <n v="0"/>
    <n v="220000"/>
    <n v="0"/>
    <n v="0"/>
    <n v="3"/>
  </r>
  <r>
    <s v="10/12/2025"/>
    <s v="2025-10031"/>
    <s v="Higher Education Awards"/>
    <s v="Ndivhuwo Shumbula"/>
    <s v="ndivhuwos@mintek.co.za"/>
    <s v="Submitted"/>
    <s v="Under Review"/>
    <x v="1"/>
    <x v="0"/>
    <x v="0"/>
    <x v="0"/>
    <s v="EM"/>
    <s v="Complete"/>
    <s v="Completed"/>
    <x v="0"/>
    <s v="University of the Witwatersrand"/>
    <s v="Nanotechnology and Material Science"/>
    <s v="Fabrication of 2D nanomaterials for the detection of water pathogens"/>
    <s v="Katherine"/>
    <s v="Mzamo"/>
    <s v="Katherine de Villiers"/>
    <s v="Mzamo Shozi"/>
    <n v="83.333333333333343"/>
    <n v="72.222222222222214"/>
    <n v="77.777777777777771"/>
    <n v="5"/>
    <n v="4"/>
    <n v="9"/>
    <x v="1"/>
    <x v="0"/>
    <x v="0"/>
    <d v="2026-01-05T00:00:00"/>
    <n v="2"/>
    <n v="460000"/>
    <n v="460000"/>
    <n v="0"/>
    <n v="460000"/>
    <n v="460000"/>
    <n v="0"/>
    <n v="3"/>
  </r>
  <r>
    <s v="10/12/2025"/>
    <s v="2025-9645"/>
    <s v="Higher Education Awards"/>
    <s v="Robert Dugmore"/>
    <s v="rtdugmore@gmail.com"/>
    <s v="Submitted"/>
    <s v="Under Review"/>
    <x v="0"/>
    <x v="1"/>
    <x v="0"/>
    <x v="0"/>
    <s v="EM"/>
    <s v="Complete"/>
    <s v="Completed"/>
    <x v="5"/>
    <s v="University of Cape Town"/>
    <s v="MSc Eng in Electrical Engineering"/>
    <s v="Development of a ship-mounted RADAR sea-ice depth sensor"/>
    <s v="Lesedi"/>
    <s v="Pieter"/>
    <s v="Lesedi Masisi"/>
    <s v="Pieter Pistorius"/>
    <n v="92.857142857142861"/>
    <n v="75"/>
    <n v="83.928571428571431"/>
    <n v="4"/>
    <n v="4"/>
    <n v="8"/>
    <x v="1"/>
    <x v="1"/>
    <x v="1"/>
    <d v="2025-02-03T00:00:00"/>
    <n v="1"/>
    <n v="253000"/>
    <n v="0"/>
    <n v="0"/>
    <n v="250000"/>
    <n v="0"/>
    <n v="0"/>
    <n v="3"/>
  </r>
  <r>
    <s v="10/12/2025"/>
    <s v="2025-9825"/>
    <s v="Higher Education Awards"/>
    <s v="Oluwadamilola Makinde"/>
    <s v="makinde2020@gmail.com"/>
    <s v="Submitted"/>
    <s v="Under Review"/>
    <x v="1"/>
    <x v="0"/>
    <x v="0"/>
    <x v="0"/>
    <s v="EM"/>
    <s v="Complete"/>
    <s v="Completed"/>
    <x v="3"/>
    <s v="North West university, Potchefstroom campus, South Africa"/>
    <s v="Postdoctoral scholarship in Food Microbiology and food Safety"/>
    <s v="fungal and mycotoxin assessment of Tigernut (Cyperus esculentus) and its milk product"/>
    <s v="Martin"/>
    <s v="Tuan"/>
    <s v="Martin Coetzee"/>
    <s v="Tuan Duong"/>
    <n v="88.888888888888886"/>
    <n v="66.666666666666657"/>
    <n v="77.777777777777771"/>
    <n v="4"/>
    <n v="2"/>
    <n v="6"/>
    <x v="0"/>
    <x v="0"/>
    <x v="0"/>
    <d v="2026-01-01T00:00:00"/>
    <n v="2"/>
    <n v="336668"/>
    <n v="336668"/>
    <n v="0"/>
    <n v="336668"/>
    <n v="336668"/>
    <n v="0"/>
    <n v="3"/>
  </r>
  <r>
    <s v="10/12/2025"/>
    <s v="2025-9926"/>
    <s v="Higher Education Awards"/>
    <s v="Gavin Foster"/>
    <s v="fstgav002@myuct.ac.za"/>
    <s v="Submitted"/>
    <s v="Under Review"/>
    <x v="2"/>
    <x v="1"/>
    <x v="0"/>
    <x v="0"/>
    <s v="EM"/>
    <s v="Complete"/>
    <s v="Completed"/>
    <x v="5"/>
    <s v="University of Cape Town"/>
    <s v="Doctor of Philosophy (Electrical Engineering)"/>
    <s v="Template-based understanding of the control of bipedal agility"/>
    <s v="Lesedi"/>
    <s v="Pieter"/>
    <s v="Lesedi Masisi"/>
    <s v="Pieter Pistorius"/>
    <n v="78.571428571428569"/>
    <n v="60.714285714285708"/>
    <n v="69.642857142857139"/>
    <n v="4"/>
    <n v="3"/>
    <n v="7"/>
    <x v="0"/>
    <x v="0"/>
    <x v="0"/>
    <d v="2026-02-18T00:00:00"/>
    <n v="3"/>
    <n v="255170"/>
    <n v="260510"/>
    <n v="266648"/>
    <n v="255170"/>
    <n v="260510"/>
    <n v="266648"/>
    <n v="3"/>
  </r>
  <r>
    <s v="10/12/2025"/>
    <s v="2025-8588"/>
    <s v="Higher Education Awards"/>
    <s v="Palesa Seganye"/>
    <s v="1573774@students.wits.ac.za"/>
    <s v="Submitted"/>
    <s v="Under Review"/>
    <x v="0"/>
    <x v="0"/>
    <x v="1"/>
    <x v="0"/>
    <s v="EM"/>
    <s v="Complete"/>
    <s v="Completed"/>
    <x v="0"/>
    <s v="University of the Witwatersrand (WITS)"/>
    <s v="Master of Science in Chemistry"/>
    <s v="THE SYNTHESIS AND BIOLOGICAL EVALUATION OF ISOQUINOLINE DERIVATIVES AS NEW, POTENTIAL TRANSMISSION-BLOCKING COMPOUNDS IN THE FIGHT AGAINST MALARIA"/>
    <s v="Katherine"/>
    <s v="Mzamo"/>
    <s v="Katherine de Villiers"/>
    <s v="Mzamo Shozi"/>
    <n v="53.571428571428569"/>
    <n v="60.714285714285708"/>
    <n v="57.142857142857139"/>
    <n v="3"/>
    <n v="2"/>
    <n v="5"/>
    <x v="0"/>
    <x v="0"/>
    <x v="0"/>
    <d v="2025-01-01T00:00:00"/>
    <n v="1"/>
    <n v="157998"/>
    <n v="0"/>
    <n v="0"/>
    <n v="157998"/>
    <n v="0"/>
    <n v="0"/>
    <n v="3"/>
  </r>
  <r>
    <s v="10/12/2025"/>
    <s v="2025-8812"/>
    <s v="Higher Education Awards"/>
    <s v="Nomabhongo Masana"/>
    <s v="nnomabhongo@gmail.com"/>
    <s v="Submitted"/>
    <s v="Under Review"/>
    <x v="2"/>
    <x v="0"/>
    <x v="1"/>
    <x v="0"/>
    <s v="EM"/>
    <s v="Complete"/>
    <s v="Completed"/>
    <x v="2"/>
    <s v="University of the Witwatersrand, Johannesburg"/>
    <s v="PhD in Information Systems"/>
    <s v="Towards a context-specific framework for improving EHR data quality for Big Data Analytics: A case study of a South African public hospital"/>
    <s v="Ekaete"/>
    <s v="Philippe"/>
    <s v="Ekaete Benedict"/>
    <s v="Philippe Burger"/>
    <n v="92.857142857142861"/>
    <n v="71.428571428571431"/>
    <n v="82.142857142857139"/>
    <n v="5"/>
    <n v="2"/>
    <n v="7"/>
    <x v="1"/>
    <x v="0"/>
    <x v="0"/>
    <d v="2026-01-01T00:00:00"/>
    <n v="3"/>
    <n v="195876.4"/>
    <n v="196264"/>
    <n v="205890.44"/>
    <n v="195876.4"/>
    <n v="196264"/>
    <n v="205890.44"/>
    <n v="3"/>
  </r>
  <r>
    <s v="10/12/2025"/>
    <s v="2025-8513"/>
    <s v="Higher Education Awards"/>
    <s v="Raphael De Sousa"/>
    <s v="raphaeldesousa2003@gmail.com"/>
    <s v="Submitted"/>
    <s v="Under Review"/>
    <x v="0"/>
    <x v="1"/>
    <x v="0"/>
    <x v="0"/>
    <s v="EM"/>
    <s v="Complete"/>
    <s v="Completed"/>
    <x v="0"/>
    <s v="UCT"/>
    <s v="MSc in Applied Mathematics"/>
    <s v="Applied Mathematics"/>
    <s v="Edzai"/>
    <s v="Nora"/>
    <s v="Edzai Zvobwo"/>
    <s v="Nora Alexeeva"/>
    <n v="78.571428571428569"/>
    <n v="100"/>
    <n v="89.285714285714278"/>
    <n v="4"/>
    <n v="5"/>
    <n v="9"/>
    <x v="1"/>
    <x v="1"/>
    <x v="0"/>
    <d v="2026-01-01T00:00:00"/>
    <n v="2"/>
    <n v="176000"/>
    <n v="176000"/>
    <n v="0"/>
    <n v="176000"/>
    <n v="176000"/>
    <n v="0"/>
    <n v="3"/>
  </r>
  <r>
    <s v="10/12/2025"/>
    <s v="2025-8225"/>
    <s v="Higher Education Awards"/>
    <s v="LERATO MLABA"/>
    <s v="leratomlaba1@gmail.com"/>
    <s v="Submitted"/>
    <s v="Under Review"/>
    <x v="0"/>
    <x v="0"/>
    <x v="1"/>
    <x v="0"/>
    <s v="EM"/>
    <s v="Complete"/>
    <s v="Completed"/>
    <x v="1"/>
    <s v="University of Witwatersrand"/>
    <s v="Master of Education Degree in Science Education"/>
    <s v="Exploring Effective Digital and Non-Digital Gamification Methods in Physical Science Lessons"/>
    <s v="Khwezi"/>
    <s v="Robert"/>
    <s v="Khwezi Mkhize"/>
    <s v="Robert Peacock"/>
    <n v="75"/>
    <n v="67.857142857142861"/>
    <n v="71.428571428571431"/>
    <n v="4"/>
    <n v="3"/>
    <n v="7"/>
    <x v="0"/>
    <x v="0"/>
    <x v="0"/>
    <d v="2026-06-24T00:00:00"/>
    <n v="2"/>
    <n v="246981.4"/>
    <n v="246981.4"/>
    <n v="0"/>
    <n v="246981.4"/>
    <n v="246981.4"/>
    <n v="0"/>
    <n v="3"/>
  </r>
  <r>
    <s v="10/12/2025"/>
    <s v="2025-8662"/>
    <s v="Higher Education Awards"/>
    <s v="Natalie Bezerra"/>
    <s v="23798629@sun.ac.za"/>
    <s v="Submitted"/>
    <s v="Under Review"/>
    <x v="0"/>
    <x v="1"/>
    <x v="1"/>
    <x v="0"/>
    <s v="EM"/>
    <s v="Complete"/>
    <s v="Completed"/>
    <x v="3"/>
    <s v="Stellenbosch University"/>
    <s v="MSc in Microbiology"/>
    <s v="Investigating the influence of physicochemical factors on the expression of antibiotic resistance genes across wastewater-freshwater networks in South Africa"/>
    <s v="Martin"/>
    <s v="Tuan"/>
    <s v="Martin Coetzee"/>
    <s v="Tuan Duong"/>
    <n v="60.714285714285708"/>
    <n v="50"/>
    <n v="55.357142857142854"/>
    <n v="3"/>
    <n v="2"/>
    <n v="5"/>
    <x v="0"/>
    <x v="0"/>
    <x v="0"/>
    <d v="2025-02-03T00:00:00"/>
    <n v="1"/>
    <n v="204516"/>
    <n v="0"/>
    <n v="0"/>
    <n v="204516"/>
    <n v="0"/>
    <n v="0"/>
    <n v="3"/>
  </r>
  <r>
    <s v="10/12/2025"/>
    <s v="2025-10078"/>
    <s v="Higher Education Awards"/>
    <s v="Rabelani Mudzuli"/>
    <s v="rabemudzuli@icloud.com"/>
    <s v="Submitted"/>
    <s v="Under Review"/>
    <x v="0"/>
    <x v="0"/>
    <x v="1"/>
    <x v="0"/>
    <s v="EM"/>
    <s v="Complete"/>
    <s v="Completed"/>
    <x v="4"/>
    <s v="University of Pretoria"/>
    <s v="MSc specialising in Medical Virology"/>
    <s v="Human Papillomavirus (HPV) Research, Vaccinology, Phylogenetic lineages and understanding the genetic relatedness between the high risk-HPV variants, Epitope analysis"/>
    <s v="Mandeep"/>
    <s v="Zane"/>
    <s v="Mandeep Kaur"/>
    <s v="Zane Lombard"/>
    <n v="82.142857142857139"/>
    <n v="92.857142857142861"/>
    <n v="87.5"/>
    <n v="4"/>
    <n v="5"/>
    <n v="9"/>
    <x v="1"/>
    <x v="1"/>
    <x v="0"/>
    <d v="2026-01-05T00:00:00"/>
    <n v="1"/>
    <n v="126555"/>
    <n v="0"/>
    <n v="0"/>
    <n v="126555"/>
    <n v="0"/>
    <n v="0"/>
    <n v="3"/>
  </r>
  <r>
    <s v="10/12/2025"/>
    <s v="2025-9935"/>
    <s v="Higher Education Awards"/>
    <s v="Motshabi Selinah Ntsoeu"/>
    <s v="malaika.ntsoeu@gmail.com"/>
    <s v="Submitted"/>
    <s v="Under Review"/>
    <x v="0"/>
    <x v="0"/>
    <x v="1"/>
    <x v="0"/>
    <s v="EM"/>
    <s v="Complete"/>
    <s v="Completed"/>
    <x v="1"/>
    <s v="University of the Witwatersrand"/>
    <s v="MA in Cultural Policy Management Research in Course Work"/>
    <s v="Topic: Challenges Faced by Artist-Founders in the Daily Running, Strategic Development, Growth, and Sustainability of Arts Organizations in Ekurhuleni, South Africa: A Case Study of Three Arts Organizations"/>
    <s v="Nonki"/>
    <s v="Brian"/>
    <s v="Brian Sibanda"/>
    <s v="Nonki Motahane"/>
    <n v="67.857142857142861"/>
    <n v="75"/>
    <n v="71.428571428571431"/>
    <n v="4"/>
    <n v="3"/>
    <n v="7"/>
    <x v="0"/>
    <x v="0"/>
    <x v="0"/>
    <d v="2026-01-06T00:00:00"/>
    <n v="2"/>
    <n v="105959"/>
    <n v="105959"/>
    <n v="0"/>
    <n v="105959"/>
    <n v="105959"/>
    <n v="0"/>
    <n v="2"/>
  </r>
  <r>
    <s v="10/12/2025"/>
    <s v="2025-9958"/>
    <s v="Higher Education Awards"/>
    <s v="Simone Barry"/>
    <s v="simonebarry84@gmail.com"/>
    <s v="Submitted"/>
    <s v="Under Review"/>
    <x v="1"/>
    <x v="2"/>
    <x v="1"/>
    <x v="0"/>
    <s v="EM"/>
    <s v="Complete"/>
    <s v="Completed"/>
    <x v="3"/>
    <s v="University of the Western Cape"/>
    <s v="Postdoctoral Research Fellow in Nano-Chemistry and Electrochemistry"/>
    <s v="Electrochemical detection of tyramine using biogenically synthesized iron-zinc nanocomposites"/>
    <s v="Almuth"/>
    <s v="Neriman"/>
    <s v="Almuth Hammerbacher"/>
    <s v="Neriman Yilmaz"/>
    <n v="77.777777777777786"/>
    <n v="80.555555555555557"/>
    <n v="79.166666666666671"/>
    <n v="4"/>
    <n v="3"/>
    <n v="7"/>
    <x v="1"/>
    <x v="0"/>
    <x v="0"/>
    <d v="2026-01-05T00:00:00"/>
    <n v="2"/>
    <n v="305000"/>
    <n v="305000"/>
    <n v="0"/>
    <n v="305000"/>
    <n v="305000"/>
    <n v="0"/>
    <n v="3"/>
  </r>
  <r>
    <s v="10/12/2025"/>
    <s v="2025-9598"/>
    <s v="Higher Education Awards"/>
    <s v="Thandiwe Ntomfuthi Mkhatshwa"/>
    <s v="thandiwe.mkhatshwa@ul.ac.za"/>
    <s v="Submitted"/>
    <s v="Under Review"/>
    <x v="2"/>
    <x v="0"/>
    <x v="1"/>
    <x v="0"/>
    <s v="EM"/>
    <s v="Complete"/>
    <s v="Completed"/>
    <x v="4"/>
    <s v="University of Limpopo"/>
    <s v="Doctor of philosophy (Physiology)"/>
    <s v="Investigating The Potential Causal Associations Between Dietary Intake, The Renin-Angiotensin-Aldosterone System, And Blood Pressure Among Young Adults: Ellisras Longitudinal Study"/>
    <s v="Janetta"/>
    <s v="John"/>
    <s v="Janetta Harbron"/>
    <s v="John Pettifor"/>
    <n v="78.571428571428569"/>
    <n v="75"/>
    <n v="76.785714285714278"/>
    <n v="4"/>
    <n v="3"/>
    <n v="7"/>
    <x v="1"/>
    <x v="0"/>
    <x v="0"/>
    <d v="2025-03-19T00:00:00"/>
    <n v="3"/>
    <n v="172000"/>
    <n v="202000"/>
    <n v="202000"/>
    <n v="172000"/>
    <n v="202000"/>
    <n v="202000"/>
    <n v="3"/>
  </r>
  <r>
    <s v="10/12/2025"/>
    <s v="2025-9817"/>
    <s v="Higher Education Awards"/>
    <s v="Benjamin Abraham"/>
    <s v="abrahamb@sun.ac.za"/>
    <s v="Submitted"/>
    <s v="Under Review"/>
    <x v="1"/>
    <x v="4"/>
    <x v="0"/>
    <x v="0"/>
    <s v="EM"/>
    <s v="Complete"/>
    <s v="Completed"/>
    <x v="3"/>
    <s v="University of Pretoria"/>
    <s v="Microbiology"/>
    <s v="Understanding Seagrass Resilience and Viral Evolution under Anthropogenic Stress in South African Coastal Regions"/>
    <s v="Martin"/>
    <s v="Tuan"/>
    <s v="Martin Coetzee"/>
    <s v="Tuan Duong"/>
    <n v="61.111111111111114"/>
    <n v="44.444444444444443"/>
    <n v="52.777777777777779"/>
    <n v="2"/>
    <n v="1"/>
    <n v="3"/>
    <x v="0"/>
    <x v="0"/>
    <x v="0"/>
    <d v="2026-02-02T00:00:00"/>
    <n v="2"/>
    <n v="260000"/>
    <n v="260000"/>
    <n v="0"/>
    <n v="260000"/>
    <n v="260000"/>
    <n v="0"/>
    <n v="3"/>
  </r>
  <r>
    <s v="10/12/2025"/>
    <s v="2025-10045"/>
    <s v="Higher Education Awards"/>
    <s v="Dzanga Rambuda"/>
    <s v="dzangarambuda839@gmail.com"/>
    <s v="Submitted"/>
    <s v="Under Review"/>
    <x v="0"/>
    <x v="0"/>
    <x v="1"/>
    <x v="0"/>
    <s v="EM"/>
    <s v="Complete"/>
    <s v="Completed"/>
    <x v="0"/>
    <s v="01 February 2026"/>
    <s v="AI-Driven Ingredient Risk Detection in South African Beauty Products Listings : A Computational Toxicology Approach"/>
    <s v="University of Mpumalanga"/>
    <s v="Clint"/>
    <s v="Daniel"/>
    <s v="Clint van Alten"/>
    <s v="Daniel Ramotsoela"/>
    <n v="67.857142857142861"/>
    <n v="57.142857142857139"/>
    <n v="62.5"/>
    <n v="3"/>
    <n v="2"/>
    <n v="5"/>
    <x v="0"/>
    <x v="0"/>
    <x v="0"/>
    <d v="2026-02-01T00:00:00"/>
    <n v="2"/>
    <n v="100000"/>
    <n v="70000"/>
    <n v="0"/>
    <n v="100000"/>
    <n v="70000"/>
    <n v="0"/>
    <n v="2"/>
  </r>
  <r>
    <s v="10/12/2025"/>
    <s v="2025-9667"/>
    <s v="Higher Education Awards"/>
    <s v="Sandiswa Thobeka Mntambo"/>
    <s v="mntambosandiswa@gmail.com"/>
    <s v="Revisions Requested"/>
    <s v="Under Review"/>
    <x v="0"/>
    <x v="0"/>
    <x v="1"/>
    <x v="0"/>
    <s v="EM"/>
    <s v="Complete, No degree copy"/>
    <s v="Completed"/>
    <x v="3"/>
    <s v="University of Zululand"/>
    <s v="MSc (Agriculture) (Plant Sciences)"/>
    <s v="Assessment of Agro-morphological, Physiological, and Biochemical Responses of Sesamum alatum to Soil Salinity"/>
    <s v="Almuth"/>
    <s v="Neriman"/>
    <s v="Almuth Hammerbacher"/>
    <s v="Neriman Yilmaz"/>
    <n v="75"/>
    <n v="78.571428571428569"/>
    <n v="76.785714285714278"/>
    <n v="4"/>
    <n v="3"/>
    <n v="7"/>
    <x v="1"/>
    <x v="0"/>
    <x v="0"/>
    <d v="2026-02-02T00:00:00"/>
    <n v="2"/>
    <n v="126000"/>
    <n v="99500"/>
    <n v="0"/>
    <n v="126000"/>
    <n v="99500"/>
    <n v="0"/>
    <n v="3"/>
  </r>
  <r>
    <s v="10/12/2025"/>
    <s v="2025-9871"/>
    <s v="Higher Education Awards"/>
    <s v="Mandita Rakei"/>
    <s v="2303880@students.wits.ac.za"/>
    <s v="Submitted"/>
    <s v="Under Review"/>
    <x v="0"/>
    <x v="0"/>
    <x v="1"/>
    <x v="0"/>
    <s v="EM"/>
    <s v="Complete"/>
    <s v="Completed"/>
    <x v="0"/>
    <s v="University of the Witswatersrand"/>
    <s v="Masters of Science in Computational and Applied Mathematics"/>
    <s v="Fluid Dynamics: Mathematical Models for Wind Turbines"/>
    <s v="Edzai"/>
    <s v="Nora"/>
    <s v="Edzai Zvobwo"/>
    <s v="Nora Alexeeva"/>
    <n v="75"/>
    <n v="85.714285714285708"/>
    <n v="80.357142857142861"/>
    <n v="5"/>
    <n v="4"/>
    <n v="9"/>
    <x v="1"/>
    <x v="1"/>
    <x v="0"/>
    <d v="2026-02-09T00:00:00"/>
    <n v="2"/>
    <n v="144000"/>
    <n v="144000"/>
    <n v="0"/>
    <n v="144000"/>
    <n v="144000"/>
    <n v="0"/>
    <n v="3"/>
  </r>
  <r>
    <s v="10/12/2025"/>
    <s v="2025-9194"/>
    <s v="Higher Education Awards"/>
    <s v="Ramakgahlela Betty Sebati"/>
    <s v="bettysebati800@gmail.com"/>
    <s v="Submitted"/>
    <s v="Under Review"/>
    <x v="1"/>
    <x v="0"/>
    <x v="1"/>
    <x v="0"/>
    <s v="EM"/>
    <s v="Complete"/>
    <s v="Completed"/>
    <x v="4"/>
    <s v="University of Johannesburg"/>
    <s v="Public Health"/>
    <s v="The impact of U.S. Agency for International Development [USAID] 2025 funding termination on the HIV response in South Africa: Outcomes, implications and sustainability"/>
    <s v="Gill"/>
    <s v="Moses"/>
    <s v="Gill Nelson"/>
    <s v="Moses Alobo"/>
    <n v="88.888888888888886"/>
    <n v="88.888888888888886"/>
    <n v="88.888888888888886"/>
    <n v="5"/>
    <n v="5"/>
    <n v="10"/>
    <x v="1"/>
    <x v="1"/>
    <x v="2"/>
    <d v="2026-01-12T00:00:00"/>
    <n v="2"/>
    <n v="315000"/>
    <n v="325000"/>
    <n v="275000"/>
    <n v="315000"/>
    <n v="325000"/>
    <n v="275000"/>
    <n v="3"/>
  </r>
  <r>
    <s v="10/12/2025"/>
    <s v="2025-7883"/>
    <s v="Higher Education Awards"/>
    <s v="Alistair Christmas"/>
    <s v="21861404@sun.ac.za"/>
    <s v="Submitted"/>
    <s v="Under Review"/>
    <x v="0"/>
    <x v="1"/>
    <x v="0"/>
    <x v="0"/>
    <s v="EM"/>
    <s v="Complete"/>
    <s v="Completed"/>
    <x v="3"/>
    <s v="Stellenbosch University"/>
    <s v="MSc Microbiology"/>
    <s v="Parisitology, Gut microbiome, mouse study"/>
    <s v="Martin"/>
    <s v="Tuan"/>
    <s v="Martin Coetzee"/>
    <s v="Tuan Duong"/>
    <n v="85.714285714285708"/>
    <n v="50"/>
    <n v="67.857142857142861"/>
    <n v="5"/>
    <n v="2"/>
    <n v="7"/>
    <x v="0"/>
    <x v="0"/>
    <x v="0"/>
    <d v="2025-01-14T00:00:00"/>
    <n v="1"/>
    <n v="110400"/>
    <n v="0"/>
    <n v="0"/>
    <n v="110400"/>
    <n v="0"/>
    <n v="0"/>
    <n v="3"/>
  </r>
  <r>
    <s v="10/12/2025"/>
    <s v="2025-9996"/>
    <s v="Higher Education Awards"/>
    <s v="Micaela Boardman"/>
    <s v="micciboardman@gmail.com"/>
    <s v="Submitted"/>
    <s v="Under Review"/>
    <x v="0"/>
    <x v="1"/>
    <x v="1"/>
    <x v="0"/>
    <s v="EM"/>
    <s v="Complete"/>
    <s v="Completed"/>
    <x v="4"/>
    <s v="University of Cape Town"/>
    <s v="MCB5005W (Master of Science by dissertation in Molecular and Cellular Biology)"/>
    <s v="Molecular and cellular biology"/>
    <s v="Abdullah"/>
    <s v="Demetra"/>
    <s v="Abdullah Ely"/>
    <s v="Demetra Mavri-Damelin"/>
    <n v="78.571428571428569"/>
    <n v="71.428571428571431"/>
    <n v="75"/>
    <n v="3"/>
    <n v="4"/>
    <n v="7"/>
    <x v="0"/>
    <x v="0"/>
    <x v="0"/>
    <d v="2026-02-16T00:00:00"/>
    <n v="2"/>
    <n v="258426.23999999999"/>
    <n v="271245.05"/>
    <n v="0"/>
    <n v="258426.23999999999"/>
    <n v="271245.05"/>
    <n v="0"/>
    <n v="3"/>
  </r>
  <r>
    <s v="10/12/2025"/>
    <s v="2025-9835"/>
    <s v="Higher Education Awards"/>
    <s v="Carly Burmeister"/>
    <s v="carlyburmeister6@gmail.com"/>
    <s v="Submitted"/>
    <s v="Under Review"/>
    <x v="1"/>
    <x v="1"/>
    <x v="1"/>
    <x v="0"/>
    <s v="EM"/>
    <s v="Complete"/>
    <s v="Completed"/>
    <x v="4"/>
    <s v="University of Cape Town"/>
    <s v="Postdoctoral fellow in Medical Cell Biology"/>
    <s v="Cancer research specialising in cervical cancer"/>
    <s v="Rupal"/>
    <s v="Shaheen"/>
    <s v="Rupal Jival"/>
    <s v="Shaheen Mowla"/>
    <n v="91.666666666666657"/>
    <n v="80.555555555555557"/>
    <n v="86.111111111111114"/>
    <n v="5"/>
    <n v="4"/>
    <n v="9"/>
    <x v="1"/>
    <x v="1"/>
    <x v="0"/>
    <d v="2026-01-01T00:00:00"/>
    <n v="1"/>
    <n v="280000"/>
    <n v="0"/>
    <n v="0"/>
    <n v="280000"/>
    <n v="0"/>
    <n v="0"/>
    <n v="3"/>
  </r>
  <r>
    <s v="10/12/2025"/>
    <s v="2025-10009"/>
    <s v="Higher Education Awards"/>
    <s v="Matlhogonolo Rapelang Mookisi"/>
    <s v="mookisirapelang@gmail.com"/>
    <s v="Submitted"/>
    <s v="Under Review"/>
    <x v="0"/>
    <x v="0"/>
    <x v="1"/>
    <x v="0"/>
    <s v="EM"/>
    <s v="Complete"/>
    <s v="Completed"/>
    <x v="4"/>
    <s v="Stellenbosch University"/>
    <s v="Microbiology"/>
    <s v="Parasitology and host-pathogen interactions"/>
    <s v="Raymond"/>
    <s v="Shahidul"/>
    <s v="Md. Shahidul Islam"/>
    <s v="Raymond Hewer"/>
    <n v="67.857142857142861"/>
    <n v="71.428571428571431"/>
    <n v="69.642857142857139"/>
    <n v="3"/>
    <n v="3"/>
    <n v="6"/>
    <x v="0"/>
    <x v="0"/>
    <x v="0"/>
    <d v="2026-02-01T00:00:00"/>
    <n v="2"/>
    <n v="166000"/>
    <n v="156000"/>
    <n v="0"/>
    <n v="166000"/>
    <n v="156000"/>
    <n v="0"/>
    <n v="2"/>
  </r>
  <r>
    <s v="10/12/2025"/>
    <s v="2025-9000"/>
    <s v="Higher Education Awards"/>
    <s v="Cicero Skweza"/>
    <s v="Cwengasikweza98@gmail.com"/>
    <s v="Submitted"/>
    <s v="Under Review"/>
    <x v="0"/>
    <x v="0"/>
    <x v="0"/>
    <x v="0"/>
    <s v="EM"/>
    <s v="Complete"/>
    <s v="Completed"/>
    <x v="6"/>
    <s v="University of South Africa"/>
    <s v="Masters of Art in History"/>
    <s v="The enduring effects of colonialism on Xhosa culture: Land, Identity and social structure (1830- 2004)."/>
    <s v="David Johnson"/>
    <s v="Lindy"/>
    <s v="David Johnson"/>
    <s v="Lindy Stiebel"/>
    <n v="60.714285714285708"/>
    <n v="71.428571428571431"/>
    <n v="66.071428571428569"/>
    <n v="3"/>
    <n v="3"/>
    <n v="6"/>
    <x v="0"/>
    <x v="0"/>
    <x v="0"/>
    <d v="2026-02-02T00:00:00"/>
    <n v="1"/>
    <n v="150000"/>
    <n v="0"/>
    <n v="0"/>
    <n v="150000"/>
    <n v="0"/>
    <n v="0"/>
    <n v="3"/>
  </r>
  <r>
    <s v="10/12/2025"/>
    <s v="2025-9482"/>
    <s v="Higher Education Awards"/>
    <s v="Tamar Abigail Jansen"/>
    <s v="25422685@sun.ac.za"/>
    <s v="Submitted"/>
    <s v="Under Review"/>
    <x v="0"/>
    <x v="2"/>
    <x v="1"/>
    <x v="0"/>
    <s v="EM"/>
    <s v="Complete"/>
    <s v="Completed"/>
    <x v="1"/>
    <s v="University of Stellenbosch"/>
    <s v="MA Ancient Cultures"/>
    <s v="Ancient Assyriology"/>
    <s v="Sam"/>
    <s v="Srila"/>
    <s v="Sam Kariuki"/>
    <s v="Srila Roy"/>
    <n v="78.571428571428569"/>
    <n v="96.428571428571431"/>
    <n v="87.5"/>
    <n v="4"/>
    <n v="5"/>
    <n v="9"/>
    <x v="1"/>
    <x v="1"/>
    <x v="0"/>
    <d v="2025-01-15T00:00:00"/>
    <n v="1"/>
    <n v="178200"/>
    <n v="0"/>
    <n v="0"/>
    <n v="178200"/>
    <n v="0"/>
    <n v="0"/>
    <n v="3"/>
  </r>
  <r>
    <s v="10/12/2025"/>
    <s v="2025-9960"/>
    <s v="Higher Education Awards"/>
    <s v="Brenda Motlalepula Nkareng"/>
    <s v="202001418@spu.ac.za"/>
    <s v="Submitted"/>
    <s v="Under Review"/>
    <x v="0"/>
    <x v="0"/>
    <x v="1"/>
    <x v="0"/>
    <s v="EM"/>
    <s v="Complete"/>
    <s v="Completed"/>
    <x v="1"/>
    <s v="Sol Plaatje University"/>
    <s v="Heritage, Humanities"/>
    <s v="Exploring the effects of cultural environment change on language literacy and identity: A comparative case study of the !Xun and Khwe San communities in Platfontein (South Africa), Bwabwata National Park (Namibia) and Ghanzi District (Botswana)."/>
    <s v="Nonki"/>
    <s v="Brian"/>
    <s v="Brian Sibanda"/>
    <s v="Nonki Motahane"/>
    <n v="64.285714285714292"/>
    <n v="71.428571428571431"/>
    <n v="67.857142857142861"/>
    <n v="4"/>
    <n v="4"/>
    <n v="8"/>
    <x v="0"/>
    <x v="0"/>
    <x v="0"/>
    <d v="2025-03-28T00:00:00"/>
    <n v="1"/>
    <n v="23500"/>
    <n v="0"/>
    <n v="0"/>
    <n v="23500"/>
    <n v="0"/>
    <n v="0"/>
    <n v="3"/>
  </r>
  <r>
    <s v="10/12/2025"/>
    <s v="2025-8690"/>
    <s v="Higher Education Awards"/>
    <s v="Khethani Thendo Mathikhi"/>
    <s v="thendzm@gmail.com"/>
    <s v="Submitted"/>
    <s v="Under Review"/>
    <x v="2"/>
    <x v="0"/>
    <x v="0"/>
    <x v="0"/>
    <s v="EM"/>
    <s v="Complete"/>
    <s v="Completed"/>
    <x v="4"/>
    <s v="University of Cape Town"/>
    <s v="PhD Psychiatry (Neuroscience)"/>
    <s v="An investigation of neurobiological mechanisms involved in neurodevelopmental impairments of offspring exposed to HIV Tat protein in utero: a murine model for HIV-exposed uninfected children"/>
    <s v="Jaya"/>
    <s v="Mary"/>
    <s v="Jaya George"/>
    <s v="Mary Kawonga"/>
    <n v="82.142857142857139"/>
    <n v="78.571428571428569"/>
    <n v="80.357142857142861"/>
    <n v="4"/>
    <n v="4"/>
    <n v="8"/>
    <x v="1"/>
    <x v="1"/>
    <x v="0"/>
    <d v="2025-01-06T00:00:00"/>
    <n v="3"/>
    <n v="213170"/>
    <n v="234487"/>
    <n v="257575.7"/>
    <n v="213170"/>
    <n v="234487"/>
    <n v="257575.7"/>
    <n v="3"/>
  </r>
  <r>
    <s v="10/12/2025"/>
    <s v="2025-9366"/>
    <s v="Higher Education Awards"/>
    <s v="Jonathan Hughes"/>
    <s v="hughesjonathan3@gmail.com"/>
    <s v="Submitted"/>
    <s v="Under Review"/>
    <x v="2"/>
    <x v="1"/>
    <x v="0"/>
    <x v="0"/>
    <s v="EM"/>
    <s v="Complete"/>
    <s v="Completed"/>
    <x v="1"/>
    <s v="Stellenbosch University"/>
    <s v="PhD (Interdisciplinary Arts Studies)"/>
    <s v="Historical and Contemporary Perspectives on Pipe Organs and Organ Playing in South Africa"/>
    <s v="David Johnson"/>
    <s v="Lindy"/>
    <s v="David Johnson"/>
    <s v="Lindy Stiebel"/>
    <n v="100"/>
    <n v="92.857142857142861"/>
    <n v="96.428571428571431"/>
    <n v="5"/>
    <n v="5"/>
    <n v="10"/>
    <x v="1"/>
    <x v="1"/>
    <x v="2"/>
    <d v="2026-01-01T00:00:00"/>
    <n v="3"/>
    <n v="183820"/>
    <n v="163820"/>
    <n v="158820"/>
    <n v="183820"/>
    <n v="163820"/>
    <n v="158820"/>
    <n v="3"/>
  </r>
  <r>
    <s v="10/12/2025"/>
    <s v="2025-9664"/>
    <s v="Higher Education Awards"/>
    <s v="Siboniso Magoso"/>
    <s v="sbohdainnor@gmail.com"/>
    <s v="Submitted"/>
    <s v="Under Review"/>
    <x v="2"/>
    <x v="0"/>
    <x v="0"/>
    <x v="0"/>
    <s v="EM"/>
    <s v="Complete"/>
    <s v="Completed"/>
    <x v="3"/>
    <s v="University of KwaZulu-Natal"/>
    <s v="Ecological Sciences"/>
    <s v="Ecological and health implications for birds in waste disposal sites in KwaZulu-Natal, South Africa"/>
    <s v="Chenaimoyo"/>
    <s v="Francesca"/>
    <s v="Chenaimoyo Katiyatiya"/>
    <s v="Francesca Parrini"/>
    <n v="82.142857142857139"/>
    <n v="82.142857142857139"/>
    <n v="82.142857142857139"/>
    <n v="5"/>
    <n v="5"/>
    <n v="10"/>
    <x v="1"/>
    <x v="1"/>
    <x v="0"/>
    <d v="2026-01-19T00:00:00"/>
    <n v="2"/>
    <n v="116500"/>
    <n v="116500"/>
    <n v="0"/>
    <n v="116500"/>
    <n v="116500"/>
    <n v="0"/>
    <n v="3"/>
  </r>
  <r>
    <s v="10/12/2025"/>
    <s v="2025-9950"/>
    <s v="Higher Education Awards"/>
    <s v="Ronelle Burger"/>
    <s v="rburger@sun.ac.za"/>
    <s v="Submitted"/>
    <s v="Under Review"/>
    <x v="3"/>
    <x v="1"/>
    <x v="1"/>
    <x v="1"/>
    <s v="EM"/>
    <s v="Complete"/>
    <s v="Completed"/>
    <x v="2"/>
    <s v="Bath University; Erasmus University Rotterdam"/>
    <s v="Development Economics and Health Economics"/>
    <s v="Health Inequality"/>
    <s v="Ekaete"/>
    <s v="Philippe"/>
    <s v="Ekaete Benedict"/>
    <s v="Philippe Burger"/>
    <n v="87.5"/>
    <n v="87.5"/>
    <n v="87.5"/>
    <n v="5"/>
    <n v="5"/>
    <n v="10"/>
    <x v="1"/>
    <x v="1"/>
    <x v="1"/>
    <d v="2026-04-01T00:00:00"/>
    <n v="1"/>
    <n v="211500"/>
    <n v="0"/>
    <n v="0"/>
    <n v="212000"/>
    <n v="0"/>
    <n v="0"/>
    <n v="3"/>
  </r>
  <r>
    <s v="10/12/2025"/>
    <s v="2025-9127"/>
    <s v="Higher Education Awards"/>
    <s v="Emma Kruger"/>
    <s v="emmakruger263@gmail.com"/>
    <s v="Submitted"/>
    <s v="Under Review"/>
    <x v="0"/>
    <x v="1"/>
    <x v="1"/>
    <x v="0"/>
    <s v="EM"/>
    <s v="Complete"/>
    <s v="Completed"/>
    <x v="4"/>
    <s v="Stellenbosch University"/>
    <s v="Bioinformatics and Computational Biology"/>
    <s v="Human Genetics"/>
    <s v="Mandeep"/>
    <s v="Zane"/>
    <s v="Mandeep Kaur"/>
    <s v="Zane Lombard"/>
    <n v="75"/>
    <n v="78.571428571428569"/>
    <n v="76.785714285714278"/>
    <n v="3"/>
    <n v="4"/>
    <n v="7"/>
    <x v="1"/>
    <x v="0"/>
    <x v="0"/>
    <d v="2025-01-27T00:00:00"/>
    <n v="1"/>
    <n v="177164"/>
    <n v="0"/>
    <n v="0"/>
    <n v="177164"/>
    <n v="0"/>
    <n v="0"/>
    <n v="3"/>
  </r>
  <r>
    <s v="10/12/2025"/>
    <s v="2025-9961"/>
    <s v="Higher Education Awards"/>
    <s v="Kwakhanya Dyantyi"/>
    <s v="kdyantyi17@gmail.com"/>
    <s v="Submitted"/>
    <s v="Under Review"/>
    <x v="0"/>
    <x v="0"/>
    <x v="1"/>
    <x v="0"/>
    <s v="EM"/>
    <s v="Complete"/>
    <s v="Completed"/>
    <x v="1"/>
    <s v="University of the Free State"/>
    <s v="Masters in Lingustics"/>
    <s v="Cross-linguistics transfer and grammaticality judgments"/>
    <s v="Nonki"/>
    <s v="Brian"/>
    <s v="Brian Sibanda"/>
    <s v="Nonki Motahane"/>
    <n v="64.285714285714292"/>
    <n v="75"/>
    <n v="69.642857142857139"/>
    <n v="4"/>
    <n v="4"/>
    <n v="8"/>
    <x v="0"/>
    <x v="0"/>
    <x v="0"/>
    <d v="2025-02-10T00:00:00"/>
    <n v="1"/>
    <n v="102000"/>
    <n v="0"/>
    <n v="0"/>
    <n v="102000"/>
    <n v="0"/>
    <n v="0"/>
    <n v="3"/>
  </r>
  <r>
    <s v="10/12/2025"/>
    <s v="2025-9952"/>
    <s v="Higher Education Awards"/>
    <s v="Michael Hough"/>
    <s v="gnr.enco@gmail.com"/>
    <s v="Submitted"/>
    <s v="Under Review"/>
    <x v="2"/>
    <x v="1"/>
    <x v="0"/>
    <x v="0"/>
    <s v="EM"/>
    <s v="Complete"/>
    <s v="Completed"/>
    <x v="4"/>
    <s v="Stellenbosch University"/>
    <s v="PhD (Pediatrics)"/>
    <s v="Investigating the factors affecting flourishing amongst healthcare professionals working with TB patients in Namibian Regions"/>
    <s v="Janetta"/>
    <s v="John"/>
    <s v="Janetta Harbron"/>
    <s v="John Pettifor"/>
    <n v="71.428571428571431"/>
    <n v="64.285714285714292"/>
    <n v="67.857142857142861"/>
    <n v="3"/>
    <n v="2"/>
    <n v="5"/>
    <x v="0"/>
    <x v="0"/>
    <x v="0"/>
    <d v="2026-01-01T00:00:00"/>
    <n v="2"/>
    <n v="32016.48"/>
    <n v="70016.479999999996"/>
    <n v="0"/>
    <n v="32016.48"/>
    <n v="70016.479999999996"/>
    <n v="0"/>
    <n v="3"/>
  </r>
  <r>
    <s v="10/12/2025"/>
    <s v="2025-9274"/>
    <s v="Higher Education Awards"/>
    <s v="Luke-John Daniels"/>
    <s v="ljdaniels56@gmail.com"/>
    <s v="Submitted"/>
    <s v="Under Review"/>
    <x v="2"/>
    <x v="2"/>
    <x v="0"/>
    <x v="0"/>
    <s v="EM"/>
    <s v="Complete"/>
    <s v="Completed"/>
    <x v="4"/>
    <s v="Stellenbosch University"/>
    <s v="Anatomy"/>
    <s v="Facial sciences"/>
    <s v="Janetta"/>
    <s v="John"/>
    <s v="Janetta Harbron"/>
    <s v="John Pettifor"/>
    <n v="78.571428571428569"/>
    <n v="78.571428571428569"/>
    <n v="78.571428571428569"/>
    <n v="4"/>
    <n v="3"/>
    <n v="7"/>
    <x v="1"/>
    <x v="0"/>
    <x v="0"/>
    <d v="2024-02-01T00:00:00"/>
    <n v="2"/>
    <n v="70435"/>
    <n v="64885"/>
    <n v="0"/>
    <n v="70435"/>
    <n v="64885"/>
    <n v="0"/>
    <n v="2"/>
  </r>
  <r>
    <s v="10/12/2025"/>
    <s v="2025-9699"/>
    <s v="Higher Education Awards"/>
    <s v="Juliet Nagawa"/>
    <s v="juliet.nagawa@uct.ac.za"/>
    <s v="Submitted"/>
    <s v="Under Review"/>
    <x v="1"/>
    <x v="0"/>
    <x v="1"/>
    <x v="0"/>
    <s v="EM"/>
    <s v="Complete"/>
    <s v="Completed"/>
    <x v="4"/>
    <s v="University of Cape Town"/>
    <s v="Biomedical engineering"/>
    <s v="Application of artificial intelligence to classify and predict recovery for dilated cardiomyopathies"/>
    <s v="Mubeen"/>
    <s v="Sandrine"/>
    <s v="Mubeen Goolam"/>
    <s v="Sandrine Lecour"/>
    <n v="69.444444444444443"/>
    <n v="61.111111111111114"/>
    <n v="65.277777777777771"/>
    <n v="3"/>
    <n v="3"/>
    <n v="6"/>
    <x v="0"/>
    <x v="0"/>
    <x v="0"/>
    <d v="2026-01-05T00:00:00"/>
    <n v="2"/>
    <n v="337320"/>
    <n v="272320"/>
    <n v="0"/>
    <n v="337320"/>
    <n v="272320"/>
    <n v="0"/>
    <n v="3"/>
  </r>
  <r>
    <s v="10/12/2025"/>
    <s v="2025-8356"/>
    <s v="Higher Education Awards"/>
    <s v="Banele Banda"/>
    <s v="banelefk@gmail.com"/>
    <s v="Submitted"/>
    <s v="Under Review"/>
    <x v="0"/>
    <x v="0"/>
    <x v="0"/>
    <x v="0"/>
    <s v="EM"/>
    <s v="Complete"/>
    <s v="Completed"/>
    <x v="4"/>
    <s v="Stellenbosch University"/>
    <s v="Masters of Science (Neuroscience)"/>
    <s v="A VIRTUAL REALITY BASED PILOT STUDY OF STRESS REACTIVITY IN SCHIZOPHRENIA"/>
    <s v="Janetta"/>
    <s v="John"/>
    <s v="Janetta Harbron"/>
    <s v="John Pettifor"/>
    <n v="71.428571428571431"/>
    <n v="67.857142857142861"/>
    <n v="69.642857142857139"/>
    <n v="3"/>
    <n v="3"/>
    <n v="6"/>
    <x v="0"/>
    <x v="0"/>
    <x v="0"/>
    <d v="2026-01-05T00:00:00"/>
    <n v="1"/>
    <n v="220000"/>
    <n v="0"/>
    <n v="0"/>
    <n v="220000"/>
    <n v="0"/>
    <n v="0"/>
    <n v="3"/>
  </r>
  <r>
    <s v="10/12/2025"/>
    <s v="2025-9650"/>
    <s v="Higher Education Awards"/>
    <s v="Nicola Danielle Rohwer"/>
    <s v="25336991@sun.ac.za"/>
    <s v="Submitted"/>
    <s v="Under Review"/>
    <x v="0"/>
    <x v="1"/>
    <x v="1"/>
    <x v="0"/>
    <s v="EM"/>
    <s v="Complete"/>
    <s v="Completed"/>
    <x v="0"/>
    <s v="Stellenbosch University"/>
    <s v="Master's in Chemistry/Biochemistry"/>
    <s v="Development of BacPROTACs as a novel way of treatment for Gram-negative Bacterial infections"/>
    <s v="Katherine"/>
    <s v="Mzamo"/>
    <s v="Katherine de Villiers"/>
    <s v="Mzamo Shozi"/>
    <n v="85.714285714285708"/>
    <n v="92.857142857142861"/>
    <n v="89.285714285714278"/>
    <n v="5"/>
    <n v="5"/>
    <n v="10"/>
    <x v="1"/>
    <x v="1"/>
    <x v="1"/>
    <d v="2026-02-01T00:00:00"/>
    <n v="2"/>
    <n v="165000"/>
    <n v="165000"/>
    <n v="0"/>
    <n v="165000"/>
    <n v="165000"/>
    <n v="0"/>
    <n v="3"/>
  </r>
  <r>
    <s v="10/12/2025"/>
    <s v="2025-9030"/>
    <s v="Higher Education Awards"/>
    <s v="John Richard Faul"/>
    <s v="johnfaul.ri@gmail.com"/>
    <s v="Submitted"/>
    <s v="Under Review"/>
    <x v="0"/>
    <x v="1"/>
    <x v="0"/>
    <x v="0"/>
    <s v="EM"/>
    <s v="Complete"/>
    <s v="Completed"/>
    <x v="0"/>
    <s v="Stellenbosch University"/>
    <s v="Master of Science in Chemistry"/>
    <s v="Structure-property relationships in flexible MOFs for CO₂ capture"/>
    <s v="Katherine"/>
    <s v="Mzamo"/>
    <s v="Katherine de Villiers"/>
    <s v="Mzamo Shozi"/>
    <n v="82.142857142857139"/>
    <n v="89.285714285714292"/>
    <n v="85.714285714285722"/>
    <n v="4"/>
    <n v="4"/>
    <n v="8"/>
    <x v="1"/>
    <x v="1"/>
    <x v="0"/>
    <d v="2026-01-01T00:00:00"/>
    <n v="2"/>
    <n v="142915"/>
    <n v="142915"/>
    <n v="0"/>
    <n v="142915"/>
    <n v="142915"/>
    <n v="0"/>
    <n v="3"/>
  </r>
  <r>
    <s v="10/12/2025"/>
    <s v="2025-9025"/>
    <s v="Higher Education Awards"/>
    <s v="Kyle Craninx"/>
    <s v="kcraninx@gmail.com"/>
    <s v="Submitted"/>
    <s v="Under Review"/>
    <x v="0"/>
    <x v="1"/>
    <x v="0"/>
    <x v="0"/>
    <s v="EM"/>
    <s v="Complete"/>
    <s v="Completed"/>
    <x v="3"/>
    <s v="University of Pretoria"/>
    <s v="MSc"/>
    <s v="Genetics"/>
    <s v="Martin"/>
    <s v="Tuan"/>
    <s v="Martin Coetzee"/>
    <s v="Tuan Duong"/>
    <n v="100"/>
    <n v="75"/>
    <n v="87.5"/>
    <n v="5"/>
    <n v="3"/>
    <n v="8"/>
    <x v="1"/>
    <x v="1"/>
    <x v="0"/>
    <d v="2025-01-13T00:00:00"/>
    <n v="1"/>
    <n v="153855"/>
    <n v="0"/>
    <n v="0"/>
    <n v="153855"/>
    <n v="0"/>
    <n v="0"/>
    <n v="2"/>
  </r>
  <r>
    <s v="10/12/2025"/>
    <s v="2025-8479"/>
    <s v="Higher Education Awards"/>
    <s v="Olivia Page-Macdonald"/>
    <s v="PGMOLI001@myuct.ac.za"/>
    <s v="Submitted"/>
    <s v="Under Review"/>
    <x v="2"/>
    <x v="1"/>
    <x v="1"/>
    <x v="0"/>
    <s v="EM"/>
    <s v="Complete"/>
    <s v="Completed"/>
    <x v="3"/>
    <s v="University of Cape Town"/>
    <s v="PhD by dissertation at Department of Molecular and Cell Biology"/>
    <s v="Evolutionary and Conservation genetics"/>
    <s v="Andrea"/>
    <s v="Themba"/>
    <s v="Andrea Fuller"/>
    <s v="Themba Mahlaba"/>
    <n v="85.714285714285708"/>
    <n v="71.428571428571431"/>
    <n v="78.571428571428569"/>
    <n v="4"/>
    <n v="4"/>
    <n v="8"/>
    <x v="1"/>
    <x v="0"/>
    <x v="0"/>
    <d v="2026-01-15T00:00:00"/>
    <n v="3"/>
    <n v="84170"/>
    <n v="84670"/>
    <n v="185170"/>
    <n v="84170"/>
    <n v="84670"/>
    <n v="185170"/>
    <n v="3"/>
  </r>
  <r>
    <s v="10/12/2025"/>
    <s v="2025-8282"/>
    <s v="Higher Education Awards"/>
    <s v="Moleboheng Phiri"/>
    <s v="mamiky.phiri@up.ac.za"/>
    <s v="Submitted"/>
    <s v="Under Review"/>
    <x v="2"/>
    <x v="0"/>
    <x v="1"/>
    <x v="0"/>
    <s v="EM"/>
    <s v="Complete"/>
    <s v="Completed"/>
    <x v="8"/>
    <s v="University of Pretoria"/>
    <s v="Doctors of Law"/>
    <s v="Strengthening legal frameworks regulating social workers in south Africa to enhance the protection and welfare of children affected by technology facilitated gender-based violence"/>
    <s v="Carolina"/>
    <s v="Danie"/>
    <s v="Carolina Meyer"/>
    <s v="Danie Visser"/>
    <n v="67.857142857142861"/>
    <n v="75"/>
    <n v="71.428571428571431"/>
    <n v="3"/>
    <n v="2"/>
    <n v="5"/>
    <x v="0"/>
    <x v="0"/>
    <x v="0"/>
    <d v="2025-05-01T00:00:00"/>
    <n v="3"/>
    <n v="93000"/>
    <n v="0"/>
    <n v="0"/>
    <n v="93000"/>
    <n v="0"/>
    <n v="0"/>
    <n v="3"/>
  </r>
  <r>
    <s v="10/12/2025"/>
    <s v="2025-10000"/>
    <s v="Higher Education Awards"/>
    <s v="Ntsikelelo Kama"/>
    <s v="ntsikelelokama022@gmail.com"/>
    <s v="Submitted"/>
    <s v="Under Review"/>
    <x v="0"/>
    <x v="0"/>
    <x v="0"/>
    <x v="0"/>
    <s v="EM"/>
    <s v="Complete"/>
    <s v="Completed"/>
    <x v="3"/>
    <s v="University of the Witwatersrand"/>
    <s v="MSc by research, Geophysics"/>
    <s v="Geophysical Investigation of Structural Controls on Hydrogen Gas Occurrences in Mpumalanga, South Africa"/>
    <s v="Martin"/>
    <s v="Tuan"/>
    <s v="Martin Coetzee"/>
    <s v="Tuan Duong"/>
    <n v="75"/>
    <n v="67.857142857142861"/>
    <n v="71.428571428571431"/>
    <n v="4"/>
    <n v="2"/>
    <n v="6"/>
    <x v="0"/>
    <x v="0"/>
    <x v="0"/>
    <d v="2026-02-01T00:00:00"/>
    <n v="2"/>
    <n v="125000"/>
    <n v="107000"/>
    <n v="0"/>
    <n v="125000"/>
    <n v="107000"/>
    <n v="0"/>
    <n v="3"/>
  </r>
  <r>
    <s v="10/12/2025"/>
    <s v="2025-8446"/>
    <s v="Higher Education Awards"/>
    <s v="Adam Levin"/>
    <s v="leviaj@gmail.com"/>
    <s v="Submitted"/>
    <s v="Under Review"/>
    <x v="1"/>
    <x v="1"/>
    <x v="0"/>
    <x v="0"/>
    <s v="EM"/>
    <s v="Complete"/>
    <s v="Completed"/>
    <x v="1"/>
    <s v="University of the Witwatersrand"/>
    <s v="Postdoctoral Research"/>
    <s v="English Literature"/>
    <s v="Lucy"/>
    <s v="Oliver"/>
    <s v="Lucy Graham"/>
    <s v="Oliver Nyambi"/>
    <n v="77.777777777777786"/>
    <n v="94.444444444444443"/>
    <n v="86.111111111111114"/>
    <n v="4"/>
    <n v="4"/>
    <n v="8"/>
    <x v="1"/>
    <x v="1"/>
    <x v="2"/>
    <d v="2026-02-01T00:00:00"/>
    <n v="1"/>
    <n v="300000"/>
    <n v="0"/>
    <n v="0"/>
    <n v="300000"/>
    <n v="0"/>
    <n v="0"/>
    <n v="3"/>
  </r>
  <r>
    <s v="10/12/2025"/>
    <s v="2025-10050"/>
    <s v="Higher Education Awards"/>
    <s v="KAMOGELO MOGOTSI"/>
    <s v="Raemogotsi205@gmail.com"/>
    <s v="Submitted"/>
    <s v="Under Review"/>
    <x v="2"/>
    <x v="0"/>
    <x v="1"/>
    <x v="0"/>
    <s v="EM"/>
    <s v="Complete"/>
    <s v="Completed"/>
    <x v="6"/>
    <s v="UNIVERSITY OF THE FREE STATE"/>
    <s v="PhD in ANTHROPOLOGY"/>
    <s v="YOMBELA! Exploring the Role of Women Traditional Healers and Their Musical Practices in Indigenous Health Systems."/>
    <s v="David Johnson"/>
    <s v="Lindy"/>
    <s v="David Johnson"/>
    <s v="Lindy Stiebel"/>
    <n v="67.857142857142861"/>
    <n v="75"/>
    <n v="71.428571428571431"/>
    <n v="3"/>
    <n v="3"/>
    <n v="6"/>
    <x v="0"/>
    <x v="0"/>
    <x v="0"/>
    <d v="2026-02-02T00:00:00"/>
    <n v="3"/>
    <n v="160000"/>
    <n v="160000"/>
    <n v="160000"/>
    <n v="160000"/>
    <n v="160000"/>
    <n v="160000"/>
    <n v="3"/>
  </r>
  <r>
    <s v="10/12/2025"/>
    <s v="2025-9714"/>
    <s v="Higher Education Awards"/>
    <s v="Samuel Menbere"/>
    <s v="mnbsam002@myuct.ac.za"/>
    <s v="Submitted"/>
    <s v="Under Review"/>
    <x v="2"/>
    <x v="0"/>
    <x v="0"/>
    <x v="0"/>
    <s v="EM"/>
    <s v="Complete"/>
    <s v="Completed"/>
    <x v="4"/>
    <s v="University of Cape town"/>
    <s v="PHD In chemistry"/>
    <s v="Evaluate essentiality of Rv1122 in different in vitro non-replicating models, as well as ex vivo and in vivo systems, complemented by advanced microscopy techniques."/>
    <s v="Janetta"/>
    <s v="John"/>
    <s v="Janetta Harbron"/>
    <s v="John Pettifor"/>
    <n v="75"/>
    <n v="67.857142857142861"/>
    <n v="71.428571428571431"/>
    <n v="3"/>
    <n v="2"/>
    <n v="5"/>
    <x v="0"/>
    <x v="0"/>
    <x v="0"/>
    <d v="2026-02-02T00:00:00"/>
    <n v="3"/>
    <n v="312300"/>
    <n v="322300"/>
    <n v="333300"/>
    <n v="312300"/>
    <n v="322300"/>
    <n v="333300"/>
    <n v="3"/>
  </r>
  <r>
    <s v="10/12/2025"/>
    <s v="2025-8198"/>
    <s v="Higher Education Awards"/>
    <s v="Raelene Jones-Sappor"/>
    <s v="raelene.b.jones@gmail.com"/>
    <s v="Submitted"/>
    <s v="Under Review"/>
    <x v="2"/>
    <x v="2"/>
    <x v="1"/>
    <x v="0"/>
    <s v="EM"/>
    <s v="Complete"/>
    <s v="Completed"/>
    <x v="3"/>
    <s v="University of KwaZulu-Natal"/>
    <s v="PhD Biochemistry"/>
    <s v="A Zebrafish model for investigating muscle regeneration using nanoparticle-facilitated stem cell therapy and genetic regulation"/>
    <s v="Martin"/>
    <s v="Tuan"/>
    <s v="Martin Coetzee"/>
    <s v="Tuan Duong"/>
    <n v="100"/>
    <n v="75"/>
    <n v="87.5"/>
    <n v="5"/>
    <n v="4"/>
    <n v="9"/>
    <x v="1"/>
    <x v="1"/>
    <x v="0"/>
    <d v="2026-01-01T00:00:00"/>
    <n v="3"/>
    <n v="166106"/>
    <n v="186046"/>
    <n v="158688"/>
    <n v="166106"/>
    <n v="186046"/>
    <n v="158688"/>
    <n v="3"/>
  </r>
  <r>
    <s v="10/12/2025"/>
    <s v="2025-8311"/>
    <s v="Higher Education Awards"/>
    <s v="Cade Peters"/>
    <s v="caderibeiropeters@gmail.com"/>
    <s v="Submitted"/>
    <s v="Under Review"/>
    <x v="2"/>
    <x v="1"/>
    <x v="0"/>
    <x v="0"/>
    <s v="EM"/>
    <s v="Complete"/>
    <s v="Completed"/>
    <x v="0"/>
    <s v="Univeristy of the Witwatersrand"/>
    <s v="PhD Physics"/>
    <s v="Optics and Photonics"/>
    <s v="Nabanita "/>
    <s v="Matthew"/>
    <s v="Mathew Moodley"/>
    <s v="Nabanita Chatterjee"/>
    <n v="100"/>
    <n v="100"/>
    <n v="100"/>
    <n v="5"/>
    <n v="5"/>
    <n v="10"/>
    <x v="1"/>
    <x v="1"/>
    <x v="1"/>
    <d v="2024-04-24T00:00:00"/>
    <n v="2"/>
    <n v="49453"/>
    <n v="49453"/>
    <n v="0"/>
    <n v="50000"/>
    <n v="50000"/>
    <n v="0"/>
    <n v="3"/>
  </r>
  <r>
    <s v="10/12/2025"/>
    <s v="2025-9607"/>
    <s v="Higher Education Awards"/>
    <s v="Pia Scharein"/>
    <s v="schareinpia@gmail.com"/>
    <s v="Submitted"/>
    <s v="Under Review"/>
    <x v="0"/>
    <x v="1"/>
    <x v="1"/>
    <x v="0"/>
    <s v="EM"/>
    <s v="Complete"/>
    <s v="Completed"/>
    <x v="4"/>
    <s v="University of Cape Town"/>
    <s v="Master of Medical Science in Neuroscience"/>
    <s v="Cellular neuroscience and electrophysiology (Title: Human silent synapses: from existence to structural substrate across postnatal development)"/>
    <s v="Janetta"/>
    <s v="John"/>
    <s v="Janetta Harbron"/>
    <s v="John Pettifor"/>
    <n v="96.428571428571431"/>
    <n v="100"/>
    <n v="98.214285714285722"/>
    <n v="5"/>
    <n v="5"/>
    <n v="10"/>
    <x v="1"/>
    <x v="1"/>
    <x v="1"/>
    <d v="2025-01-15T00:00:00"/>
    <n v="1"/>
    <n v="283030"/>
    <n v="0"/>
    <n v="0"/>
    <n v="250000"/>
    <n v="0"/>
    <n v="0"/>
    <n v="3"/>
  </r>
  <r>
    <s v="10/12/2025"/>
    <s v="2025-9922"/>
    <s v="Higher Education Awards"/>
    <s v="Nokuzotha Nkiwane"/>
    <s v="nkwnok011@myuct.ac.za"/>
    <s v="Submitted"/>
    <s v="Under Review"/>
    <x v="0"/>
    <x v="0"/>
    <x v="1"/>
    <x v="0"/>
    <s v="EM"/>
    <s v="Complete"/>
    <s v="Completed"/>
    <x v="3"/>
    <s v="Stellenbosch University"/>
    <s v="MSc Bioinformatics and Computational Biology"/>
    <s v="Automated Viral Discovery Pipeline"/>
    <s v="Cobus"/>
    <s v="Michelle"/>
    <s v="Cobus Meyer Visagie"/>
    <s v="Michelle Greve"/>
    <n v="75"/>
    <n v="78.571428571428569"/>
    <n v="76.785714285714278"/>
    <n v="5"/>
    <n v="4"/>
    <n v="9"/>
    <x v="1"/>
    <x v="0"/>
    <x v="0"/>
    <d v="2026-01-12T00:00:00"/>
    <n v="2"/>
    <n v="109382"/>
    <n v="111382"/>
    <n v="0"/>
    <n v="109382"/>
    <n v="111382"/>
    <n v="0"/>
    <n v="3"/>
  </r>
  <r>
    <s v="10/12/2025"/>
    <s v="2025-9747"/>
    <s v="Higher Education Awards"/>
    <s v="Lukho Witbooi"/>
    <s v="Witjabo@Gmail.com"/>
    <s v="Submitted"/>
    <s v="Under Review"/>
    <x v="2"/>
    <x v="0"/>
    <x v="0"/>
    <x v="0"/>
    <s v="EM"/>
    <s v="Complete"/>
    <s v="Completed"/>
    <x v="1"/>
    <s v="The University of Witwatersrand"/>
    <s v="Postcolonial Studies"/>
    <s v="An Exploration of the Individuation of the Postcolonial Subject and the Question of Inner Freedom in  African Critical Thought, Literature and Art."/>
    <s v="David Johnson"/>
    <s v="Lindy"/>
    <s v="David Johnson"/>
    <s v="Lindy Stiebel"/>
    <n v="78.571428571428569"/>
    <n v="78.571428571428569"/>
    <n v="78.571428571428569"/>
    <n v="4"/>
    <n v="3"/>
    <n v="7"/>
    <x v="1"/>
    <x v="0"/>
    <x v="0"/>
    <d v="2026-02-01T00:00:00"/>
    <n v="3"/>
    <n v="220166"/>
    <n v="195826"/>
    <n v="195826"/>
    <n v="220166"/>
    <n v="195826"/>
    <n v="195826"/>
    <n v="3"/>
  </r>
  <r>
    <s v="10/12/2025"/>
    <s v="2025-9357"/>
    <s v="Higher Education Awards"/>
    <s v="Hayley Marais"/>
    <s v="hayleyjoanmarais@gmail.com"/>
    <s v="Submitted"/>
    <s v="Under Review"/>
    <x v="0"/>
    <x v="1"/>
    <x v="1"/>
    <x v="0"/>
    <s v="EM"/>
    <s v="Complete"/>
    <s v="Completed"/>
    <x v="4"/>
    <s v="University of Cape Town"/>
    <s v="MSc Medicine (Neuroscience and Physiology)"/>
    <s v="Neuroinflammation gene expression"/>
    <s v="Gill"/>
    <s v="Moses"/>
    <s v="Gill Nelson"/>
    <s v="Moses Alobo"/>
    <n v="96.428571428571431"/>
    <n v="96.428571428571431"/>
    <n v="96.428571428571431"/>
    <n v="4"/>
    <n v="4"/>
    <n v="8"/>
    <x v="1"/>
    <x v="1"/>
    <x v="0"/>
    <d v="2025-01-21T00:00:00"/>
    <n v="1"/>
    <n v="280000"/>
    <n v="0"/>
    <n v="0"/>
    <n v="250000"/>
    <n v="0"/>
    <n v="0"/>
    <n v="3"/>
  </r>
  <r>
    <s v="10/12/2025"/>
    <s v="2025-9938"/>
    <s v="Higher Education Awards"/>
    <s v="Xolile Mbi"/>
    <s v="xolilembi@gmail.com"/>
    <s v="Submitted"/>
    <s v="Under Review"/>
    <x v="2"/>
    <x v="0"/>
    <x v="0"/>
    <x v="0"/>
    <s v="EM"/>
    <s v="Complete"/>
    <s v="Completed"/>
    <x v="6"/>
    <s v="University of the Witwatersrand"/>
    <s v="Doctor of Philosophy"/>
    <s v="Leveraging predictive intelligence for redistributive policy design in South Africa"/>
    <s v="Badri"/>
    <s v="Johann"/>
    <s v="Badri Zolfaghari"/>
    <s v="Johan Hattingh"/>
    <n v="92.857142857142861"/>
    <n v="78.571428571428569"/>
    <n v="85.714285714285722"/>
    <n v="4"/>
    <n v="4"/>
    <n v="8"/>
    <x v="1"/>
    <x v="1"/>
    <x v="0"/>
    <d v="2026-01-13T00:00:00"/>
    <n v="3"/>
    <n v="149000"/>
    <n v="131000"/>
    <n v="131000"/>
    <n v="149000"/>
    <n v="131000"/>
    <n v="131000"/>
    <n v="3"/>
  </r>
  <r>
    <s v="10/12/2025"/>
    <s v="2025-9733"/>
    <s v="Higher Education Awards"/>
    <s v="Nina Barnett"/>
    <s v="nina@ninabarnett.org"/>
    <s v="Submitted"/>
    <s v="Under Review"/>
    <x v="1"/>
    <x v="1"/>
    <x v="1"/>
    <x v="0"/>
    <s v="EM"/>
    <s v="Complete"/>
    <s v="Completed"/>
    <x v="1"/>
    <s v="University of Cape Town"/>
    <s v="Postdoctoral position in Environmental and Geographical Sciences Department"/>
    <s v="Book publication based on PhD research, concerning creative responses to water politics"/>
    <s v="David"/>
    <s v="Annie"/>
    <s v="Annie Devenish"/>
    <s v="David Medalie"/>
    <n v="88.888888888888886"/>
    <n v="75"/>
    <n v="81.944444444444443"/>
    <n v="3"/>
    <n v="4"/>
    <n v="7"/>
    <x v="1"/>
    <x v="0"/>
    <x v="0"/>
    <d v="2026-01-15T00:00:00"/>
    <n v="2"/>
    <n v="320000"/>
    <n v="300000"/>
    <n v="0"/>
    <n v="320000"/>
    <n v="300000"/>
    <n v="0"/>
    <n v="3"/>
  </r>
  <r>
    <s v="10/12/2025"/>
    <s v="2025-9468"/>
    <s v="Higher Education Awards"/>
    <s v="Martin Kiwanuka"/>
    <s v="martin2kiwanuka@gmail.com"/>
    <s v="Submitted"/>
    <s v="Under Review"/>
    <x v="1"/>
    <x v="0"/>
    <x v="0"/>
    <x v="0"/>
    <s v="EM"/>
    <s v="Complete"/>
    <s v="Completed"/>
    <x v="4"/>
    <s v="University of Cape Town"/>
    <s v="Biomedical Engineering"/>
    <s v="Exploring how biomechanical cues influence HPV oncogene-driven cervical cancer progression"/>
    <s v="Rupal"/>
    <s v="Shaheen"/>
    <s v="Rupal Jival"/>
    <s v="Shaheen Mowla"/>
    <n v="69.444444444444443"/>
    <n v="75"/>
    <n v="72.222222222222229"/>
    <n v="2"/>
    <n v="4"/>
    <n v="6"/>
    <x v="0"/>
    <x v="0"/>
    <x v="0"/>
    <d v="2026-04-01T00:00:00"/>
    <n v="2"/>
    <n v="540000"/>
    <n v="530000"/>
    <n v="0"/>
    <n v="540000"/>
    <n v="530000"/>
    <n v="0"/>
    <n v="3"/>
  </r>
  <r>
    <s v="10/12/2025"/>
    <s v="2025-8420"/>
    <s v="Higher Education Awards"/>
    <s v="Letlhogonolo Mokaleng"/>
    <s v="mokalengletlhogonolo5@gmail.com"/>
    <s v="Submitted"/>
    <s v="Under Review"/>
    <x v="0"/>
    <x v="0"/>
    <x v="1"/>
    <x v="0"/>
    <s v="EM"/>
    <s v="Complete"/>
    <s v="Completed"/>
    <x v="3"/>
    <s v="North-West University"/>
    <s v="Master of Science in Microbiology"/>
    <s v="Genomic Characterisation of Antifungal -Resistant Yeasts and Quantification of Antifungals in Mahikeng Boreholes"/>
    <s v="Martin"/>
    <s v="Tuan"/>
    <s v="Martin Coetzee"/>
    <s v="Tuan Duong"/>
    <n v="67.857142857142861"/>
    <n v="67.857142857142861"/>
    <n v="67.857142857142861"/>
    <n v="5"/>
    <n v="3"/>
    <n v="8"/>
    <x v="0"/>
    <x v="0"/>
    <x v="0"/>
    <d v="2026-02-02T00:00:00"/>
    <n v="1"/>
    <n v="150000"/>
    <n v="0"/>
    <n v="0"/>
    <n v="150000"/>
    <n v="0"/>
    <n v="0"/>
    <n v="3"/>
  </r>
  <r>
    <s v="10/12/2025"/>
    <s v="2025-9568"/>
    <s v="Higher Education Awards"/>
    <s v="Ava van Huyssteen"/>
    <s v="avavanhuyssteen@gmail.com"/>
    <s v="Submitted"/>
    <s v="Under Review"/>
    <x v="2"/>
    <x v="1"/>
    <x v="1"/>
    <x v="0"/>
    <s v="EM"/>
    <s v="Complete"/>
    <s v="Completed"/>
    <x v="6"/>
    <s v="University of the Western Cape"/>
    <s v="Doctorate in Sociology, fellow at the Centre for Humanities Research"/>
    <s v="The influence of AI-generated short-form video content and images on popular history and memory"/>
    <s v="Sam"/>
    <s v="Srila"/>
    <s v="Sam Kariuki"/>
    <s v="Srila Roy"/>
    <n v="71.428571428571431"/>
    <n v="82.142857142857139"/>
    <n v="76.785714285714278"/>
    <n v="3"/>
    <n v="4"/>
    <n v="7"/>
    <x v="1"/>
    <x v="0"/>
    <x v="0"/>
    <d v="2025-07-10T00:00:00"/>
    <n v="2"/>
    <n v="177580"/>
    <n v="193580"/>
    <n v="10000"/>
    <n v="177580"/>
    <n v="193580"/>
    <n v="10000"/>
    <n v="3"/>
  </r>
  <r>
    <s v="10/12/2025"/>
    <s v="2025-9196"/>
    <s v="Higher Education Awards"/>
    <s v="Asamkela Ketelo"/>
    <s v="asamkela@gmail.com"/>
    <s v="Submitted"/>
    <s v="Under Review"/>
    <x v="0"/>
    <x v="0"/>
    <x v="0"/>
    <x v="0"/>
    <s v="EM"/>
    <s v="Complete"/>
    <s v="Completed"/>
    <x v="1"/>
    <s v="University of Cape Town"/>
    <s v="Masters in Applied Theatre and Drama Studies"/>
    <s v="Theatre in Education: Finding the Parallels and Interconnection Between Theatre and Education as knowledge systems, and their use in creating an Embodied and Learner-Centred Classroom"/>
    <s v="David Johnson"/>
    <s v="Lindy"/>
    <s v="David Johnson"/>
    <s v="Lindy Stiebel"/>
    <n v="64.285714285714292"/>
    <n v="60.714285714285708"/>
    <n v="62.5"/>
    <n v="3"/>
    <n v="3"/>
    <n v="6"/>
    <x v="0"/>
    <x v="0"/>
    <x v="0"/>
    <d v="2026-02-02T00:00:00"/>
    <n v="2"/>
    <n v="202000"/>
    <n v="202000"/>
    <n v="0"/>
    <n v="202000"/>
    <n v="202000"/>
    <n v="0"/>
    <n v="3"/>
  </r>
  <r>
    <s v="10/12/2025"/>
    <s v="2025-9332"/>
    <s v="Higher Education Awards"/>
    <s v="Cathrine Manengena"/>
    <s v="202235266@spu.ac.za"/>
    <s v="Submitted"/>
    <s v="Under Review"/>
    <x v="0"/>
    <x v="0"/>
    <x v="1"/>
    <x v="0"/>
    <s v="EM"/>
    <s v="Complete"/>
    <s v="Completed"/>
    <x v="1"/>
    <s v="Sol Plaatje University"/>
    <s v="MA Archaeology (Dissertation/Research)"/>
    <s v="My research focuses on the re-analysis of the Sibebe cave after 1980 looking at technological changes throughout time, including manufacturing techniques and tool types of Sibebe cave"/>
    <s v="David Johnson"/>
    <s v="Lindy"/>
    <s v="David Johnson"/>
    <s v="Lindy Stiebel"/>
    <n v="82.142857142857139"/>
    <n v="60.714285714285708"/>
    <n v="71.428571428571416"/>
    <n v="4"/>
    <n v="3"/>
    <n v="7"/>
    <x v="0"/>
    <x v="0"/>
    <x v="0"/>
    <d v="2026-02-02T00:00:00"/>
    <n v="2"/>
    <n v="141500"/>
    <n v="131500"/>
    <n v="0"/>
    <n v="141500"/>
    <n v="131500"/>
    <n v="0"/>
    <n v="3"/>
  </r>
  <r>
    <s v="10/12/2025"/>
    <s v="2025-9624"/>
    <s v="Higher Education Awards"/>
    <s v="Daniel Holgate"/>
    <s v="hlgdan001@myuct.ac.za"/>
    <s v="Submitted"/>
    <s v="Under Review"/>
    <x v="0"/>
    <x v="1"/>
    <x v="0"/>
    <x v="0"/>
    <s v="EM"/>
    <s v="Complete"/>
    <s v="Completed"/>
    <x v="0"/>
    <s v="University of Cape Town"/>
    <s v="Masters in Computer Science"/>
    <s v="Multilingual Story Generation with Open-Source Large Language Models In Addressing Literacy in South Africa"/>
    <s v="Clint"/>
    <s v="Daniel"/>
    <s v="Clint van Alten"/>
    <s v="Daniel Ramotsoela"/>
    <n v="75"/>
    <n v="89.285714285714292"/>
    <n v="82.142857142857139"/>
    <n v="4"/>
    <n v="4"/>
    <n v="8"/>
    <x v="1"/>
    <x v="1"/>
    <x v="0"/>
    <d v="2026-01-01T00:00:00"/>
    <n v="2"/>
    <n v="165000"/>
    <n v="180000"/>
    <n v="0"/>
    <n v="165000"/>
    <n v="180000"/>
    <n v="0"/>
    <n v="3"/>
  </r>
  <r>
    <s v="10/12/2025"/>
    <s v="2025-9929"/>
    <s v="Higher Education Awards"/>
    <s v="Charles Abimbola Faseyi"/>
    <s v="charles.faseyi@uct.ac.za"/>
    <s v="Submitted"/>
    <s v="Under Review"/>
    <x v="1"/>
    <x v="0"/>
    <x v="0"/>
    <x v="0"/>
    <s v="EM"/>
    <s v="Complete"/>
    <s v="Completed"/>
    <x v="3"/>
    <s v="University of KwaZulu-Natal, Durban, South Africa"/>
    <s v="Postdoctoral Fellowship"/>
    <s v="Biodiversity and ecosystem functions"/>
    <s v="Almuth"/>
    <s v="Neriman"/>
    <s v="Almuth Hammerbacher"/>
    <s v="Neriman Yilmaz"/>
    <n v="75"/>
    <n v="91.666666666666657"/>
    <n v="83.333333333333329"/>
    <n v="3"/>
    <n v="4"/>
    <n v="7"/>
    <x v="1"/>
    <x v="0"/>
    <x v="0"/>
    <d v="2026-02-02T00:00:00"/>
    <n v="2"/>
    <n v="395000"/>
    <n v="445000"/>
    <n v="0"/>
    <n v="395000"/>
    <n v="445000"/>
    <n v="0"/>
    <n v="3"/>
  </r>
  <r>
    <s v="10/12/2025"/>
    <s v="2025-9948"/>
    <s v="Higher Education Awards"/>
    <s v="Noluthando Manyisa"/>
    <s v="manyisanr@gmail.com"/>
    <s v="Submitted"/>
    <s v="Under Review"/>
    <x v="1"/>
    <x v="0"/>
    <x v="1"/>
    <x v="0"/>
    <s v="EM"/>
    <s v="Complete"/>
    <s v="Completed"/>
    <x v="4"/>
    <s v="University of the Witwatersrand"/>
    <s v="Human Genetics"/>
    <s v="Pharmacogenetics of systemic lupus erythomatosus"/>
    <s v="Mandeep"/>
    <s v="Zane"/>
    <s v="Mandeep Kaur"/>
    <s v="Zane Lombard"/>
    <n v="69.444444444444443"/>
    <n v="69.444444444444443"/>
    <n v="69.444444444444443"/>
    <n v="2"/>
    <n v="3"/>
    <n v="5"/>
    <x v="0"/>
    <x v="0"/>
    <x v="0"/>
    <d v="2026-01-01T00:00:00"/>
    <n v="3"/>
    <n v="450440"/>
    <n v="514450"/>
    <n v="514450"/>
    <n v="450440"/>
    <n v="514450"/>
    <n v="514450"/>
    <n v="3"/>
  </r>
  <r>
    <s v="10/12/2025"/>
    <s v="2025-10066"/>
    <s v="Higher Education Awards"/>
    <s v="Khanyisa  Hoko"/>
    <s v="hokokhanyisa@gmail.com"/>
    <s v="Submitted"/>
    <s v="Under Review"/>
    <x v="0"/>
    <x v="0"/>
    <x v="1"/>
    <x v="0"/>
    <s v="EM"/>
    <s v="Complete"/>
    <s v="Completed"/>
    <x v="1"/>
    <s v="Stellenbosch University"/>
    <s v="Master in Sociology"/>
    <s v="A Study of Land and Residential Disputes through Visual Data Analysis and Urban Governance Practices"/>
    <s v="Sam"/>
    <s v="Srila"/>
    <s v="Sam Kariuki"/>
    <s v="Srila Roy"/>
    <n v="64.285714285714292"/>
    <n v="82.142857142857139"/>
    <n v="73.214285714285722"/>
    <n v="3"/>
    <n v="4"/>
    <n v="7"/>
    <x v="0"/>
    <x v="0"/>
    <x v="0"/>
    <d v="2026-02-02T00:00:00"/>
    <n v="2"/>
    <n v="33000"/>
    <n v="30000"/>
    <n v="0"/>
    <n v="33000"/>
    <n v="30000"/>
    <n v="0"/>
    <n v="3"/>
  </r>
  <r>
    <s v="10/12/2025"/>
    <s v="2025-9992"/>
    <s v="Higher Education Awards"/>
    <s v="Jenniver Basetsana Molatlhwa"/>
    <s v="molatlhwabasetsana@gmail.com"/>
    <s v="Submitted"/>
    <s v="Under Review"/>
    <x v="0"/>
    <x v="0"/>
    <x v="1"/>
    <x v="0"/>
    <s v="EM"/>
    <s v="Complete"/>
    <s v="Completed"/>
    <x v="3"/>
    <s v="University of Cape Town"/>
    <s v="MSc Dissertation Biological Sciences"/>
    <s v="Marine nematodes as long term bioindicators of pollution across depth gradients in False Bay."/>
    <s v="Cobus"/>
    <s v="Michelle"/>
    <s v="Cobus Meyer Visagie"/>
    <s v="Michelle Greve"/>
    <n v="71.428571428571431"/>
    <n v="67.857142857142861"/>
    <n v="69.642857142857139"/>
    <n v="3"/>
    <n v="4"/>
    <n v="7"/>
    <x v="0"/>
    <x v="0"/>
    <x v="0"/>
    <d v="2026-01-31T00:00:00"/>
    <n v="2"/>
    <n v="180000"/>
    <n v="180000"/>
    <n v="0"/>
    <n v="180000"/>
    <n v="180000"/>
    <n v="0"/>
    <n v="2"/>
  </r>
  <r>
    <s v="10/12/2025"/>
    <s v="2025-8496"/>
    <s v="Higher Education Awards"/>
    <s v="Lameez Hendricks"/>
    <s v="hendricks.lameez.02@gmail.com"/>
    <s v="Submitted"/>
    <s v="Under Review"/>
    <x v="0"/>
    <x v="2"/>
    <x v="1"/>
    <x v="0"/>
    <s v="EM"/>
    <s v="Complete"/>
    <s v="Completed"/>
    <x v="1"/>
    <s v="Stellenbosch University"/>
    <s v="MA English Studies"/>
    <s v="Literary and Cultural Studies, Trauma Theory, Violence, Genocide and War Studies"/>
    <s v="Lucy"/>
    <s v="Oliver"/>
    <s v="Lucy Graham"/>
    <s v="Oliver Nyambi"/>
    <n v="57.142857142857139"/>
    <n v="100"/>
    <n v="78.571428571428569"/>
    <n v="3"/>
    <n v="5"/>
    <n v="8"/>
    <x v="1"/>
    <x v="0"/>
    <x v="0"/>
    <d v="2025-02-01T00:00:00"/>
    <n v="1"/>
    <n v="136000"/>
    <n v="0"/>
    <n v="0"/>
    <n v="136000"/>
    <n v="0"/>
    <n v="0"/>
    <n v="3"/>
  </r>
  <r>
    <s v="10/12/2025"/>
    <s v="2025-9582"/>
    <s v="Higher Education Awards"/>
    <s v="Nomcebo Sithole"/>
    <s v="nomcebonsithole@gmail.com"/>
    <s v="Submitted"/>
    <s v="Under Review"/>
    <x v="0"/>
    <x v="0"/>
    <x v="1"/>
    <x v="0"/>
    <s v="EM"/>
    <s v="Complete"/>
    <s v="Completed"/>
    <x v="4"/>
    <s v="University Of Free State"/>
    <s v="Masters in Public Health"/>
    <s v="The prevalence of substance induced psychotic disorders amongst the youth leading to recurring hospital admissions."/>
    <s v="Nicola"/>
    <s v="Riffat"/>
    <s v="Nicola Christofides"/>
    <s v="Riffat Munir"/>
    <n v="82.142857142857139"/>
    <n v="64.285714285714292"/>
    <n v="73.214285714285722"/>
    <n v="2"/>
    <n v="2"/>
    <n v="4"/>
    <x v="0"/>
    <x v="0"/>
    <x v="0"/>
    <d v="2026-01-02T00:00:00"/>
    <n v="2"/>
    <n v="30000"/>
    <n v="30000"/>
    <n v="0"/>
    <n v="30000"/>
    <n v="30000"/>
    <n v="0"/>
    <n v="2"/>
  </r>
  <r>
    <s v="10/12/2025"/>
    <s v="2025-8455"/>
    <s v="Higher Education Awards"/>
    <s v="De Wet Meyer"/>
    <s v="deem8842@gmail.com"/>
    <s v="Submitted"/>
    <s v="Under Review"/>
    <x v="0"/>
    <x v="1"/>
    <x v="0"/>
    <x v="0"/>
    <s v="EM"/>
    <s v="Complete"/>
    <s v="Completed"/>
    <x v="3"/>
    <s v="University of the Witwatersrand"/>
    <s v="Master of Science"/>
    <s v="Plant Sciences"/>
    <s v="Almuth"/>
    <s v="Neriman"/>
    <s v="Almuth Hammerbacher"/>
    <s v="Neriman Yilmaz"/>
    <n v="67.857142857142861"/>
    <n v="85.714285714285708"/>
    <n v="76.785714285714278"/>
    <n v="3"/>
    <n v="4"/>
    <n v="7"/>
    <x v="1"/>
    <x v="0"/>
    <x v="0"/>
    <d v="2026-01-01T00:00:00"/>
    <n v="2"/>
    <n v="216000"/>
    <n v="230000"/>
    <n v="0"/>
    <n v="216000"/>
    <n v="230000"/>
    <n v="0"/>
    <n v="3"/>
  </r>
  <r>
    <s v="10/12/2025"/>
    <s v="2025-9868"/>
    <s v="Higher Education Awards"/>
    <s v="Ayesha Shaik"/>
    <s v="20150113@sun.ac.za"/>
    <s v="Submitted"/>
    <s v="Under Review"/>
    <x v="2"/>
    <x v="4"/>
    <x v="1"/>
    <x v="0"/>
    <s v="EM"/>
    <s v="Complete"/>
    <s v="Completed"/>
    <x v="4"/>
    <s v="Stellenbosch University"/>
    <s v="PhD Medical Physiology"/>
    <s v="The Role of DNA Methylation in Breast Cancer: Epigenetic Insights into Tumour Pathogenesis and Treatment"/>
    <s v="Rupal"/>
    <s v="Shaheen"/>
    <s v="Rupal Jival"/>
    <s v="Shaheen Mowla"/>
    <n v="67.857142857142861"/>
    <n v="75"/>
    <n v="71.428571428571431"/>
    <n v="3"/>
    <n v="4"/>
    <n v="7"/>
    <x v="0"/>
    <x v="0"/>
    <x v="0"/>
    <d v="2024-03-12T00:00:00"/>
    <n v="2"/>
    <n v="69103"/>
    <n v="47607"/>
    <n v="0"/>
    <n v="69103"/>
    <n v="47607"/>
    <n v="0"/>
    <n v="3"/>
  </r>
  <r>
    <s v="10/12/2025"/>
    <s v="2025-9676"/>
    <s v="Higher Education Awards"/>
    <s v="Patience Shoko"/>
    <s v="shokovimbai2@gmail.com"/>
    <s v="Submitted"/>
    <s v="Under Review"/>
    <x v="0"/>
    <x v="0"/>
    <x v="1"/>
    <x v="0"/>
    <s v="EM"/>
    <s v="Complete"/>
    <s v="Completed"/>
    <x v="4"/>
    <s v="University of Cape Town"/>
    <s v="Medical Virology"/>
    <s v="T cell responses to MPXV in smallpox vaccinated and mpox convalescent individuals"/>
    <s v="Abdullah"/>
    <s v="Demetra"/>
    <s v="Abdullah Ely"/>
    <s v="Demetra Mavri-Damelin"/>
    <n v="92.857142857142861"/>
    <n v="67.857142857142861"/>
    <n v="80.357142857142861"/>
    <n v="4"/>
    <n v="3"/>
    <n v="7"/>
    <x v="1"/>
    <x v="0"/>
    <x v="0"/>
    <d v="2026-02-01T00:00:00"/>
    <n v="2"/>
    <n v="202030"/>
    <n v="121200"/>
    <n v="0"/>
    <n v="202030"/>
    <n v="121200"/>
    <n v="0"/>
    <n v="3"/>
  </r>
  <r>
    <s v="10/12/2025"/>
    <s v="2025-8550"/>
    <s v="Higher Education Awards"/>
    <s v="Emma Daitz"/>
    <s v="Emma.frieda.daitz@gmail.com"/>
    <s v="Submitted"/>
    <s v="Under Review"/>
    <x v="1"/>
    <x v="1"/>
    <x v="1"/>
    <x v="0"/>
    <s v="CB"/>
    <s v="Complete"/>
    <s v="Completed"/>
    <x v="1"/>
    <s v="UWC"/>
    <s v="History"/>
    <s v="Rethinking the Liberal Tradition in South Africa"/>
    <s v="Lucy"/>
    <s v="Oliver"/>
    <s v="Lucy Graham"/>
    <s v="Oliver Nyambi"/>
    <n v="72.222222222222214"/>
    <n v="75"/>
    <n v="73.611111111111114"/>
    <n v="3"/>
    <n v="3"/>
    <n v="6"/>
    <x v="0"/>
    <x v="0"/>
    <x v="0"/>
    <d v="2026-01-01T00:00:00"/>
    <n v="2"/>
    <n v="450000"/>
    <n v="0"/>
    <n v="0"/>
    <n v="450000"/>
    <n v="0"/>
    <n v="0"/>
    <n v="3"/>
  </r>
  <r>
    <s v="10/12/2025"/>
    <s v="2025-9436"/>
    <s v="Higher Education Awards"/>
    <s v="Molokotima Kekana"/>
    <s v="ultimategohan.mok@gmail.com"/>
    <s v="Submitted"/>
    <s v="Under Review"/>
    <x v="0"/>
    <x v="0"/>
    <x v="0"/>
    <x v="1"/>
    <s v="EM"/>
    <s v="Complete"/>
    <s v="Completed"/>
    <x v="0"/>
    <s v="University of Oxford"/>
    <s v="M.Sc in Physics or Medical Physics (dissetaion)"/>
    <s v="Nuclear Physics"/>
    <s v="Nabanita "/>
    <s v="Matthew"/>
    <s v="Mathew Moodley"/>
    <s v="Nabanita Chatterjee"/>
    <n v="100"/>
    <n v="96.875"/>
    <n v="98.4375"/>
    <n v="5"/>
    <n v="5"/>
    <n v="10"/>
    <x v="1"/>
    <x v="1"/>
    <x v="1"/>
    <d v="2026-10-05T00:00:00"/>
    <n v="1"/>
    <n v="1312306.25"/>
    <n v="0"/>
    <n v="0"/>
    <n v="750000"/>
    <n v="0"/>
    <n v="0"/>
    <n v="3"/>
  </r>
  <r>
    <s v="10/12/2025"/>
    <s v="2025-10029"/>
    <s v="Higher Education Awards"/>
    <s v="Amalia Naita Awala"/>
    <s v="amalia.awala@uct.ac.za"/>
    <s v="Submitted"/>
    <s v="Under Review"/>
    <x v="1"/>
    <x v="0"/>
    <x v="1"/>
    <x v="0"/>
    <s v="EM"/>
    <s v="Complete"/>
    <s v="Completed"/>
    <x v="4"/>
    <s v="University of Cape Town"/>
    <s v="Postdoctoral research fellow"/>
    <s v="Neuroimmunogy: host-pathogen interactions in cryptococcal meningitis"/>
    <s v="Mubeen"/>
    <s v="Sandrine"/>
    <s v="Mubeen Goolam"/>
    <s v="Sandrine Lecour"/>
    <n v="77.777777777777786"/>
    <n v="66.666666666666657"/>
    <n v="72.222222222222229"/>
    <n v="3"/>
    <n v="4"/>
    <n v="7"/>
    <x v="0"/>
    <x v="0"/>
    <x v="0"/>
    <d v="2026-01-01T00:00:00"/>
    <n v="2"/>
    <n v="398000"/>
    <n v="398000"/>
    <n v="0"/>
    <n v="398000"/>
    <n v="398000"/>
    <n v="0"/>
    <n v="3"/>
  </r>
  <r>
    <s v="10/12/2025"/>
    <s v="2025-8552"/>
    <s v="Higher Education Awards"/>
    <s v="Raymond Bott"/>
    <s v="raymondbott7@gmail.com"/>
    <s v="Submitted"/>
    <s v="Under Review"/>
    <x v="0"/>
    <x v="2"/>
    <x v="0"/>
    <x v="0"/>
    <s v="EM"/>
    <s v="Complete"/>
    <s v="Completed"/>
    <x v="1"/>
    <s v="Sol Plaatje University and WITS University"/>
    <s v="MA in Heritage Studies"/>
    <s v="Contested Spaces: The Preservation and Reinterpretation of Colonial Heritage in Post-Apartheid South Africa"/>
    <s v="David Johnson"/>
    <s v="Lindy"/>
    <s v="David Johnson"/>
    <s v="Lindy Stiebel"/>
    <n v="82.142857142857139"/>
    <n v="75"/>
    <n v="78.571428571428569"/>
    <n v="4"/>
    <n v="3"/>
    <n v="7"/>
    <x v="1"/>
    <x v="0"/>
    <x v="0"/>
    <d v="2026-01-14T00:00:00"/>
    <n v="1"/>
    <n v="212500"/>
    <n v="0"/>
    <n v="0"/>
    <n v="212500"/>
    <n v="0"/>
    <n v="0"/>
    <n v="3"/>
  </r>
  <r>
    <s v="10/12/2025"/>
    <s v="2025-9887"/>
    <s v="Higher Education Awards"/>
    <s v="Karabo Mohale"/>
    <s v="ntswakikarabo8@gmail.com"/>
    <s v="Submitted"/>
    <s v="Under Review"/>
    <x v="2"/>
    <x v="0"/>
    <x v="1"/>
    <x v="0"/>
    <s v="EM"/>
    <s v="Complete"/>
    <s v="Completed"/>
    <x v="4"/>
    <s v="University of Witwatersrand"/>
    <s v="PhD (Physiology)"/>
    <s v="Quantitative sensory testing: Reference data for people of Black South African ancestry"/>
    <s v="Gill"/>
    <s v="Moses"/>
    <s v="Gill Nelson"/>
    <s v="Moses Alobo"/>
    <n v="71.428571428571431"/>
    <n v="71.428571428571431"/>
    <n v="71.428571428571431"/>
    <n v="4"/>
    <n v="4"/>
    <n v="8"/>
    <x v="0"/>
    <x v="0"/>
    <x v="0"/>
    <d v="2026-01-30T00:00:00"/>
    <n v="3"/>
    <n v="229000"/>
    <n v="231500"/>
    <n v="234250"/>
    <n v="229000"/>
    <n v="231500"/>
    <n v="234250"/>
    <n v="3"/>
  </r>
  <r>
    <s v="10/12/2025"/>
    <s v="2025-8778"/>
    <s v="Higher Education Awards"/>
    <s v="Jennifer Tempest"/>
    <s v="Sean.fp.tempest@gmail.com"/>
    <s v="Submitted"/>
    <s v="Under Review"/>
    <x v="2"/>
    <x v="1"/>
    <x v="2"/>
    <x v="0"/>
    <s v="EM"/>
    <s v="Complete"/>
    <s v="Completed"/>
    <x v="4"/>
    <s v="University of the Witwatersrand"/>
    <s v="PhD Anatomical Sciences - Biological Anthropology"/>
    <s v="The skeletal evidence of disease in the 19th century Koffiefontein Diamond Mine labourers"/>
    <s v="Mandeep"/>
    <s v="Zane"/>
    <s v="Mandeep Kaur"/>
    <s v="Zane Lombard"/>
    <n v="75"/>
    <n v="82.142857142857139"/>
    <n v="78.571428571428569"/>
    <n v="3"/>
    <n v="4"/>
    <n v="7"/>
    <x v="1"/>
    <x v="0"/>
    <x v="0"/>
    <d v="2025-01-11T00:00:00"/>
    <n v="2"/>
    <n v="143835"/>
    <n v="68482"/>
    <n v="0"/>
    <n v="143835"/>
    <n v="68482"/>
    <n v="0"/>
    <n v="3"/>
  </r>
  <r>
    <s v="10/12/2025"/>
    <s v="2025-8247"/>
    <s v="Higher Education Awards"/>
    <s v="Chiara Mzizi"/>
    <s v="MZZCHI002@myuct.ac.za"/>
    <s v="Submitted"/>
    <s v="Under Review"/>
    <x v="2"/>
    <x v="0"/>
    <x v="1"/>
    <x v="0"/>
    <s v="EM"/>
    <s v="Complete"/>
    <s v="Completed"/>
    <x v="1"/>
    <s v="The University of Cape Town under the (confirmed) supervision by Dr Thabang Monoa"/>
    <s v="PhD in Art Historical Studies"/>
    <s v="Situated within performance theory, indigenous knowledge systems and psychotherapy, this study explores the influence of isiZulu cosmologies on the development of the therapeutic modality known as 'Family Constellations'. I aim to restore the erased African epistemic contributions to this healing modality and reposition it within both spiritual and artistic discourses."/>
    <s v="David Johnson"/>
    <s v="Lindy"/>
    <s v="David Johnson"/>
    <s v="Lindy Stiebel"/>
    <n v="85.714285714285708"/>
    <n v="92.857142857142861"/>
    <n v="89.285714285714278"/>
    <n v="4"/>
    <n v="5"/>
    <n v="9"/>
    <x v="1"/>
    <x v="1"/>
    <x v="0"/>
    <d v="2026-02-02T00:00:00"/>
    <n v="3"/>
    <n v="184536"/>
    <n v="248553"/>
    <n v="275582"/>
    <n v="184536"/>
    <n v="248553"/>
    <n v="275582"/>
    <n v="3"/>
  </r>
  <r>
    <s v="10/12/2025"/>
    <s v="2025-9830"/>
    <s v="Higher Education Awards"/>
    <s v="Mbali Kuze"/>
    <s v="mbalikuze77@gmail.com"/>
    <s v="Submitted"/>
    <s v="Under Review"/>
    <x v="0"/>
    <x v="0"/>
    <x v="1"/>
    <x v="0"/>
    <s v="EM"/>
    <s v="Complete"/>
    <s v="Completed"/>
    <x v="1"/>
    <s v="University of the Witwatersrand"/>
    <s v="Masters in E-Science"/>
    <s v="Data Science"/>
    <s v="David Johnson"/>
    <s v="Lindy"/>
    <s v="David Johnson"/>
    <s v="Lindy Stiebel"/>
    <n v="82.142857142857139"/>
    <n v="82.142857142857139"/>
    <n v="82.142857142857139"/>
    <n v="4"/>
    <n v="4"/>
    <n v="8"/>
    <x v="1"/>
    <x v="1"/>
    <x v="0"/>
    <d v="2026-02-15T00:00:00"/>
    <n v="2"/>
    <n v="28850"/>
    <n v="28850"/>
    <n v="0"/>
    <n v="28850"/>
    <n v="28850"/>
    <n v="0"/>
    <n v="3"/>
  </r>
  <r>
    <s v="10/12/2025"/>
    <s v="2025-10019"/>
    <s v="Higher Education Awards"/>
    <s v="Lebogang Makgolokwe"/>
    <s v="lebogangcom265@gmail.com"/>
    <s v="Submitted"/>
    <s v="Under Review"/>
    <x v="0"/>
    <x v="0"/>
    <x v="0"/>
    <x v="0"/>
    <s v="EM"/>
    <s v="Complete"/>
    <s v="Completed"/>
    <x v="6"/>
    <s v="Sol Plaatje University"/>
    <s v="Masters in Public Management and Governance"/>
    <s v="The role of traditional leaders in the South African democratic transition: A case of the !Xun and Khwe in Platfontein Northern Cape"/>
    <s v="David Johnson"/>
    <s v="Lindy"/>
    <s v="David Johnson"/>
    <s v="Lindy Stiebel"/>
    <n v="60.714285714285708"/>
    <n v="57.142857142857139"/>
    <n v="58.928571428571423"/>
    <n v="2"/>
    <n v="2"/>
    <n v="4"/>
    <x v="0"/>
    <x v="0"/>
    <x v="0"/>
    <d v="2026-02-01T00:00:00"/>
    <n v="2"/>
    <n v="71000"/>
    <n v="71000"/>
    <n v="0"/>
    <n v="71000"/>
    <n v="71000"/>
    <n v="0"/>
    <n v="3"/>
  </r>
  <r>
    <s v="10/12/2025"/>
    <s v="2025-9904"/>
    <s v="Higher Education Awards"/>
    <s v="Mpumelelo Nxumalo"/>
    <s v="2020587131@ufs4life.ac.za"/>
    <s v="Submitted"/>
    <s v="Under Review"/>
    <x v="0"/>
    <x v="0"/>
    <x v="0"/>
    <x v="0"/>
    <s v="EM"/>
    <s v="Complete"/>
    <s v="Completed"/>
    <x v="6"/>
    <s v="University of the Free State"/>
    <s v="Master of Social Science with Specialisation in Anthropology"/>
    <s v="Multispecies ethnography; African epistemology"/>
    <s v="Badri"/>
    <s v="Johann"/>
    <s v="Badri Zolfaghari"/>
    <s v="Johan Hattingh"/>
    <n v="100"/>
    <n v="100"/>
    <n v="100"/>
    <n v="5"/>
    <n v="5"/>
    <n v="10"/>
    <x v="1"/>
    <x v="1"/>
    <x v="1"/>
    <d v="2026-02-02T00:00:00"/>
    <n v="2"/>
    <n v="240000"/>
    <n v="240000"/>
    <n v="0"/>
    <n v="240000"/>
    <n v="240000"/>
    <n v="0"/>
    <n v="3"/>
  </r>
  <r>
    <s v="10/12/2025"/>
    <s v="2025-9124"/>
    <s v="Higher Education Awards"/>
    <s v="Nomthandazo Msipha"/>
    <s v="nomthims@gmail.com"/>
    <s v="Submitted"/>
    <s v="Under Review"/>
    <x v="2"/>
    <x v="0"/>
    <x v="1"/>
    <x v="0"/>
    <s v="EM"/>
    <s v="Complete"/>
    <s v="Completed"/>
    <x v="4"/>
    <s v="University of Cape Town"/>
    <s v="Doctoral 's in clinical sciences and immunology"/>
    <s v="Interleukin 4 induced gene 1 (IL-4I1) during Nippostronglyus brasiliensis and Schistosoma mansoni."/>
    <s v="Nicola"/>
    <s v="Riffat"/>
    <s v="Nicola Christofides"/>
    <s v="Riffat Munir"/>
    <n v="75"/>
    <n v="50"/>
    <n v="62.5"/>
    <n v="3"/>
    <n v="2"/>
    <n v="5"/>
    <x v="0"/>
    <x v="0"/>
    <x v="0"/>
    <d v="2026-01-12T00:00:00"/>
    <n v="3"/>
    <n v="281170"/>
    <n v="273520"/>
    <n v="286961.59999999998"/>
    <n v="281170"/>
    <n v="273520"/>
    <n v="286961.59999999998"/>
    <n v="3"/>
  </r>
  <r>
    <s v="10/12/2025"/>
    <s v="2025-10069"/>
    <s v="Higher Education Awards"/>
    <s v="kealeboga molokoane"/>
    <s v="kealebogamolokoane2001@gmail.com"/>
    <s v="Submitted"/>
    <s v="Under Review"/>
    <x v="0"/>
    <x v="0"/>
    <x v="0"/>
    <x v="0"/>
    <s v="EM"/>
    <s v="Complete,2o/s ref (I can see they were trying to upload)"/>
    <s v="Completed"/>
    <x v="2"/>
    <s v="North West university"/>
    <s v="Master of in Economics"/>
    <s v="Just transformation"/>
    <s v="Ekaete"/>
    <s v="Philippe"/>
    <s v="Ekaete Benedict"/>
    <s v="Philippe Burger"/>
    <n v="75"/>
    <n v="57.142857142857139"/>
    <n v="66.071428571428569"/>
    <n v="3"/>
    <n v="1"/>
    <n v="4"/>
    <x v="0"/>
    <x v="0"/>
    <x v="0"/>
    <d v="2026-02-02T00:00:00"/>
    <n v="2"/>
    <n v="172000"/>
    <n v="172000"/>
    <n v="0"/>
    <n v="172000"/>
    <n v="172000"/>
    <n v="0"/>
    <n v="1"/>
  </r>
  <r>
    <s v="10/12/2025"/>
    <s v="2025-9309"/>
    <s v="Higher Education Awards"/>
    <s v="Neo Mokhuoane"/>
    <s v="neomokhuoane@gmail.com"/>
    <s v="Submitted"/>
    <s v="Under Review"/>
    <x v="0"/>
    <x v="0"/>
    <x v="1"/>
    <x v="0"/>
    <s v="EM"/>
    <s v="Complete"/>
    <s v="Completed"/>
    <x v="1"/>
    <s v="University of Pretoria"/>
    <s v="Masters of Social Sciences in Sociology"/>
    <s v="Urban Regeneration and the Making of Racialized Spatial Inequality in Johannesburg Inner-city."/>
    <s v="Sam"/>
    <s v="Srila"/>
    <s v="Sam Kariuki"/>
    <s v="Srila Roy"/>
    <n v="75"/>
    <n v="85.714285714285708"/>
    <n v="80.357142857142861"/>
    <n v="3"/>
    <n v="5"/>
    <n v="8"/>
    <x v="1"/>
    <x v="1"/>
    <x v="0"/>
    <d v="2026-02-01T00:00:00"/>
    <n v="2"/>
    <n v="227000"/>
    <n v="259000"/>
    <n v="0"/>
    <n v="227000"/>
    <n v="259000"/>
    <n v="0"/>
    <n v="3"/>
  </r>
  <r>
    <s v="10/12/2025"/>
    <s v="2025-9520"/>
    <s v="Higher Education Awards"/>
    <s v="Mieke Struwig"/>
    <s v="19458673@sun.ac.za"/>
    <s v="Submitted"/>
    <s v="Under Review"/>
    <x v="1"/>
    <x v="1"/>
    <x v="1"/>
    <x v="0"/>
    <s v="EM"/>
    <s v="Complete"/>
    <s v="Completed"/>
    <x v="1"/>
    <s v="Stellenbosch University"/>
    <s v="Postdoctoral Fellowship"/>
    <s v="Music Departments at Historically Black Universities – Histories, Ideologies, and Legacies"/>
    <s v="David"/>
    <s v="Robert"/>
    <s v="David Medalie"/>
    <s v="Robert Peacock"/>
    <n v="75"/>
    <n v="69.444444444444443"/>
    <n v="72.222222222222229"/>
    <n v="4"/>
    <n v="3"/>
    <n v="7"/>
    <x v="0"/>
    <x v="0"/>
    <x v="0"/>
    <d v="2026-04-01T00:00:00"/>
    <n v="2"/>
    <n v="394680"/>
    <n v="392493"/>
    <n v="0"/>
    <n v="394680"/>
    <n v="392493"/>
    <n v="0"/>
    <n v="3"/>
  </r>
  <r>
    <s v="10/12/2025"/>
    <s v="2025-9838"/>
    <s v="Higher Education Awards"/>
    <s v="Merriam Mamorena Leeuw"/>
    <s v="457921@students.wits.ac.za"/>
    <s v="Submitted"/>
    <s v="Under Review"/>
    <x v="0"/>
    <x v="0"/>
    <x v="1"/>
    <x v="0"/>
    <s v="EM"/>
    <s v="Complete"/>
    <s v="Completed"/>
    <x v="1"/>
    <s v="The University of Witwatersrand"/>
    <s v="Masters in Cultural Policy and Masters"/>
    <s v="Festivals in Peri-Urban areas; The Smoking Dragons festival as a case study"/>
    <s v="Annie"/>
    <s v="Lindy"/>
    <s v="Annie Devenish"/>
    <s v="Lindy Stiebel"/>
    <n v="64.285714285714292"/>
    <n v="60.714285714285708"/>
    <n v="62.5"/>
    <n v="3"/>
    <n v="2"/>
    <n v="5"/>
    <x v="0"/>
    <x v="0"/>
    <x v="0"/>
    <d v="2025-02-28T00:00:00"/>
    <n v="1"/>
    <n v="207194.9"/>
    <n v="0"/>
    <n v="0"/>
    <n v="207194.9"/>
    <n v="0"/>
    <n v="0"/>
    <n v="2"/>
  </r>
  <r>
    <s v="10/12/2025"/>
    <s v="2025-8981"/>
    <s v="Higher Education Awards"/>
    <s v="Gabriela Singh"/>
    <s v="snggab002@myuct.ac.za"/>
    <s v="Submitted"/>
    <s v="Under Review"/>
    <x v="1"/>
    <x v="4"/>
    <x v="1"/>
    <x v="0"/>
    <s v="EM"/>
    <s v="Complete"/>
    <s v="Completed"/>
    <x v="4"/>
    <s v="University of Cape Town"/>
    <s v="Postdoctoral studies"/>
    <s v="Tuberculous meningitis"/>
    <s v="Mandeep"/>
    <s v="Zane"/>
    <s v="Mandeep Kaur"/>
    <s v="Zane Lombard"/>
    <n v="91.666666666666657"/>
    <n v="91.666666666666657"/>
    <n v="91.666666666666657"/>
    <n v="4"/>
    <n v="5"/>
    <n v="9"/>
    <x v="1"/>
    <x v="1"/>
    <x v="1"/>
    <d v="2026-02-02T00:00:00"/>
    <n v="2"/>
    <n v="450000"/>
    <n v="490000"/>
    <n v="0"/>
    <n v="450000"/>
    <n v="490000"/>
    <n v="0"/>
    <n v="3"/>
  </r>
  <r>
    <s v="10/12/2025"/>
    <s v="2025-8360"/>
    <s v="Higher Education Awards"/>
    <s v="Gabriel De Freitas"/>
    <s v="gabbi.defreitas@gmail.com"/>
    <s v="Submitted"/>
    <s v="Under Review"/>
    <x v="0"/>
    <x v="1"/>
    <x v="0"/>
    <x v="0"/>
    <s v="EM"/>
    <s v="Complete"/>
    <s v="Completed"/>
    <x v="0"/>
    <s v="University of Cape Town"/>
    <s v="Masters Degree"/>
    <s v="Cosmology and General Relativity"/>
    <s v="Edzai"/>
    <s v="Nora"/>
    <s v="Edzai Zvobwo"/>
    <s v="Nora Alexeeva"/>
    <n v="82.142857142857139"/>
    <n v="92.857142857142861"/>
    <n v="87.5"/>
    <n v="4"/>
    <n v="4"/>
    <n v="8"/>
    <x v="1"/>
    <x v="1"/>
    <x v="0"/>
    <d v="2026-01-31T00:00:00"/>
    <n v="2"/>
    <n v="247500"/>
    <n v="247500"/>
    <n v="0"/>
    <n v="247500"/>
    <n v="247500"/>
    <n v="0"/>
    <n v="3"/>
  </r>
  <r>
    <s v="10/12/2025"/>
    <s v="2025-9421"/>
    <s v="Higher Education Awards"/>
    <s v="Marnie McGowan"/>
    <s v="marnie.mcgowan@gmail.com"/>
    <s v="Submitted"/>
    <s v="Under Review"/>
    <x v="2"/>
    <x v="1"/>
    <x v="1"/>
    <x v="0"/>
    <s v="EM"/>
    <s v="Complete"/>
    <s v="Completed"/>
    <x v="4"/>
    <s v="University of Cape Town"/>
    <s v="Doctor of Philosophy in Neuroscience (Physiology) - PhD in Neuroscience (Physiology)"/>
    <s v="Neuroscience, Immunology, Neuroimmunology, Bioinformatics, Spatial Omics, Cryptococcal Meningitis"/>
    <s v="Mubeen"/>
    <s v="Sandrine"/>
    <s v="Mubeen Goolam"/>
    <s v="Sandrine Lecour"/>
    <n v="75"/>
    <n v="85.714285714285708"/>
    <n v="80.357142857142861"/>
    <n v="3"/>
    <n v="4"/>
    <n v="7"/>
    <x v="1"/>
    <x v="0"/>
    <x v="0"/>
    <d v="2026-03-02T00:00:00"/>
    <n v="3"/>
    <n v="274743.59999999998"/>
    <n v="273027.89"/>
    <n v="286959.33"/>
    <n v="274743.59999999998"/>
    <n v="273027.89"/>
    <n v="286959.33"/>
    <n v="3"/>
  </r>
  <r>
    <s v="10/12/2025"/>
    <s v="2025-9485"/>
    <s v="Higher Education Awards"/>
    <s v="Cheyann Dare"/>
    <s v="1852761@students.wits.ac.za"/>
    <s v="Submitted"/>
    <s v="Under Review"/>
    <x v="2"/>
    <x v="1"/>
    <x v="1"/>
    <x v="0"/>
    <s v="EM"/>
    <s v="Complete"/>
    <s v="Completed"/>
    <x v="4"/>
    <s v="University of the Witwatersrand"/>
    <s v="PhD by dissertation in Biochemistry and Cell Biology"/>
    <s v="Alzheimers Disease"/>
    <s v="Raymond"/>
    <s v="Shahidul"/>
    <s v="Md. Shahidul Islam"/>
    <s v="Raymond Hewer"/>
    <n v="75"/>
    <n v="67.857142857142861"/>
    <n v="71.428571428571431"/>
    <n v="3"/>
    <n v="3"/>
    <n v="6"/>
    <x v="0"/>
    <x v="0"/>
    <x v="0"/>
    <d v="2026-02-01T00:00:00"/>
    <n v="3"/>
    <n v="235696"/>
    <n v="235696"/>
    <n v="235696"/>
    <n v="235696"/>
    <n v="235696"/>
    <n v="235696"/>
    <n v="3"/>
  </r>
  <r>
    <s v="10/12/2025"/>
    <s v="2025-9908"/>
    <s v="Higher Education Awards"/>
    <s v="Amogelang Ratlhogo"/>
    <s v="ratlhogoamo1532@gmail.com"/>
    <s v="Submitted"/>
    <s v="Under Review"/>
    <x v="0"/>
    <x v="0"/>
    <x v="0"/>
    <x v="0"/>
    <s v="EM"/>
    <s v="Complete"/>
    <s v="Completed"/>
    <x v="1"/>
    <s v="North West University"/>
    <s v="Masters degree"/>
    <s v="Challenges faced by South Africa in complying with global climate change agreements/ agenda"/>
    <s v="David"/>
    <s v="Oliver "/>
    <s v="David Medalie"/>
    <s v="Oliver Nyambi"/>
    <n v="75"/>
    <n v="92.857142857142861"/>
    <n v="83.928571428571431"/>
    <n v="3"/>
    <n v="3"/>
    <n v="6"/>
    <x v="0"/>
    <x v="0"/>
    <x v="0"/>
    <d v="2026-02-16T00:00:00"/>
    <n v="1"/>
    <n v="87346"/>
    <n v="0"/>
    <n v="0"/>
    <n v="87346"/>
    <n v="0"/>
    <n v="0"/>
    <n v="3"/>
  </r>
  <r>
    <s v="10/12/2025"/>
    <s v="2025-8542"/>
    <s v="Higher Education Awards"/>
    <s v="Bernett Nkwayi Mulungo"/>
    <s v="mulungob@gmail.com"/>
    <s v="Submitted"/>
    <s v="Under Review"/>
    <x v="2"/>
    <x v="0"/>
    <x v="0"/>
    <x v="1"/>
    <s v="EM"/>
    <s v="Complete"/>
    <s v="Completed"/>
    <x v="7"/>
    <s v="Canterbury Christ Church University"/>
    <s v="Music Composition Studies"/>
    <s v="South African jazz: the Inflence of Indigenous and Traditional Music on South African Jazz"/>
    <s v="Alexander"/>
    <s v="Susan"/>
    <s v="Alexander JOHNSON"/>
    <s v="Dr Musa-Duke Nkuna"/>
    <n v="70"/>
    <n v="70"/>
    <n v="70"/>
    <n v="4"/>
    <n v="4"/>
    <n v="8"/>
    <x v="0"/>
    <x v="0"/>
    <x v="0"/>
    <d v="2026-01-09T00:00:00"/>
    <n v="3"/>
    <n v="-61037.5"/>
    <n v="-92777"/>
    <n v="-92777"/>
    <n v="-61037.5"/>
    <n v="-92777"/>
    <n v="-92777"/>
    <n v="3"/>
  </r>
  <r>
    <s v="10/12/2025"/>
    <s v="2025-9434"/>
    <s v="Higher Education Awards"/>
    <s v="Florence Muzenda"/>
    <s v="fmuzenda@sun.ac.za"/>
    <s v="Submitted"/>
    <s v="Under Review"/>
    <x v="2"/>
    <x v="0"/>
    <x v="1"/>
    <x v="0"/>
    <s v="EM"/>
    <s v="Complete"/>
    <s v="Completed"/>
    <x v="4"/>
    <s v="Stellenbosch University"/>
    <s v="PhD Biochemistry"/>
    <s v="Characterization of the Plasmodium falciparum ER Hsps as potential diagnostic tools."/>
    <s v="Raymond"/>
    <s v="Shahidul"/>
    <s v="Md. Shahidul Islam"/>
    <s v="Raymond Hewer"/>
    <n v="78.571428571428569"/>
    <n v="64.285714285714292"/>
    <n v="71.428571428571431"/>
    <n v="4"/>
    <n v="2"/>
    <n v="6"/>
    <x v="0"/>
    <x v="0"/>
    <x v="0"/>
    <d v="2026-01-19T00:00:00"/>
    <n v="2"/>
    <n v="175000"/>
    <n v="175000"/>
    <n v="0"/>
    <n v="175000"/>
    <n v="175000"/>
    <n v="0"/>
    <n v="3"/>
  </r>
  <r>
    <s v="10/12/2025"/>
    <s v="2025-8570"/>
    <s v="Higher Education Awards"/>
    <s v="Sibusiso Trevor Dlamini"/>
    <s v="2619692@students.wits.ac.za"/>
    <s v="Submitted"/>
    <s v="Under Review"/>
    <x v="1"/>
    <x v="0"/>
    <x v="0"/>
    <x v="0"/>
    <s v="EM"/>
    <s v="Complete"/>
    <s v="Completed"/>
    <x v="3"/>
    <s v="University of the Witwatersrand, Johannesburg"/>
    <s v="Environmental Microbiology"/>
    <s v="Grass root traits respond to changes in soil biogeochemical gradient in the Maloti-Drakensburg"/>
    <s v="Martin"/>
    <s v="Tuan"/>
    <s v="Martin Coetzee"/>
    <s v="Tuan Duong"/>
    <n v="88.888888888888886"/>
    <n v="69.444444444444443"/>
    <n v="79.166666666666657"/>
    <n v="4"/>
    <n v="3"/>
    <n v="7"/>
    <x v="1"/>
    <x v="0"/>
    <x v="0"/>
    <d v="2026-01-19T00:00:00"/>
    <n v="2"/>
    <n v="202000"/>
    <n v="145000"/>
    <n v="0"/>
    <n v="202000"/>
    <n v="145000"/>
    <n v="0"/>
    <n v="2"/>
  </r>
  <r>
    <s v="10/12/2025"/>
    <s v="2025-9959"/>
    <s v="Higher Education Awards"/>
    <s v="Mukesh Kumar Verma"/>
    <s v="VermaM@ukzn.ac.za"/>
    <s v="Submitted"/>
    <s v="Under Review"/>
    <x v="1"/>
    <x v="4"/>
    <x v="0"/>
    <x v="0"/>
    <s v="EM"/>
    <s v="Complete"/>
    <s v="Completed"/>
    <x v="0"/>
    <s v="University of Kwazulu Natal , Durban"/>
    <s v="Material Chemistry"/>
    <s v="Synthesis, characterization and application of Core-Shell Photocatalysts for Efficient Water Purification"/>
    <s v="Katherine"/>
    <s v="Mzamo"/>
    <s v="Katherine de Villiers"/>
    <s v="Mzamo Shozi"/>
    <n v="80.555555555555557"/>
    <n v="83.333333333333343"/>
    <n v="81.944444444444457"/>
    <n v="4"/>
    <n v="4"/>
    <n v="8"/>
    <x v="1"/>
    <x v="1"/>
    <x v="0"/>
    <d v="2026-01-01T00:00:00"/>
    <n v="1"/>
    <n v="225000"/>
    <n v="0"/>
    <n v="0"/>
    <n v="225000"/>
    <n v="0"/>
    <n v="0"/>
    <n v="3"/>
  </r>
  <r>
    <s v="10/12/2025"/>
    <s v="2025-8296"/>
    <s v="Higher Education Awards"/>
    <s v="Nomthandazo Nxasane"/>
    <s v="nomthandazonxasane@gmail.com"/>
    <s v="Submitted"/>
    <s v="Under Review"/>
    <x v="0"/>
    <x v="0"/>
    <x v="1"/>
    <x v="0"/>
    <s v="EM"/>
    <s v="Complete"/>
    <s v="Completed"/>
    <x v="3"/>
    <s v="University of the Free State"/>
    <s v="Master of Science in Agriculture with specialization in Soil Science"/>
    <s v="Evaluating the temporal effects of regenerative and conventional cropping on soil health"/>
    <s v="Martin Clark"/>
    <s v="Sindiso"/>
    <s v="Martin Clark"/>
    <s v="Sindiso Chamane"/>
    <n v="78.571428571428569"/>
    <n v="85.714285714285708"/>
    <n v="82.142857142857139"/>
    <n v="4"/>
    <n v="5"/>
    <n v="9"/>
    <x v="1"/>
    <x v="1"/>
    <x v="0"/>
    <d v="2026-01-12T00:00:00"/>
    <n v="2"/>
    <n v="300333.33"/>
    <n v="233666.67"/>
    <n v="0"/>
    <n v="250000"/>
    <n v="233666.67"/>
    <n v="0"/>
    <n v="3"/>
  </r>
  <r>
    <s v="10/12/2025"/>
    <s v="2025-8424"/>
    <s v="Higher Education Awards"/>
    <s v="Veronique De Jager"/>
    <s v="djgver001@myuct.ac.za"/>
    <s v="Submitted"/>
    <s v="Under Review"/>
    <x v="2"/>
    <x v="2"/>
    <x v="1"/>
    <x v="0"/>
    <s v="EM"/>
    <s v="Complete"/>
    <s v="Completed"/>
    <x v="4"/>
    <s v="University of Cape Town"/>
    <s v="Doctoral degree"/>
    <s v="Tuberculosis of the Central Nervous System - &quot;Dissecting CNS Tuberculosis Immune Dynamics Through Temporal Single-Cell Transcriptomic and Proteomic Profiling&quot;"/>
    <s v="Nicola"/>
    <s v="Riffat"/>
    <s v="Nicola Christofides"/>
    <s v="Riffat Munir"/>
    <n v="92.857142857142861"/>
    <n v="89.285714285714292"/>
    <n v="91.071428571428584"/>
    <n v="4"/>
    <n v="4"/>
    <n v="8"/>
    <x v="1"/>
    <x v="1"/>
    <x v="0"/>
    <d v="2024-07-01T00:00:00"/>
    <n v="2"/>
    <n v="430000"/>
    <n v="430000"/>
    <n v="0"/>
    <n v="350000"/>
    <n v="350000"/>
    <n v="0"/>
    <n v="3"/>
  </r>
  <r>
    <s v="10/12/2025"/>
    <s v="2025-10026"/>
    <s v="Higher Education Awards"/>
    <s v="Samkelo Radebe"/>
    <s v="2022157040@ufs4life.ac.za"/>
    <s v="Submitted"/>
    <s v="Under Review"/>
    <x v="1"/>
    <x v="0"/>
    <x v="0"/>
    <x v="0"/>
    <s v="EM"/>
    <s v="Complete"/>
    <s v="Completed"/>
    <x v="3"/>
    <s v="The University of the Free State"/>
    <s v="Post Doctoral fellowship"/>
    <s v="A real-time, climate sensitive transferable machine learning groundwater prospectivity model for arid and semi-arid regions of the African continent"/>
    <s v="Martin"/>
    <s v="Sindiso"/>
    <s v="Martin Coetzee"/>
    <s v="Sindiso Chamane"/>
    <n v="94.444444444444443"/>
    <n v="77.777777777777786"/>
    <n v="86.111111111111114"/>
    <n v="4"/>
    <n v="5"/>
    <n v="9"/>
    <x v="1"/>
    <x v="1"/>
    <x v="0"/>
    <d v="2025-09-30T00:00:00"/>
    <n v="2"/>
    <n v="440408"/>
    <n v="180000"/>
    <n v="0"/>
    <n v="440408"/>
    <n v="180000"/>
    <n v="0"/>
    <n v="3"/>
  </r>
  <r>
    <s v="10/12/2025"/>
    <s v="2025-8688"/>
    <s v="Higher Education Awards"/>
    <s v="Gabriela Carolus"/>
    <s v="gcarolus@sun.ac.za"/>
    <s v="Submitted"/>
    <s v="Under Review"/>
    <x v="2"/>
    <x v="2"/>
    <x v="1"/>
    <x v="0"/>
    <s v="EM"/>
    <s v="Complete"/>
    <s v="Completed"/>
    <x v="4"/>
    <s v="Stellenbosch University"/>
    <s v="Doctor of Philosophy (PhD), Public Health (Health Systems &amp; Services Research), Faculty of Medicine &amp; Health Sciences, Stellenbosch University."/>
    <s v="Co-designing AI-Driven Storytelling Tools for Type-2 Diabetes Management in African Low and Middle-Income Countries"/>
    <s v="Gill"/>
    <s v="Moses"/>
    <s v="Gill Nelson"/>
    <s v="Moses Alobo"/>
    <n v="85.714285714285708"/>
    <n v="85.714285714285708"/>
    <n v="85.714285714285708"/>
    <n v="5"/>
    <n v="5"/>
    <n v="10"/>
    <x v="1"/>
    <x v="1"/>
    <x v="0"/>
    <d v="2026-01-01T00:00:00"/>
    <n v="3"/>
    <n v="409693"/>
    <n v="401438"/>
    <n v="459410"/>
    <n v="350000"/>
    <n v="350000"/>
    <n v="350000"/>
    <n v="3"/>
  </r>
  <r>
    <s v="10/12/2025"/>
    <s v="2025-9902"/>
    <s v="Higher Education Awards"/>
    <s v="Tendani Goodnes Nethomboni"/>
    <s v="tendigoodnethomboni@gmail.com"/>
    <s v="Submitted"/>
    <s v="Under Review"/>
    <x v="0"/>
    <x v="0"/>
    <x v="1"/>
    <x v="0"/>
    <s v="EM"/>
    <s v="Complete"/>
    <s v="Completed"/>
    <x v="4"/>
    <s v="University of the Witwatersrand"/>
    <s v="Master Of Science in Medicine by research(Anatomical Sciences)"/>
    <s v="Investigating Microglial response to the Nemecheck protocol in Human-Derived brain organoid models of Autism Spectrum disorder"/>
    <s v="Mubeen"/>
    <s v="Sandrine"/>
    <s v="Mubeen Goolam"/>
    <s v="Sandrine Lecour"/>
    <n v="39.285714285714285"/>
    <n v="57.142857142857139"/>
    <n v="48.214285714285708"/>
    <n v="1"/>
    <n v="2"/>
    <n v="3"/>
    <x v="0"/>
    <x v="0"/>
    <x v="0"/>
    <d v="2026-02-01T00:00:00"/>
    <n v="2"/>
    <n v="197887.9"/>
    <n v="197887.9"/>
    <n v="0"/>
    <n v="197887.9"/>
    <n v="197887.9"/>
    <n v="0"/>
    <n v="3"/>
  </r>
  <r>
    <s v="10/12/2025"/>
    <s v="2025-9237"/>
    <s v="Higher Education Awards"/>
    <s v="Megan Jacobs"/>
    <s v="24833703@sun.ac.za"/>
    <s v="Submitted"/>
    <s v="Under Review"/>
    <x v="0"/>
    <x v="2"/>
    <x v="1"/>
    <x v="0"/>
    <s v="EM"/>
    <s v="Complete"/>
    <s v="Completed"/>
    <x v="7"/>
    <s v="Stellenbosch University"/>
    <s v="MA History"/>
    <s v="Cape Jazz"/>
    <s v="Alexander"/>
    <s v="Susan"/>
    <s v="Alexander JOHNSON"/>
    <s v="Dr Musa-Duke Nkuna"/>
    <n v="67.857142857142861"/>
    <n v="67.857142857142861"/>
    <n v="67.857142857142861"/>
    <n v="3"/>
    <n v="3"/>
    <n v="6"/>
    <x v="0"/>
    <x v="0"/>
    <x v="0"/>
    <d v="2026-02-02T00:00:00"/>
    <n v="2"/>
    <n v="213810"/>
    <n v="223810"/>
    <n v="0"/>
    <n v="213810"/>
    <n v="223810"/>
    <n v="0"/>
    <n v="3"/>
  </r>
  <r>
    <s v="10/12/2025"/>
    <s v="2025-9659"/>
    <s v="Higher Education Awards"/>
    <s v="Tallulah Rose Glasby"/>
    <s v="23540303@sun.ac.za"/>
    <s v="Submitted"/>
    <s v="Under Review"/>
    <x v="2"/>
    <x v="1"/>
    <x v="1"/>
    <x v="0"/>
    <s v="EM"/>
    <s v="Complete"/>
    <s v="Completed"/>
    <x v="3"/>
    <s v="Stellenbosch University"/>
    <s v="Biological Soil Crusts"/>
    <s v="The role and importance of biological soil crusts in South African drylands"/>
    <s v="Martin Clark"/>
    <s v="Sindiso"/>
    <s v="Martin Clark"/>
    <s v="Sindiso Chamane"/>
    <n v="92.857142857142861"/>
    <n v="82.142857142857139"/>
    <n v="87.5"/>
    <n v="5"/>
    <n v="5"/>
    <n v="10"/>
    <x v="1"/>
    <x v="1"/>
    <x v="0"/>
    <d v="2026-01-05T00:00:00"/>
    <n v="3"/>
    <n v="179915"/>
    <n v="179915"/>
    <n v="179915"/>
    <n v="179915"/>
    <n v="179915"/>
    <n v="179915"/>
    <n v="3"/>
  </r>
  <r>
    <s v="10/12/2025"/>
    <s v="2025-8734"/>
    <s v="Higher Education Awards"/>
    <s v="Leona Claasen"/>
    <s v="3332962@myuwc.ac.za"/>
    <s v="Submitted"/>
    <s v="Under Review"/>
    <x v="2"/>
    <x v="2"/>
    <x v="1"/>
    <x v="0"/>
    <s v="CB"/>
    <s v="Complete"/>
    <s v="Completed"/>
    <x v="1"/>
    <s v="University of the Western Cape"/>
    <s v="FT PhD - Education (Language and Literacy)"/>
    <s v="Investigating Critical Translanguaging in the design and implementation of Kaaps/English bilingual learning materials - An ethnographic case study of a Primary School in Cape Town."/>
    <s v="Lucy"/>
    <s v="Oliver"/>
    <s v="Lucy Graham"/>
    <s v="Oliver Nyambi"/>
    <n v="67.857142857142861"/>
    <n v="82.142857142857139"/>
    <n v="75"/>
    <n v="3"/>
    <n v="2"/>
    <n v="5"/>
    <x v="0"/>
    <x v="0"/>
    <x v="0"/>
    <d v="2025-03-03T00:00:00"/>
    <n v="3"/>
    <n v="89000"/>
    <n v="104900"/>
    <n v="104900"/>
    <n v="89000"/>
    <n v="104900"/>
    <n v="104900"/>
    <n v="3"/>
  </r>
  <r>
    <s v="10/12/2025"/>
    <s v="2025-9518"/>
    <s v="Higher Education Awards"/>
    <s v="Chandelé Montgomery"/>
    <s v="1349460@students.wits.ac.za"/>
    <s v="Submitted"/>
    <s v="Under Review"/>
    <x v="2"/>
    <x v="1"/>
    <x v="1"/>
    <x v="0"/>
    <s v="EM"/>
    <s v="Complete"/>
    <s v="Completed"/>
    <x v="3"/>
    <s v="University of the Witwatersrand"/>
    <s v="Doctor of Philosophy"/>
    <s v="Palaeontology"/>
    <s v="Cobus"/>
    <s v="Michelle"/>
    <s v="Cobus Meyer Visagie"/>
    <s v="Michelle Greve"/>
    <n v="75"/>
    <n v="92.857142857142861"/>
    <n v="83.928571428571431"/>
    <n v="3"/>
    <n v="4"/>
    <n v="7"/>
    <x v="1"/>
    <x v="0"/>
    <x v="0"/>
    <d v="2026-01-01T00:00:00"/>
    <n v="1"/>
    <n v="346500"/>
    <n v="0"/>
    <n v="0"/>
    <n v="346500"/>
    <n v="0"/>
    <n v="0"/>
    <n v="3"/>
  </r>
  <r>
    <s v="10/12/2025"/>
    <s v="2025-9296"/>
    <s v="Higher Education Awards"/>
    <s v="Bongekile Radebe"/>
    <s v="bongekileradebe1308@gmail.com"/>
    <s v="Submitted"/>
    <s v="Under Review"/>
    <x v="2"/>
    <x v="0"/>
    <x v="1"/>
    <x v="0"/>
    <s v="EM"/>
    <s v="Complete"/>
    <s v="Completed"/>
    <x v="8"/>
    <s v="University of South Africa"/>
    <s v="Criminal Justice, Forensic Science and Technology"/>
    <s v="Application of electron microscopy in pesticide poisoning post-mortem cases as a diagnostic tool"/>
    <s v="Carolina"/>
    <s v="Danie"/>
    <s v="Carolina Meyer"/>
    <s v="Danie Visser"/>
    <n v="64.285714285714292"/>
    <n v="85.714285714285708"/>
    <n v="75"/>
    <n v="3"/>
    <n v="3"/>
    <n v="6"/>
    <x v="0"/>
    <x v="0"/>
    <x v="0"/>
    <d v="2026-01-19T00:00:00"/>
    <n v="3"/>
    <n v="180000"/>
    <n v="180000"/>
    <n v="180000"/>
    <n v="180000"/>
    <n v="180000"/>
    <n v="180000"/>
    <n v="3"/>
  </r>
  <r>
    <s v="10/12/2025"/>
    <s v="2025-9974"/>
    <s v="Higher Education Awards"/>
    <s v="Benedict Moyo"/>
    <s v="u23932679@tuks.co.za"/>
    <s v="Submitted"/>
    <s v="Under Review"/>
    <x v="2"/>
    <x v="0"/>
    <x v="0"/>
    <x v="0"/>
    <s v="EM"/>
    <s v="Complete"/>
    <s v="Completed"/>
    <x v="2"/>
    <s v="University of Pretoria"/>
    <s v="PhD in Economics"/>
    <s v="Modelling corruption as a network in South Africa"/>
    <s v="Ekaete"/>
    <s v="Philippe"/>
    <s v="Ekaete Benedict"/>
    <s v="Philippe Burger"/>
    <n v="71.428571428571431"/>
    <n v="64.285714285714292"/>
    <n v="67.857142857142861"/>
    <n v="4"/>
    <n v="2"/>
    <n v="6"/>
    <x v="0"/>
    <x v="0"/>
    <x v="0"/>
    <d v="2026-02-16T00:00:00"/>
    <n v="3"/>
    <n v="237500"/>
    <n v="229500"/>
    <n v="256500"/>
    <n v="237500"/>
    <n v="229500"/>
    <n v="256500"/>
    <n v="3"/>
  </r>
  <r>
    <s v="10/12/2025"/>
    <s v="2025-9310"/>
    <s v="Higher Education Awards"/>
    <s v="Nirveda Alleck"/>
    <s v="nirvedaalleck@gmail.com"/>
    <s v="Submitted"/>
    <s v="Under Review"/>
    <x v="2"/>
    <x v="4"/>
    <x v="1"/>
    <x v="0"/>
    <s v="EM"/>
    <s v="Complete"/>
    <s v="Completed"/>
    <x v="7"/>
    <s v="University of Cape Town"/>
    <s v="PhD in Fine Arts"/>
    <s v="Decolonial representation and aesthetics pertaining to the Indian Ocean islands"/>
    <s v="Janine"/>
    <s v="Maureen"/>
    <s v="Janine Allen-Spies"/>
    <s v="Maureen De Jager"/>
    <n v="72.222222222222214"/>
    <n v="66.666666666666657"/>
    <n v="69.444444444444429"/>
    <n v="5"/>
    <n v="3"/>
    <n v="8"/>
    <x v="0"/>
    <x v="0"/>
    <x v="0"/>
    <d v="2025-07-07T00:00:00"/>
    <n v="3"/>
    <n v="188163"/>
    <n v="312363"/>
    <n v="298363"/>
    <n v="188163"/>
    <n v="312363"/>
    <n v="298363"/>
    <n v="3"/>
  </r>
  <r>
    <s v="10/12/2025"/>
    <s v="2025-9680"/>
    <s v="Higher Education Awards"/>
    <s v="Thirusha Mohabir"/>
    <s v="thirushamohabir@gmail.com"/>
    <s v="Submitted"/>
    <s v="Under Review"/>
    <x v="2"/>
    <x v="4"/>
    <x v="1"/>
    <x v="0"/>
    <s v="EM"/>
    <s v="Complete"/>
    <s v="Completed"/>
    <x v="6"/>
    <s v="Stellenborsch University"/>
    <s v="Doctorate in Psychology"/>
    <s v="Aging in a Youth-Centred Society: Exploring the Psychological Impact of Societal Invisibility on Older Adults in South Africa."/>
    <s v="Puleng"/>
    <s v="Wahbie"/>
    <s v="Puleng Segalo"/>
    <s v="Wahbie Long"/>
    <n v="71.428571428571431"/>
    <n v="57.142857142857139"/>
    <n v="64.285714285714278"/>
    <n v="4"/>
    <n v="2"/>
    <n v="6"/>
    <x v="0"/>
    <x v="0"/>
    <x v="0"/>
    <d v="2026-01-05T00:00:00"/>
    <n v="3"/>
    <n v="285000"/>
    <n v="306000"/>
    <n v="353000"/>
    <n v="285000"/>
    <n v="306000"/>
    <n v="353000"/>
    <n v="3"/>
  </r>
  <r>
    <s v="10/12/2025"/>
    <s v="2025-10013"/>
    <s v="Higher Education Awards"/>
    <s v="Aneska Richter"/>
    <s v="28885260@mynwu.ac.za"/>
    <s v="Submitted"/>
    <s v="Under Review"/>
    <x v="2"/>
    <x v="1"/>
    <x v="1"/>
    <x v="0"/>
    <s v="EM"/>
    <s v="Complete"/>
    <s v="Completed"/>
    <x v="3"/>
    <s v="North-West University (NWU)"/>
    <s v="PhD in Geography and Environmental Management"/>
    <s v="Quantifying pollutant transport and exceedances over South Africa and the Highveld CHIMERE chemistry transport model"/>
    <s v="Maryna"/>
    <s v="Romano"/>
    <s v="Maryna de Wit"/>
    <s v="Romano Lottering"/>
    <n v="60.714285714285708"/>
    <n v="78.571428571428569"/>
    <n v="69.642857142857139"/>
    <n v="3"/>
    <n v="4"/>
    <n v="7"/>
    <x v="0"/>
    <x v="0"/>
    <x v="0"/>
    <d v="2025-01-01T00:00:00"/>
    <n v="3"/>
    <n v="146000"/>
    <n v="152000"/>
    <n v="152000"/>
    <n v="146000"/>
    <n v="152000"/>
    <n v="152000"/>
    <n v="3"/>
  </r>
  <r>
    <s v="10/12/2025"/>
    <s v="2025-8421"/>
    <s v="Higher Education Awards"/>
    <s v="Isabel de Beer"/>
    <s v="isabel.debeer8@gmail.com"/>
    <s v="Submitted"/>
    <s v="Under Review"/>
    <x v="0"/>
    <x v="1"/>
    <x v="1"/>
    <x v="0"/>
    <s v="EM"/>
    <s v="Complete"/>
    <s v="Completed"/>
    <x v="4"/>
    <s v="University of Cape Town"/>
    <s v="Master of Science in Medicine (MSc Med) by dissertation"/>
    <s v="Medical Microbiology"/>
    <s v="Mandeep"/>
    <s v="Zane"/>
    <s v="Mandeep Kaur"/>
    <s v="Zane Lombard"/>
    <n v="92.857142857142861"/>
    <n v="92.857142857142861"/>
    <n v="92.857142857142861"/>
    <n v="5"/>
    <n v="5"/>
    <n v="10"/>
    <x v="1"/>
    <x v="1"/>
    <x v="1"/>
    <d v="2025-02-18T00:00:00"/>
    <n v="1"/>
    <n v="247166.45"/>
    <n v="0"/>
    <n v="0"/>
    <n v="248000"/>
    <n v="0"/>
    <n v="0"/>
    <n v="3"/>
  </r>
  <r>
    <s v="10/12/2025"/>
    <s v="2025-9879"/>
    <s v="Higher Education Awards"/>
    <s v="Karabelo Shirinde"/>
    <s v="Karabeloshirinde@gmail.com"/>
    <s v="Submitted"/>
    <s v="Under Review"/>
    <x v="2"/>
    <x v="0"/>
    <x v="1"/>
    <x v="0"/>
    <s v="EM"/>
    <s v="Complete"/>
    <s v="Completed"/>
    <x v="1"/>
    <s v="University of the Witwatersrand"/>
    <s v="Doctor of Philosophy in African Literature"/>
    <s v="Black Poetics and The New Genre of the Human"/>
    <s v="David"/>
    <s v="Chimwemwe"/>
    <s v="Chimwemwe Phiri"/>
    <s v="David Medalie"/>
    <n v="89.285714285714292"/>
    <n v="89.285714285714292"/>
    <n v="89.285714285714292"/>
    <n v="5"/>
    <n v="4"/>
    <n v="9"/>
    <x v="1"/>
    <x v="1"/>
    <x v="0"/>
    <d v="2025-04-01T00:00:00"/>
    <n v="2"/>
    <n v="107286"/>
    <n v="107286"/>
    <n v="0"/>
    <n v="107286"/>
    <n v="107286"/>
    <n v="0"/>
    <n v="2"/>
  </r>
  <r>
    <s v="10/12/2025"/>
    <s v="2025-9448"/>
    <s v="Higher Education Awards"/>
    <s v="Christine Mkhonto"/>
    <s v="chresimkhonto@gmail.com"/>
    <s v="Submitted"/>
    <s v="Under Review"/>
    <x v="1"/>
    <x v="0"/>
    <x v="1"/>
    <x v="0"/>
    <s v="EM"/>
    <s v="Complete"/>
    <s v="Completed"/>
    <x v="0"/>
    <s v="University of Limpopo"/>
    <s v="Natural Science-Metal alloys"/>
    <s v="Quaternary-doping of Pt, Ir and Ru on the ternary Fe-Ag-Al alloy"/>
    <s v="Katherine"/>
    <s v="Mzamo"/>
    <s v="Katherine de Villiers"/>
    <s v="Mzamo Shozi"/>
    <n v="44.444444444444443"/>
    <n v="66.666666666666657"/>
    <n v="55.55555555555555"/>
    <n v="1"/>
    <n v="2"/>
    <n v="3"/>
    <x v="0"/>
    <x v="0"/>
    <x v="0"/>
    <d v="2006-01-30T00:00:00"/>
    <n v="2"/>
    <n v="495000"/>
    <n v="415000"/>
    <n v="0"/>
    <n v="495000"/>
    <n v="415000"/>
    <n v="0"/>
    <n v="3"/>
  </r>
  <r>
    <s v="10/12/2025"/>
    <s v="2025-8951"/>
    <s v="Higher Education Awards"/>
    <s v="Onethemba Xoma"/>
    <s v="onethembaxoma@gmail.com"/>
    <s v="Submitted"/>
    <s v="Under Review"/>
    <x v="0"/>
    <x v="0"/>
    <x v="1"/>
    <x v="0"/>
    <s v="EM"/>
    <s v="Complete"/>
    <s v="Completed"/>
    <x v="4"/>
    <s v="University of Cape Town"/>
    <s v="MSc Neuroscience (Psychiatry)"/>
    <s v="Assessing executive functioning in 5–year-old children following Antenatal Maternal Depression Exposure: The Role of Earlier neurodevelopmental changes."/>
    <s v="Mubeen"/>
    <s v="Sandrine"/>
    <s v="Mubeen Goolam"/>
    <s v="Sandrine Lecour"/>
    <n v="75"/>
    <n v="82.142857142857139"/>
    <n v="78.571428571428569"/>
    <n v="3"/>
    <n v="4"/>
    <n v="7"/>
    <x v="1"/>
    <x v="0"/>
    <x v="0"/>
    <d v="2025-02-28T00:00:00"/>
    <n v="1"/>
    <n v="179000"/>
    <n v="0"/>
    <n v="0"/>
    <n v="179000"/>
    <n v="0"/>
    <n v="0"/>
    <n v="3"/>
  </r>
  <r>
    <s v="10/12/2025"/>
    <s v="2025-9909"/>
    <s v="Higher Education Awards"/>
    <s v="Olufemi Olubodun"/>
    <s v="olubodun.olufemi@gmail.com"/>
    <s v="Submitted"/>
    <s v="Under Review"/>
    <x v="1"/>
    <x v="0"/>
    <x v="0"/>
    <x v="0"/>
    <s v="EM"/>
    <s v="Complete"/>
    <s v="Completed"/>
    <x v="3"/>
    <s v="University of Cape Town"/>
    <s v="Post doctoral research"/>
    <s v="Group relatedness and genetic mating system of the facultatively cooperative breeding African pygmy falcon"/>
    <s v="Chenaimoyo"/>
    <s v="Francesca"/>
    <s v="Chenaimoyo Katiyatiya"/>
    <s v="Francesca Parrini"/>
    <n v="94.444444444444443"/>
    <n v="94.444444444444443"/>
    <n v="94.444444444444443"/>
    <n v="4"/>
    <n v="4"/>
    <n v="8"/>
    <x v="1"/>
    <x v="1"/>
    <x v="2"/>
    <d v="2026-01-05T00:00:00"/>
    <n v="2"/>
    <n v="523112.25"/>
    <n v="558438.5"/>
    <n v="0"/>
    <n v="500000"/>
    <n v="500000"/>
    <n v="0"/>
    <n v="3"/>
  </r>
  <r>
    <s v="10/12/2025"/>
    <s v="2025-9874"/>
    <s v="Higher Education Awards"/>
    <s v="Lilitha Cengani"/>
    <s v="cnglil001@myuct.ac.za"/>
    <s v="Submitted"/>
    <s v="Under Review"/>
    <x v="2"/>
    <x v="0"/>
    <x v="1"/>
    <x v="0"/>
    <s v="EM"/>
    <s v="Complete"/>
    <s v="Completed"/>
    <x v="4"/>
    <s v="University of Cape Town"/>
    <s v="DPhil in Neuroscience and Physiology"/>
    <s v="Using flow cytometry to study neuroimmune responses on a murine and human ex vivo model of cryptococcal meningitis"/>
    <s v="Mubeen"/>
    <s v="Sandrine"/>
    <s v="Mubeen Goolam"/>
    <s v="Sandrine Lecour"/>
    <n v="64.285714285714292"/>
    <n v="67.857142857142861"/>
    <n v="66.071428571428584"/>
    <n v="2"/>
    <n v="4"/>
    <n v="6"/>
    <x v="0"/>
    <x v="0"/>
    <x v="0"/>
    <d v="2026-01-27T00:00:00"/>
    <n v="3"/>
    <n v="241970"/>
    <n v="241970"/>
    <n v="241970"/>
    <n v="241970"/>
    <n v="241970"/>
    <n v="241970"/>
    <n v="3"/>
  </r>
  <r>
    <s v="10/12/2025"/>
    <s v="2025-9821"/>
    <s v="Higher Education Awards"/>
    <s v="Bevin Davids"/>
    <s v="davidsbevin@gmail.com"/>
    <s v="Submitted"/>
    <s v="Under Review"/>
    <x v="0"/>
    <x v="2"/>
    <x v="0"/>
    <x v="0"/>
    <s v="EM"/>
    <s v="Complete"/>
    <s v="Completed"/>
    <x v="1"/>
    <s v="Sol Plaatje University"/>
    <s v="MA (Afrikaans)"/>
    <s v="Taal en kulturele identiteit in  die digbundels van Adam Small: n Fokus op  Kitaar my kruis en Klawerjas."/>
    <s v="David"/>
    <s v="Lucy"/>
    <s v="David Medalie"/>
    <s v="Lucy Graham"/>
    <n v="67.857142857142861"/>
    <n v="67.857142857142861"/>
    <n v="67.857142857142861"/>
    <n v="3"/>
    <n v="3"/>
    <n v="6"/>
    <x v="0"/>
    <x v="0"/>
    <x v="0"/>
    <d v="2024-03-01T00:00:00"/>
    <n v="1"/>
    <n v="95000"/>
    <n v="0"/>
    <n v="0"/>
    <n v="95000"/>
    <n v="0"/>
    <n v="0"/>
    <n v="3"/>
  </r>
  <r>
    <s v="10/12/2025"/>
    <s v="2025-9884"/>
    <s v="Higher Education Awards"/>
    <s v="Amber Sneddon"/>
    <s v="sndamb002@myuct.ac.za"/>
    <s v="Submitted"/>
    <s v="Under Review"/>
    <x v="2"/>
    <x v="1"/>
    <x v="1"/>
    <x v="0"/>
    <s v="EM"/>
    <s v="Complete"/>
    <s v="Completed"/>
    <x v="3"/>
    <s v="University of Cape Town"/>
    <s v="PhD in Atmospheric Science"/>
    <s v="Atmospheric Rivers in the Southern Hemisphere"/>
    <s v="Diederik"/>
    <s v="Markus"/>
    <s v="Diederik Opperman"/>
    <s v="Markus Wilken"/>
    <n v="78.571428571428569"/>
    <n v="85.714285714285708"/>
    <n v="82.142857142857139"/>
    <n v="3"/>
    <n v="5"/>
    <n v="8"/>
    <x v="1"/>
    <x v="1"/>
    <x v="0"/>
    <d v="2026-01-01T00:00:00"/>
    <n v="3"/>
    <n v="249170"/>
    <n v="229170"/>
    <n v="299170"/>
    <n v="249170"/>
    <n v="229170"/>
    <n v="299170"/>
    <n v="3"/>
  </r>
  <r>
    <s v="10/12/2025"/>
    <s v="2025-9280"/>
    <s v="Higher Education Awards"/>
    <s v="Sereko Erasmus"/>
    <s v="sereko.erasmus@gmail.com"/>
    <s v="Submitted"/>
    <s v="Under Review"/>
    <x v="0"/>
    <x v="0"/>
    <x v="1"/>
    <x v="0"/>
    <s v="EM"/>
    <s v="Complete"/>
    <s v="Completed"/>
    <x v="4"/>
    <s v="North West University"/>
    <s v="Master Public health"/>
    <s v="Cardiovascular consequences of antiretroviral therapy–induced lipodystrophy in South African HIV-positive adults"/>
    <s v="Gill"/>
    <s v="Moses"/>
    <s v="Gill Nelson"/>
    <s v="Moses Alobo"/>
    <n v="67.857142857142861"/>
    <n v="67.857142857142861"/>
    <n v="67.857142857142861"/>
    <n v="3"/>
    <n v="3"/>
    <n v="6"/>
    <x v="0"/>
    <x v="0"/>
    <x v="0"/>
    <d v="2026-01-01T00:00:00"/>
    <n v="1"/>
    <n v="54400"/>
    <n v="0"/>
    <n v="0"/>
    <n v="54400"/>
    <n v="0"/>
    <n v="0"/>
    <n v="3"/>
  </r>
  <r>
    <s v="10/12/2025"/>
    <s v="2025-10057"/>
    <s v="Higher Education Awards"/>
    <s v="william Moloto"/>
    <s v="william.moloto@live.com"/>
    <s v="Submitted"/>
    <s v="Under Review"/>
    <x v="1"/>
    <x v="0"/>
    <x v="0"/>
    <x v="0"/>
    <s v="EM"/>
    <s v="Complete"/>
    <s v="Completed"/>
    <x v="5"/>
    <s v="MINTEK"/>
    <s v="Postdoctoral Research Fellowship"/>
    <s v="development and characterization of polyimide–MOF–quantum dot hybrid substrates for multifunctional biosensing applications"/>
    <s v="Lesedi"/>
    <s v="Pieter"/>
    <s v="Lesedi Masisi"/>
    <s v="Pieter Pistorius"/>
    <n v="66.666666666666657"/>
    <n v="63.888888888888886"/>
    <n v="65.277777777777771"/>
    <n v="3"/>
    <n v="1"/>
    <n v="4"/>
    <x v="0"/>
    <x v="0"/>
    <x v="0"/>
    <d v="2026-03-02T00:00:00"/>
    <n v="2"/>
    <n v="204000"/>
    <n v="189000"/>
    <n v="0"/>
    <n v="204000"/>
    <n v="189000"/>
    <n v="0"/>
    <n v="2"/>
  </r>
  <r>
    <s v="10/12/2025"/>
    <s v="2025-8209"/>
    <s v="Higher Education Awards"/>
    <s v="Okhwathisa Nemunzhele"/>
    <s v="nemunzheleo@gmail.com"/>
    <s v="Submitted"/>
    <s v="Under Review"/>
    <x v="0"/>
    <x v="0"/>
    <x v="0"/>
    <x v="0"/>
    <s v="EM"/>
    <s v="Complete"/>
    <s v="Completed"/>
    <x v="0"/>
    <s v="Stellenbosch University"/>
    <s v="MSc(Mathematics)"/>
    <s v="Pure Mathematics"/>
    <s v="Edzai"/>
    <s v="Nora"/>
    <s v="Edzai Zvobwo"/>
    <s v="Nora Alexeeva"/>
    <n v="35.714285714285715"/>
    <n v="75"/>
    <n v="55.357142857142861"/>
    <n v="2"/>
    <n v="3"/>
    <n v="5"/>
    <x v="0"/>
    <x v="0"/>
    <x v="0"/>
    <d v="2025-02-26T00:00:00"/>
    <n v="1"/>
    <n v="22610"/>
    <n v="0"/>
    <n v="0"/>
    <n v="22610"/>
    <n v="0"/>
    <n v="0"/>
    <n v="2"/>
  </r>
  <r>
    <s v="10/12/2025"/>
    <s v="2025-8937"/>
    <s v="Higher Education Awards"/>
    <s v="Fisseha Andualem Bezza"/>
    <s v="fissehaandualem@gmail.com"/>
    <s v="Submitted"/>
    <s v="Under Review"/>
    <x v="1"/>
    <x v="0"/>
    <x v="0"/>
    <x v="0"/>
    <s v="EM"/>
    <s v="Complete"/>
    <s v="Completed"/>
    <x v="5"/>
    <s v="University of Pretoria"/>
    <s v="Postdoctoral Fellowship"/>
    <s v="Design and synthesis of high-performance salt resistant novel photothermal membranes for enhanced membrane distillation-based desalination of seawater"/>
    <s v="Lesedi"/>
    <s v="Pieter"/>
    <s v="Lesedi Masisi"/>
    <s v="Pieter Pistorius"/>
    <n v="69.444444444444443"/>
    <n v="63.888888888888886"/>
    <n v="66.666666666666657"/>
    <n v="4"/>
    <n v="2"/>
    <n v="6"/>
    <x v="0"/>
    <x v="0"/>
    <x v="0"/>
    <d v="2026-01-04T00:00:00"/>
    <n v="2"/>
    <n v="455000"/>
    <n v="490000"/>
    <n v="0"/>
    <n v="455000"/>
    <n v="490000"/>
    <n v="0"/>
    <n v="3"/>
  </r>
  <r>
    <s v="10/12/2025"/>
    <s v="2025-8653"/>
    <s v="Higher Education Awards"/>
    <s v="Masentle Phophi"/>
    <s v="nyakallomasentle@gmail.com"/>
    <s v="Submitted"/>
    <s v="Under Review"/>
    <x v="0"/>
    <x v="0"/>
    <x v="1"/>
    <x v="0"/>
    <s v="EM"/>
    <s v="Complete"/>
    <s v="Completed"/>
    <x v="4"/>
    <s v="University of the Witwatersrand"/>
    <s v="Master of Science in Medicine"/>
    <s v="Public Health and Preventive Medicine"/>
    <s v="Gill"/>
    <s v="Moses"/>
    <s v="Gill Nelson"/>
    <s v="Moses Alobo"/>
    <n v="67.857142857142861"/>
    <n v="67.857142857142861"/>
    <n v="67.857142857142861"/>
    <n v="3"/>
    <n v="3"/>
    <n v="6"/>
    <x v="0"/>
    <x v="0"/>
    <x v="0"/>
    <d v="2025-02-06T00:00:00"/>
    <n v="2"/>
    <n v="149000"/>
    <n v="149000"/>
    <n v="0"/>
    <n v="149000"/>
    <n v="149000"/>
    <n v="0"/>
    <n v="3"/>
  </r>
  <r>
    <s v="10/12/2025"/>
    <s v="2025-9554"/>
    <s v="Higher Education Awards"/>
    <s v="Joshua Pearse"/>
    <s v="notartjosh@gmail.com"/>
    <s v="Submitted"/>
    <s v="Under Review"/>
    <x v="2"/>
    <x v="1"/>
    <x v="0"/>
    <x v="0"/>
    <s v="EM"/>
    <s v="Complete"/>
    <s v="Completed"/>
    <x v="1"/>
    <s v="Rhodes University, South Africa"/>
    <s v="PhD"/>
    <s v="Accumulation of Loss: Inscriptive Technologies and the Digital Bleek and Lloyd"/>
    <s v="David"/>
    <s v="Brian"/>
    <s v="Brian Sibanda"/>
    <s v="David Medalie"/>
    <n v="82.142857142857139"/>
    <n v="82.142857142857139"/>
    <n v="82.142857142857139"/>
    <n v="5"/>
    <n v="4"/>
    <n v="9"/>
    <x v="1"/>
    <x v="1"/>
    <x v="0"/>
    <d v="2026-01-05T00:00:00"/>
    <n v="3"/>
    <n v="218836"/>
    <n v="253836"/>
    <n v="253836"/>
    <n v="218836"/>
    <n v="253836"/>
    <n v="253836"/>
    <n v="3"/>
  </r>
  <r>
    <s v="10/12/2025"/>
    <s v="2025-8710"/>
    <s v="Higher Education Awards"/>
    <s v="Karabelo Plaatjie"/>
    <s v="karabelo30@icloud.com"/>
    <s v="Submitted"/>
    <s v="Under Review"/>
    <x v="2"/>
    <x v="0"/>
    <x v="1"/>
    <x v="0"/>
    <s v="EM"/>
    <s v="Complete"/>
    <s v="Completed"/>
    <x v="7"/>
    <s v="University of the Witwatersrand"/>
    <s v="PH.D in Theatre Performances"/>
    <s v="This is why I ended her life:  Using Verbatim Theatre to explore the phenomenon of Femicide in post-colonial South Africa."/>
    <s v="Mwenya"/>
    <s v="Mbongeni"/>
    <s v="Mbongeni Mtshali"/>
    <s v="Mwenya Kabwe"/>
    <n v="67.857142857142861"/>
    <n v="85.714285714285708"/>
    <n v="76.785714285714278"/>
    <n v="3"/>
    <n v="5"/>
    <n v="8"/>
    <x v="1"/>
    <x v="0"/>
    <x v="0"/>
    <d v="2026-01-19T00:00:00"/>
    <n v="1"/>
    <n v="318000"/>
    <n v="0"/>
    <n v="0"/>
    <n v="318000"/>
    <n v="0"/>
    <n v="0"/>
    <n v="4"/>
  </r>
  <r>
    <s v="10/12/2025"/>
    <s v="2025-10037"/>
    <s v="Higher Education Awards"/>
    <s v="Rudorwedu Blessing Shanduka"/>
    <s v="shandukarb0331@gmail.com"/>
    <s v="Submitted"/>
    <s v="Under Review"/>
    <x v="0"/>
    <x v="0"/>
    <x v="1"/>
    <x v="0"/>
    <s v="EM"/>
    <s v="Complete"/>
    <s v="Completed"/>
    <x v="3"/>
    <s v="North-West University"/>
    <s v="Master of Science in Animal Science"/>
    <s v="My research focuses on the use of Bacillus-galacto-oligosaccharide synbiotics as alternatives to antibiotic growth promoters in broiler chicken diets."/>
    <s v="Chenaimoyo"/>
    <s v="Francesca"/>
    <s v="Chenaimoyo Katiyatiya"/>
    <s v="Francesca Parrini"/>
    <n v="100"/>
    <n v="100"/>
    <n v="100"/>
    <n v="5"/>
    <n v="5"/>
    <n v="10"/>
    <x v="1"/>
    <x v="1"/>
    <x v="1"/>
    <d v="2025-02-04T00:00:00"/>
    <n v="1"/>
    <n v="74831"/>
    <n v="0"/>
    <n v="0"/>
    <n v="75000"/>
    <n v="0"/>
    <n v="0"/>
    <n v="3"/>
  </r>
  <r>
    <s v="10/12/2025"/>
    <s v="2025-9965"/>
    <s v="Higher Education Awards"/>
    <s v="Eldridge Anthony Makamu"/>
    <s v="eldridge.makamu@gmail.com"/>
    <s v="Submitted"/>
    <s v="Under Review"/>
    <x v="0"/>
    <x v="0"/>
    <x v="0"/>
    <x v="1"/>
    <s v="EM"/>
    <s v="Complete"/>
    <s v="Completed"/>
    <x v="4"/>
    <s v="University of Glasgow, Scotland, UK"/>
    <s v="Master's Public Health Epidemiology"/>
    <s v="Maternal Exposure to Air Pollution and Its Associated Risks with Congenital Anomalies: A Retrospective Cohort Analysis"/>
    <s v="Gill"/>
    <s v="Moses"/>
    <s v="Gill Nelson"/>
    <s v="Moses Alobo"/>
    <n v="62.5"/>
    <n v="62.5"/>
    <n v="62.5"/>
    <n v="2"/>
    <n v="2"/>
    <n v="4"/>
    <x v="0"/>
    <x v="0"/>
    <x v="0"/>
    <d v="2026-09-14T00:00:00"/>
    <n v="1"/>
    <n v="1328176"/>
    <n v="0"/>
    <n v="0"/>
    <n v="1328176"/>
    <n v="0"/>
    <n v="0"/>
    <n v="3"/>
  </r>
  <r>
    <s v="10/12/2025"/>
    <s v="2025-8666"/>
    <s v="Higher Education Awards"/>
    <s v="Ronaldo Mukhari"/>
    <s v="roniemukhari@gmail.com"/>
    <s v="Submitted"/>
    <s v="Under Review"/>
    <x v="2"/>
    <x v="0"/>
    <x v="0"/>
    <x v="0"/>
    <s v="EM"/>
    <s v="Complete"/>
    <s v="Completed"/>
    <x v="4"/>
    <s v="Stellenbosch University"/>
    <s v="PhD in Medical Physiology"/>
    <s v="The role of maternal methyl donor nutrient supplementation in shaping the intestinal and metabolic health of offspring in rats"/>
    <s v="Janetta"/>
    <s v="John"/>
    <s v="Janetta Harbron"/>
    <s v="John Pettifor"/>
    <n v="46.428571428571431"/>
    <n v="50"/>
    <n v="48.214285714285715"/>
    <n v="2"/>
    <n v="2"/>
    <n v="4"/>
    <x v="0"/>
    <x v="0"/>
    <x v="0"/>
    <d v="2024-03-18T00:00:00"/>
    <n v="2"/>
    <n v="29080"/>
    <n v="70380"/>
    <n v="0"/>
    <n v="29080"/>
    <n v="70380"/>
    <n v="0"/>
    <n v="3"/>
  </r>
  <r>
    <s v="10/12/2025"/>
    <s v="2025-8211"/>
    <s v="Higher Education Awards"/>
    <s v="Dillon Croshaw"/>
    <s v="dillonarthurcroshaw@gmail.com"/>
    <s v="Submitted"/>
    <s v="Under Review"/>
    <x v="0"/>
    <x v="1"/>
    <x v="0"/>
    <x v="0"/>
    <s v="EM"/>
    <s v="Complete"/>
    <s v="Completed"/>
    <x v="3"/>
    <s v="North-West University"/>
    <s v="Masters of Environmental Sciences"/>
    <s v="Molecular and morphological diversity of an Enteromius spp. complex in South African highveld river systems."/>
    <s v="Maryna"/>
    <s v="Romano"/>
    <s v="Maryna de Wit"/>
    <s v="Romano Lottering"/>
    <n v="85.714285714285708"/>
    <n v="85.714285714285708"/>
    <n v="85.714285714285708"/>
    <n v="4"/>
    <n v="5"/>
    <n v="9"/>
    <x v="1"/>
    <x v="1"/>
    <x v="0"/>
    <d v="2026-01-01T00:00:00"/>
    <n v="2"/>
    <n v="200000"/>
    <n v="215000"/>
    <n v="0"/>
    <n v="200000"/>
    <n v="215000"/>
    <n v="0"/>
    <n v="3"/>
  </r>
  <r>
    <s v="10/12/2025"/>
    <s v="2025-9500"/>
    <s v="Higher Education Awards"/>
    <s v="Baphiwe Mlondo"/>
    <s v="baphiwemlondo@gmail.com"/>
    <s v="Submitted"/>
    <s v="Under Review"/>
    <x v="0"/>
    <x v="0"/>
    <x v="1"/>
    <x v="0"/>
    <s v="EM"/>
    <s v="Complete"/>
    <s v="Completed"/>
    <x v="4"/>
    <s v="University of Cape Town"/>
    <s v="MASTER'S"/>
    <s v="Pharmacomicrobiomics"/>
    <s v="Frasia"/>
    <s v="Neil"/>
    <s v="Frasia Oosthuizen"/>
    <s v="Neil Coville"/>
    <n v="64.285714285714292"/>
    <n v="64.285714285714292"/>
    <n v="64.285714285714292"/>
    <n v="2"/>
    <n v="2"/>
    <n v="4"/>
    <x v="0"/>
    <x v="0"/>
    <x v="0"/>
    <d v="2025-02-01T00:00:00"/>
    <n v="2"/>
    <n v="231400"/>
    <n v="231400"/>
    <n v="0"/>
    <n v="231400"/>
    <n v="231400"/>
    <n v="0"/>
    <n v="3"/>
  </r>
  <r>
    <s v="10/12/2025"/>
    <s v="2025-9782"/>
    <s v="Higher Education Awards"/>
    <s v="Nontobeko Gcabashe"/>
    <s v="220012265@stu.ukzn.ac.za"/>
    <s v="Submitted"/>
    <s v="Under Review"/>
    <x v="2"/>
    <x v="0"/>
    <x v="1"/>
    <x v="0"/>
    <s v="EM"/>
    <s v="Complete"/>
    <s v="Completed"/>
    <x v="4"/>
    <s v="University of KwaZulu-Natal"/>
    <s v="PhD in Chemistry"/>
    <s v="Design and synthesis of novel antitubercular agents using molecular hybridization approach"/>
    <s v="Abdullah"/>
    <s v="Demetra"/>
    <s v="Abdullah Ely"/>
    <s v="Demetra Mavri-Damelin"/>
    <n v="46.428571428571431"/>
    <n v="57.142857142857139"/>
    <n v="51.785714285714285"/>
    <n v="1"/>
    <n v="2"/>
    <n v="3"/>
    <x v="0"/>
    <x v="0"/>
    <x v="0"/>
    <d v="2025-09-25T00:00:00"/>
    <n v="3"/>
    <n v="153000"/>
    <n v="153000"/>
    <n v="153000"/>
    <n v="153000"/>
    <n v="153000"/>
    <n v="153000"/>
    <n v="2"/>
  </r>
  <r>
    <s v="10/12/2025"/>
    <s v="2025-8614"/>
    <s v="Higher Education Awards"/>
    <s v="KANYA PADAYACHEE"/>
    <s v="padayacheek@ufs.ac.za"/>
    <s v="Submitted"/>
    <s v="Under Review"/>
    <x v="1"/>
    <x v="4"/>
    <x v="1"/>
    <x v="0"/>
    <s v="EM"/>
    <s v="Complete"/>
    <s v="Completed"/>
    <x v="1"/>
    <s v="University of the Free State (Qwa Qwa Campus)"/>
    <s v="Postdoctoral Reserach"/>
    <s v="Transformative Education for building social responsibility in preschoolers in South Africa: An Integral Education and Ubuntu approach to Early Childhood Practitioner Training"/>
    <s v="David"/>
    <s v="David J"/>
    <s v="David Johnson"/>
    <s v="David Medalie"/>
    <n v="88.888888888888886"/>
    <n v="63.888888888888886"/>
    <n v="76.388888888888886"/>
    <n v="4"/>
    <n v="3"/>
    <n v="7"/>
    <x v="1"/>
    <x v="0"/>
    <x v="0"/>
    <d v="2026-02-02T00:00:00"/>
    <n v="2"/>
    <n v="279134.40000000002"/>
    <n v="220387.20000000001"/>
    <n v="0"/>
    <n v="279134.40000000002"/>
    <n v="220387.20000000001"/>
    <n v="0"/>
    <n v="3"/>
  </r>
  <r>
    <s v="10/12/2025"/>
    <s v="2025-9751"/>
    <s v="Higher Education Awards"/>
    <s v="Annelet Dippenaar"/>
    <s v="anneletdip@gmail.com"/>
    <s v="Submitted"/>
    <s v="Under Review"/>
    <x v="0"/>
    <x v="1"/>
    <x v="1"/>
    <x v="0"/>
    <s v="EM"/>
    <s v="Complete"/>
    <s v="Completed"/>
    <x v="3"/>
    <s v="Stellenbosch University"/>
    <s v="Masters in Animal Science"/>
    <s v="Age related changes in rumen microbiome population in response to exogenic butyric acid supplementation to pre-weaned lambs"/>
    <s v="Chenaimoyo"/>
    <s v="Francesca"/>
    <s v="Chenaimoyo Katiyatiya"/>
    <s v="Francesca Parrini"/>
    <n v="50"/>
    <n v="50"/>
    <n v="50"/>
    <n v="2"/>
    <n v="2"/>
    <n v="4"/>
    <x v="0"/>
    <x v="0"/>
    <x v="0"/>
    <d v="2026-02-09T00:00:00"/>
    <n v="2"/>
    <n v="193034.28"/>
    <n v="193034.28"/>
    <n v="0"/>
    <n v="193034.28"/>
    <n v="193034.28"/>
    <n v="0"/>
    <n v="3"/>
  </r>
  <r>
    <s v="10/12/2025"/>
    <s v="2025-9465"/>
    <s v="Higher Education Awards"/>
    <s v="Kurauone Masungo"/>
    <s v="kuramasungo@gmail.com"/>
    <s v="Submitted"/>
    <s v="Under Review"/>
    <x v="1"/>
    <x v="0"/>
    <x v="0"/>
    <x v="0"/>
    <s v="CB"/>
    <s v="Complete"/>
    <s v="Completed"/>
    <x v="6"/>
    <s v="University of the Free State"/>
    <s v="Postdoctoral level"/>
    <s v="Fostering Political Freedoms for Sustainable Transformation in University"/>
    <s v="Badri"/>
    <s v="Johann"/>
    <s v="Badri Zolfaghari"/>
    <s v="Johan Hattingh"/>
    <n v="94.444444444444443"/>
    <n v="88.888888888888886"/>
    <n v="91.666666666666657"/>
    <n v="5"/>
    <n v="5"/>
    <n v="10"/>
    <x v="1"/>
    <x v="1"/>
    <x v="1"/>
    <d v="2026-01-01T00:00:00"/>
    <n v="2"/>
    <n v="310000"/>
    <n v="310000"/>
    <n v="0"/>
    <n v="310000"/>
    <n v="310000"/>
    <n v="0"/>
    <n v="3"/>
  </r>
  <r>
    <s v="10/12/2025"/>
    <s v="2025-9875"/>
    <s v="Higher Education Awards"/>
    <s v="Alexandra Whitehouse"/>
    <s v="alexwhitehouse10@gmail.com"/>
    <s v="Submitted"/>
    <s v="Under Review"/>
    <x v="2"/>
    <x v="1"/>
    <x v="1"/>
    <x v="0"/>
    <s v="EM"/>
    <s v="Complete"/>
    <s v="Completed"/>
    <x v="4"/>
    <s v="University of Cape Town"/>
    <s v="Doctor of Philosophy in Medical Microbiology"/>
    <s v="Characterising early host-pathogen interactions of Mycobacterium tuberculosis in ex vivo lung tissue"/>
    <s v="Raymond"/>
    <s v="Shahidul"/>
    <s v="Md. Shahidul Islam"/>
    <s v="Raymond Hewer"/>
    <n v="64.285714285714292"/>
    <n v="71.428571428571431"/>
    <n v="67.857142857142861"/>
    <n v="3"/>
    <n v="4"/>
    <n v="7"/>
    <x v="0"/>
    <x v="0"/>
    <x v="0"/>
    <d v="2025-07-11T00:00:00"/>
    <n v="3"/>
    <n v="161602"/>
    <n v="217100"/>
    <n v="117400"/>
    <n v="161602"/>
    <n v="217100"/>
    <n v="117400"/>
    <n v="3"/>
  </r>
  <r>
    <s v="10/12/2025"/>
    <s v="2025-8970"/>
    <s v="Higher Education Awards"/>
    <s v="Greta Hechter"/>
    <s v="greta.hechter@tuks.co.za"/>
    <s v="Submitted"/>
    <s v="Under Review"/>
    <x v="0"/>
    <x v="1"/>
    <x v="1"/>
    <x v="0"/>
    <s v="EM"/>
    <s v="Complete"/>
    <s v="Completed"/>
    <x v="3"/>
    <s v="University of Pretoria"/>
    <s v="M.Sc. Medicinal Plant Science"/>
    <s v="Plant-derived neurological enzyme inhibitors for the symptomatic treatment of Parkinson’s disease."/>
    <s v="Almuth"/>
    <s v="Neriman"/>
    <s v="Almuth Hammerbacher"/>
    <s v="Neriman Yilmaz"/>
    <n v="64.285714285714292"/>
    <n v="85.714285714285708"/>
    <n v="75"/>
    <n v="4"/>
    <n v="4"/>
    <n v="8"/>
    <x v="0"/>
    <x v="0"/>
    <x v="0"/>
    <d v="2026-01-05T00:00:00"/>
    <n v="2"/>
    <n v="41855"/>
    <n v="44655"/>
    <n v="0"/>
    <n v="41855"/>
    <n v="44655"/>
    <n v="0"/>
    <n v="3"/>
  </r>
  <r>
    <s v="10/12/2025"/>
    <s v="2025-9236"/>
    <s v="Higher Education Awards"/>
    <s v="Limpho Thipane"/>
    <s v="THPLIM001@myuct.ac.za"/>
    <s v="Submitted"/>
    <s v="Under Review"/>
    <x v="2"/>
    <x v="0"/>
    <x v="1"/>
    <x v="0"/>
    <s v="EM"/>
    <s v="Complete"/>
    <s v="Completed"/>
    <x v="4"/>
    <s v="University of Cape Town"/>
    <s v="Immunology"/>
    <s v="Neuroimmunology"/>
    <s v="Mubeen"/>
    <s v="Sandrine"/>
    <s v="Mubeen Goolam"/>
    <s v="Sandrine Lecour"/>
    <n v="50"/>
    <n v="71.428571428571431"/>
    <n v="60.714285714285715"/>
    <n v="1"/>
    <n v="4"/>
    <n v="5"/>
    <x v="0"/>
    <x v="0"/>
    <x v="0"/>
    <d v="2026-01-05T00:00:00"/>
    <n v="3"/>
    <n v="265000"/>
    <n v="255000"/>
    <n v="255000"/>
    <n v="265000"/>
    <n v="255000"/>
    <n v="255000"/>
    <n v="3"/>
  </r>
  <r>
    <s v="10/12/2025"/>
    <s v="2025-8450"/>
    <s v="Higher Education Awards"/>
    <s v="Amogelang Ramatsetse"/>
    <s v="ramatsetseamo@gmail.com"/>
    <s v="Submitted"/>
    <s v="Under Review"/>
    <x v="0"/>
    <x v="0"/>
    <x v="1"/>
    <x v="0"/>
    <s v="EM"/>
    <s v="Complete"/>
    <s v="Completed"/>
    <x v="4"/>
    <s v="Stellenbosch University"/>
    <s v="Masters"/>
    <s v="Neuroscience"/>
    <s v="Mubeen"/>
    <s v="Sandrine"/>
    <s v="Mubeen Goolam"/>
    <s v="Sandrine Lecour"/>
    <n v="64.285714285714292"/>
    <n v="67.857142857142861"/>
    <n v="66.071428571428584"/>
    <n v="2"/>
    <n v="4"/>
    <n v="6"/>
    <x v="0"/>
    <x v="0"/>
    <x v="0"/>
    <d v="2025-02-03T00:00:00"/>
    <n v="1"/>
    <n v="155000"/>
    <n v="0"/>
    <n v="0"/>
    <n v="155000"/>
    <n v="0"/>
    <n v="0"/>
    <n v="3"/>
  </r>
  <r>
    <s v="10/12/2025"/>
    <s v="2025-9098"/>
    <s v="Higher Education Awards"/>
    <s v="Kayla Hope Duthie"/>
    <s v="kay.duthie@gmail.com"/>
    <s v="Submitted"/>
    <s v="Under Review"/>
    <x v="0"/>
    <x v="2"/>
    <x v="1"/>
    <x v="0"/>
    <s v="EM"/>
    <s v="Complete"/>
    <s v="Completed"/>
    <x v="4"/>
    <s v="Stellenbosch University"/>
    <s v="MSc Biochemistry"/>
    <s v="Cell Biology, Molecular Biology, Molecular Biochemistry, Neurodegenerative Diseases"/>
    <s v="Mubeen"/>
    <s v="Sandrine"/>
    <s v="Mubeen Goolam"/>
    <s v="Sandrine Lecour"/>
    <n v="53.571428571428569"/>
    <n v="64.285714285714292"/>
    <n v="58.928571428571431"/>
    <n v="2"/>
    <n v="3"/>
    <n v="5"/>
    <x v="0"/>
    <x v="0"/>
    <x v="0"/>
    <d v="2025-02-06T00:00:00"/>
    <n v="1"/>
    <n v="190536"/>
    <n v="0"/>
    <n v="0"/>
    <n v="190536"/>
    <n v="0"/>
    <n v="0"/>
    <n v="3"/>
  </r>
  <r>
    <s v="10/12/2025"/>
    <s v="2025-9024"/>
    <s v="Higher Education Awards"/>
    <s v="Julia Arbuckle"/>
    <s v="Julz.arbuckle@gmail.com"/>
    <s v="Submitted"/>
    <s v="Under Review"/>
    <x v="2"/>
    <x v="1"/>
    <x v="1"/>
    <x v="0"/>
    <s v="EM"/>
    <s v="Complete"/>
    <s v="Completed"/>
    <x v="1"/>
    <s v="University of Johannesburg"/>
    <s v="Art history"/>
    <s v="Decolonial Theory and South African Artists’ Books"/>
    <s v="Lucy"/>
    <s v="Oliver"/>
    <s v="Lucy Graham"/>
    <s v="Oliver Nyambi"/>
    <n v="85.714285714285708"/>
    <n v="100"/>
    <n v="92.857142857142861"/>
    <n v="4"/>
    <n v="5"/>
    <n v="9"/>
    <x v="1"/>
    <x v="1"/>
    <x v="0"/>
    <d v="2026-01-01T00:00:00"/>
    <n v="1"/>
    <n v="304000"/>
    <n v="0"/>
    <n v="0"/>
    <n v="304000"/>
    <n v="0"/>
    <n v="0"/>
    <n v="4"/>
  </r>
  <r>
    <s v="10/12/2025"/>
    <s v="2025-8774"/>
    <s v="Higher Education Awards"/>
    <s v="Najohn J Supu Jr"/>
    <s v="supunajohn58@gmail.com"/>
    <s v="Submitted"/>
    <s v="Under Review"/>
    <x v="0"/>
    <x v="0"/>
    <x v="0"/>
    <x v="0"/>
    <s v="EM"/>
    <s v="Complete"/>
    <s v="Completed"/>
    <x v="6"/>
    <s v="University of Cape Town"/>
    <s v="Environmental Health"/>
    <s v="Waste Management"/>
    <s v="Lucy"/>
    <s v="Oliver"/>
    <s v="Lucy Graham"/>
    <s v="Oliver Nyambi"/>
    <n v="75"/>
    <n v="85.714285714285708"/>
    <n v="80.357142857142861"/>
    <n v="3"/>
    <n v="3"/>
    <n v="6"/>
    <x v="0"/>
    <x v="0"/>
    <x v="0"/>
    <d v="2026-02-02T00:00:00"/>
    <n v="2"/>
    <n v="177400"/>
    <n v="177400"/>
    <n v="0"/>
    <n v="177400"/>
    <n v="177400"/>
    <n v="0"/>
    <n v="3"/>
  </r>
  <r>
    <s v="10/12/2025"/>
    <s v="2025-9851"/>
    <s v="Higher Education Awards"/>
    <s v="Iphendule Filtane"/>
    <s v="filtane@sun.ac.za"/>
    <s v="Submitted"/>
    <s v="Under Review"/>
    <x v="2"/>
    <x v="0"/>
    <x v="0"/>
    <x v="0"/>
    <s v="EM"/>
    <s v="Complete"/>
    <s v="Completed"/>
    <x v="6"/>
    <s v="Stellenbosch University"/>
    <s v="PhD Psychology"/>
    <s v="The psychological impact of immigration policy: How pro- and anti-immigrant policies affect the mental health of the migrants"/>
    <s v="Puleng"/>
    <s v="Wahbie"/>
    <s v="Puleng Segalo"/>
    <s v="Wahbie Long"/>
    <n v="67.857142857142861"/>
    <n v="42.857142857142854"/>
    <n v="55.357142857142861"/>
    <n v="3"/>
    <n v="1"/>
    <n v="4"/>
    <x v="0"/>
    <x v="0"/>
    <x v="0"/>
    <d v="2026-02-02T00:00:00"/>
    <n v="3"/>
    <n v="116544"/>
    <n v="124044"/>
    <n v="131544"/>
    <n v="116544"/>
    <n v="124044"/>
    <n v="131544"/>
    <n v="3"/>
  </r>
  <r>
    <s v="10/12/2025"/>
    <s v="2025-9498"/>
    <s v="Higher Education Awards"/>
    <s v="Etresia-Marie Nortje"/>
    <s v="enortje03@gmail.com"/>
    <s v="Submitted"/>
    <s v="Under Review"/>
    <x v="0"/>
    <x v="1"/>
    <x v="1"/>
    <x v="0"/>
    <s v="EM"/>
    <s v="Complete"/>
    <s v="Completed"/>
    <x v="4"/>
    <s v="Stellenbosch University"/>
    <s v="Masters of Science"/>
    <s v="Genetics"/>
    <s v="Mandeep"/>
    <s v="Zane"/>
    <s v="Mandeep Kaur"/>
    <s v="Zane Lombard"/>
    <n v="75"/>
    <n v="64.285714285714292"/>
    <n v="69.642857142857139"/>
    <n v="3"/>
    <n v="3"/>
    <n v="6"/>
    <x v="0"/>
    <x v="0"/>
    <x v="0"/>
    <d v="2026-02-02T00:00:00"/>
    <n v="2"/>
    <n v="123059"/>
    <n v="123059"/>
    <n v="0"/>
    <n v="123059"/>
    <n v="123059"/>
    <n v="0"/>
    <n v="3"/>
  </r>
  <r>
    <s v="10/12/2025"/>
    <s v="2025-9604"/>
    <s v="Higher Education Awards"/>
    <s v="Mosa Kgasu"/>
    <s v="202112103@spu.ac.za"/>
    <s v="Submitted"/>
    <s v="Under Review"/>
    <x v="0"/>
    <x v="0"/>
    <x v="0"/>
    <x v="0"/>
    <s v="EM"/>
    <s v="Complete"/>
    <s v="Completed"/>
    <x v="3"/>
    <s v="Sol plaatje university"/>
    <s v="Master of Biological Science (Zoology)"/>
    <s v="The seasonal diet and foraging behaviour of aardvarks in a semi-arid region, South Africa"/>
    <s v="Andrea"/>
    <s v="Themba"/>
    <s v="Andrea Fuller"/>
    <s v="Themba Mahlaba"/>
    <n v="57.142857142857139"/>
    <n v="71.428571428571431"/>
    <n v="64.285714285714278"/>
    <n v="2"/>
    <n v="3"/>
    <n v="5"/>
    <x v="0"/>
    <x v="0"/>
    <x v="0"/>
    <d v="2026-01-31T00:00:00"/>
    <n v="2"/>
    <n v="120000"/>
    <n v="120000"/>
    <n v="0"/>
    <n v="120000"/>
    <n v="120000"/>
    <n v="0"/>
    <n v="4"/>
  </r>
  <r>
    <s v="10/12/2025"/>
    <s v="2025-9802"/>
    <s v="Higher Education Awards"/>
    <s v="Nosipho Hlalukana"/>
    <s v="nosiphohlalukana@gmail.com"/>
    <s v="Submitted"/>
    <s v="Under Review"/>
    <x v="2"/>
    <x v="0"/>
    <x v="1"/>
    <x v="0"/>
    <s v="EM"/>
    <s v="Complete"/>
    <s v="Completed"/>
    <x v="3"/>
    <s v="Stellenbosch University"/>
    <s v="PhD in Microbiology"/>
    <s v="Marine microbial ecology and biotechnology"/>
    <s v="Diederik"/>
    <s v="Sanushka"/>
    <s v="Diederik Opperman"/>
    <s v="Sanushka Naidoo"/>
    <n v="64.285714285714292"/>
    <n v="82.142857142857139"/>
    <n v="73.214285714285722"/>
    <n v="2"/>
    <n v="4"/>
    <n v="6"/>
    <x v="0"/>
    <x v="0"/>
    <x v="0"/>
    <d v="2024-02-01T00:00:00"/>
    <n v="1"/>
    <n v="301196"/>
    <n v="0"/>
    <n v="0"/>
    <n v="301196"/>
    <n v="0"/>
    <n v="0"/>
    <n v="3"/>
  </r>
  <r>
    <s v="10/12/2025"/>
    <s v="2025-8648"/>
    <s v="Higher Education Awards"/>
    <s v="NOMPILO NOKWANDA NZAMA"/>
    <s v="nzamanompilon@gmail.com"/>
    <s v="Submitted"/>
    <s v="Under Review"/>
    <x v="0"/>
    <x v="0"/>
    <x v="1"/>
    <x v="0"/>
    <s v="CB"/>
    <s v="Complete"/>
    <s v="Completed"/>
    <x v="1"/>
    <s v="University of KwaZulu Natal"/>
    <s v="Masters in Drama and Performance Studies"/>
    <s v="Liberating movement pedagogy: An investigation on decolonizing contemporary ballet dance on South African CAPS curriculum in rural public schools- a case study of Nsiwa Primary School grade 7 learners."/>
    <s v="Annie"/>
    <s v="Brian"/>
    <s v="Annie Devenish"/>
    <s v="Brian Sibanda"/>
    <n v="82.142857142857139"/>
    <n v="57.142857142857139"/>
    <n v="69.642857142857139"/>
    <n v="4"/>
    <n v="2"/>
    <n v="6"/>
    <x v="0"/>
    <x v="0"/>
    <x v="0"/>
    <d v="2026-01-15T00:00:00"/>
    <n v="1"/>
    <n v="-161418"/>
    <n v="0"/>
    <n v="0"/>
    <n v="-161418"/>
    <n v="0"/>
    <n v="0"/>
    <n v="2"/>
  </r>
  <r>
    <s v="10/12/2025"/>
    <s v="2025-8454"/>
    <s v="Higher Education Awards"/>
    <s v="Chloë Netta"/>
    <s v="chloenetta@gmail.com"/>
    <s v="Submitted"/>
    <s v="Under Review"/>
    <x v="0"/>
    <x v="2"/>
    <x v="1"/>
    <x v="0"/>
    <s v="EM"/>
    <s v="Complete"/>
    <s v="Completed"/>
    <x v="0"/>
    <s v="University of Cape Town"/>
    <s v="Masters in Chemistry by dissertation with the title of: Synthesis of Novel Anticancer Organometallic Antibody-Drug Conjugates using SNAP-tag Technology"/>
    <s v="Organometallic and organic synthesis"/>
    <s v="Katherine"/>
    <s v="Mzamo"/>
    <s v="Katherine de Villiers"/>
    <s v="Mzamo Shozi"/>
    <n v="78.571428571428569"/>
    <n v="71.428571428571431"/>
    <n v="75"/>
    <n v="5"/>
    <n v="4"/>
    <n v="9"/>
    <x v="0"/>
    <x v="0"/>
    <x v="0"/>
    <d v="2025-02-07T00:00:00"/>
    <n v="1"/>
    <n v="173705"/>
    <n v="0"/>
    <n v="0"/>
    <n v="173705"/>
    <n v="0"/>
    <n v="0"/>
    <n v="3"/>
  </r>
  <r>
    <s v="10/12/2025"/>
    <s v="2025-9652"/>
    <s v="Higher Education Awards"/>
    <s v="Matthew O'Kelly"/>
    <s v="matthew.a.okelly@gmail.com"/>
    <s v="Submitted"/>
    <s v="Under Review"/>
    <x v="1"/>
    <x v="1"/>
    <x v="0"/>
    <x v="0"/>
    <s v="EM"/>
    <s v="Complete"/>
    <s v="Completed"/>
    <x v="1"/>
    <s v="Stellenbosch University"/>
    <s v="First choice"/>
    <s v="Theology: social scientific study of the Old Testament, focused on wisdom and power in the Old Testament"/>
    <s v="David"/>
    <s v="Lindy"/>
    <s v="David Medalie"/>
    <s v="Lindy Stiebel"/>
    <n v="69.444444444444443"/>
    <n v="86.111111111111114"/>
    <n v="77.777777777777771"/>
    <n v="2"/>
    <n v="4"/>
    <n v="6"/>
    <x v="0"/>
    <x v="0"/>
    <x v="0"/>
    <d v="2026-01-05T00:00:00"/>
    <n v="2"/>
    <n v="339000"/>
    <n v="350000"/>
    <n v="0"/>
    <n v="339000"/>
    <n v="350000"/>
    <n v="0"/>
    <n v="3"/>
  </r>
  <r>
    <s v="10/12/2025"/>
    <s v="2025-9538"/>
    <s v="Higher Education Awards"/>
    <s v="Christiaan Grobler"/>
    <s v="christiaan.grobler@fabi.up.ac.za"/>
    <s v="Submitted"/>
    <s v="Under Review"/>
    <x v="2"/>
    <x v="1"/>
    <x v="0"/>
    <x v="0"/>
    <s v="EM"/>
    <s v="Complete"/>
    <s v="Completed"/>
    <x v="3"/>
    <s v="University of Pretoria"/>
    <s v="PhD Genetics"/>
    <s v="Molecular genetics and biochemistry of Pine and Eucalyptus fungal pathogens"/>
    <s v="Cobus"/>
    <s v="Michelle"/>
    <s v="Cobus Meyer Visagie"/>
    <s v="Michelle Greve"/>
    <n v="92.857142857142861"/>
    <n v="92.857142857142861"/>
    <n v="92.857142857142861"/>
    <n v="5"/>
    <n v="5"/>
    <n v="10"/>
    <x v="1"/>
    <x v="1"/>
    <x v="1"/>
    <d v="2026-01-05T00:00:00"/>
    <n v="3"/>
    <n v="170810"/>
    <n v="170810"/>
    <n v="170810"/>
    <n v="171000"/>
    <n v="171000"/>
    <n v="171000"/>
    <n v="3"/>
  </r>
  <r>
    <s v="10/12/2025"/>
    <s v="2025-9862"/>
    <s v="Higher Education Awards"/>
    <s v="Lesedi Moagi"/>
    <s v="Lesegomoagi60@gmail.com"/>
    <s v="Submitted"/>
    <s v="Under Review"/>
    <x v="2"/>
    <x v="0"/>
    <x v="1"/>
    <x v="0"/>
    <s v="EM"/>
    <s v="Complete"/>
    <s v="Completed"/>
    <x v="3"/>
    <s v="University of Cape Town"/>
    <s v="PhD in Conservation Biology"/>
    <s v="Ecosystem engineering: the white-browed sparrow-weavers shape arid and semi-arid avifauna"/>
    <s v="Shanuska"/>
    <s v="Markus"/>
    <s v="Markus Wilken"/>
    <s v="Sanushka Naidoo"/>
    <n v="78.571428571428569"/>
    <n v="89.285714285714292"/>
    <n v="83.928571428571431"/>
    <n v="4"/>
    <n v="4"/>
    <n v="8"/>
    <x v="1"/>
    <x v="1"/>
    <x v="0"/>
    <d v="2026-01-05T00:00:00"/>
    <n v="3"/>
    <n v="535770"/>
    <n v="601135"/>
    <n v="478663"/>
    <n v="350000"/>
    <n v="350000"/>
    <n v="350000"/>
    <n v="3"/>
  </r>
  <r>
    <s v="10/12/2025"/>
    <s v="2025-10040"/>
    <s v="Higher Education Awards"/>
    <s v="Papama Meleni"/>
    <s v="melenipapama@gmail.com"/>
    <s v="Submitted"/>
    <s v="Under Review"/>
    <x v="0"/>
    <x v="0"/>
    <x v="1"/>
    <x v="0"/>
    <s v="EM"/>
    <s v="Complete"/>
    <s v="Completed"/>
    <x v="2"/>
    <s v="University of Witwatersrand"/>
    <s v="Masters by research"/>
    <s v="Economics"/>
    <s v="Ekaete"/>
    <s v="Philippe"/>
    <s v="Ekaete Benedict"/>
    <s v="Philippe Burger"/>
    <n v="71.428571428571431"/>
    <n v="67.857142857142861"/>
    <n v="69.642857142857139"/>
    <n v="4"/>
    <n v="3"/>
    <n v="7"/>
    <x v="0"/>
    <x v="0"/>
    <x v="0"/>
    <d v="2026-07-01T00:00:00"/>
    <n v="3"/>
    <n v="200000"/>
    <n v="200000"/>
    <n v="200000"/>
    <n v="200000"/>
    <n v="200000"/>
    <n v="200000"/>
    <n v="3"/>
  </r>
  <r>
    <s v="10/12/2025"/>
    <s v="2025-9808"/>
    <s v="Higher Education Awards"/>
    <s v="Tiisetso Mamabolo"/>
    <s v="tiisetso.mamabolo56@gmail.com"/>
    <s v="Submitted"/>
    <s v="Under Review"/>
    <x v="0"/>
    <x v="0"/>
    <x v="0"/>
    <x v="0"/>
    <s v="EM"/>
    <s v="Complete"/>
    <s v="Completed"/>
    <x v="1"/>
    <s v="University of Johannesburg"/>
    <s v="Master of Science in Clinical Psychology"/>
    <s v="Clinical Psychology"/>
    <s v="Puleng"/>
    <s v="Wahbie"/>
    <s v="Puleng Segalo"/>
    <s v="Wahbie Long"/>
    <n v="82.142857142857139"/>
    <n v="57.142857142857139"/>
    <n v="69.642857142857139"/>
    <n v="5"/>
    <n v="3"/>
    <n v="8"/>
    <x v="0"/>
    <x v="0"/>
    <x v="0"/>
    <d v="2026-01-19T00:00:00"/>
    <n v="2"/>
    <n v="177190"/>
    <n v="177190"/>
    <n v="0"/>
    <n v="177190"/>
    <n v="177190"/>
    <n v="0"/>
    <n v="3"/>
  </r>
  <r>
    <s v="10/12/2025"/>
    <s v="2025-9816"/>
    <s v="Higher Education Awards"/>
    <s v="Nhlanzeko Mbulu"/>
    <s v="mbulunhlanzeko@gmail.com"/>
    <s v="Submitted"/>
    <s v="Under Review"/>
    <x v="0"/>
    <x v="0"/>
    <x v="0"/>
    <x v="0"/>
    <s v="EM"/>
    <s v="Complete"/>
    <s v="Completed"/>
    <x v="6"/>
    <s v="University of KwaZulu-Natal"/>
    <s v="Master of Social Science in Development Studies"/>
    <s v="Exploring the Implication of Collective Action among Waste Pickers in Durban: A Case Study of Buffelsdraai Landfill Site, KwaZulu-Natal"/>
    <s v="Badri"/>
    <s v="Johann"/>
    <s v="Badri Zolfaghari"/>
    <s v="Johan Hattingh"/>
    <n v="82.142857142857139"/>
    <n v="78.571428571428569"/>
    <n v="80.357142857142861"/>
    <n v="4"/>
    <n v="4"/>
    <n v="8"/>
    <x v="1"/>
    <x v="1"/>
    <x v="0"/>
    <d v="2026-02-09T00:00:00"/>
    <n v="1"/>
    <n v="88924"/>
    <n v="0"/>
    <n v="0"/>
    <n v="88924"/>
    <n v="0"/>
    <n v="0"/>
    <n v="2"/>
  </r>
  <r>
    <s v="10/12/2025"/>
    <s v="2025-9692"/>
    <s v="Higher Education Awards"/>
    <s v="Thabo Hamiwe"/>
    <s v="thabohamiwe@gmail.com"/>
    <s v="Submitted"/>
    <s v="Under Review"/>
    <x v="1"/>
    <x v="0"/>
    <x v="1"/>
    <x v="0"/>
    <s v="EM"/>
    <s v="Complete"/>
    <s v="Completed"/>
    <x v="4"/>
    <s v="University of Pretoria"/>
    <s v="Medical Microbiology"/>
    <s v="Prevalence and transmission dynamics of methicillin resistant Staphylococcus aureus and carbapenem resistant Pseudomonas aeruginosa at a public intensive care unit in Pretoria, South Africa"/>
    <s v="Raymond"/>
    <s v="Shahidul"/>
    <s v="Md. Shahidul Islam"/>
    <s v="Raymond Hewer"/>
    <n v="66.666666666666657"/>
    <n v="69.444444444444443"/>
    <n v="68.055555555555543"/>
    <n v="3"/>
    <n v="3"/>
    <n v="6"/>
    <x v="0"/>
    <x v="0"/>
    <x v="0"/>
    <d v="2026-05-01T00:00:00"/>
    <n v="2"/>
    <n v="479550"/>
    <n v="458500"/>
    <n v="0"/>
    <n v="479550"/>
    <n v="458500"/>
    <n v="0"/>
    <n v="3"/>
  </r>
  <r>
    <s v="10/12/2025"/>
    <s v="2025-9586"/>
    <s v="Higher Education Awards"/>
    <s v="Philip Janney"/>
    <s v="phil.janney@uct.ac.za"/>
    <s v="Submitted"/>
    <s v="Under Review"/>
    <x v="3"/>
    <x v="1"/>
    <x v="0"/>
    <x v="1"/>
    <s v="EM"/>
    <s v="Complete"/>
    <s v="Completed"/>
    <x v="3"/>
    <s v="China University of Geosciences-Wuhan"/>
    <s v="Lithospheric evolution and formation of critical mineral deposits"/>
    <s v="Geochemistry &amp; economic geology"/>
    <s v="Martin Clark"/>
    <s v="Sindiso"/>
    <s v="Martin Clark"/>
    <s v="Sindiso Chamane"/>
    <n v="87.5"/>
    <n v="75"/>
    <n v="81.25"/>
    <n v="5"/>
    <n v="5"/>
    <n v="10"/>
    <x v="1"/>
    <x v="1"/>
    <x v="1"/>
    <d v="2026-04-01T00:00:00"/>
    <n v="1"/>
    <n v="81752"/>
    <n v="0"/>
    <n v="0"/>
    <n v="82000"/>
    <n v="0"/>
    <n v="0"/>
    <n v="3"/>
  </r>
  <r>
    <s v="10/12/2025"/>
    <s v="2025-9229"/>
    <s v="Higher Education Awards"/>
    <s v="Meghan Finn"/>
    <s v="meghanrosefinn@gmail.com"/>
    <s v="Submitted"/>
    <s v="Under Review"/>
    <x v="3"/>
    <x v="1"/>
    <x v="1"/>
    <x v="1"/>
    <s v="EM"/>
    <s v="Complete"/>
    <s v="Completed"/>
    <x v="8"/>
    <s v="London School of Economics, and European University Institute (Florence)"/>
    <s v="Visiting Fellow in Department of Law"/>
    <s v="private anti-discrimination law in South Africa and comparative contexts"/>
    <s v="Carolina"/>
    <s v="Danie"/>
    <s v="Carolina Meyer"/>
    <s v="Danie Visser"/>
    <n v="72.5"/>
    <n v="80"/>
    <n v="76.25"/>
    <n v="4"/>
    <n v="5"/>
    <n v="9"/>
    <x v="1"/>
    <x v="0"/>
    <x v="0"/>
    <d v="2026-02-12T00:00:00"/>
    <n v="1"/>
    <n v="493710.35"/>
    <n v="0"/>
    <n v="0"/>
    <n v="493710.35"/>
    <n v="0"/>
    <n v="0"/>
    <n v="3"/>
  </r>
  <r>
    <s v="10/12/2025"/>
    <s v="2025-9501"/>
    <s v="Higher Education Awards"/>
    <s v="Keldon Schroeder"/>
    <s v="u21436152@tuks.co.za"/>
    <s v="Submitted"/>
    <s v="Under Review"/>
    <x v="0"/>
    <x v="1"/>
    <x v="0"/>
    <x v="0"/>
    <s v="EM"/>
    <s v="Complete"/>
    <s v="Completed"/>
    <x v="0"/>
    <s v="University of Pretoria"/>
    <s v="MSc Chemistry"/>
    <s v="Theoretical Chemistry"/>
    <s v="Katherine"/>
    <s v="Mzamo"/>
    <s v="Katherine de Villiers"/>
    <s v="Mzamo Shozi"/>
    <n v="78.571428571428569"/>
    <n v="89.285714285714292"/>
    <n v="83.928571428571431"/>
    <n v="4"/>
    <n v="5"/>
    <n v="9"/>
    <x v="1"/>
    <x v="1"/>
    <x v="0"/>
    <d v="2025-01-22T00:00:00"/>
    <n v="1"/>
    <n v="145555"/>
    <n v="0"/>
    <n v="0"/>
    <n v="145555"/>
    <n v="0"/>
    <n v="0"/>
    <n v="3"/>
  </r>
  <r>
    <s v="10/12/2025"/>
    <s v="2025-8763"/>
    <s v="Higher Education Awards"/>
    <s v="Dominique Saayman"/>
    <s v="niqisaayman@gmail.com"/>
    <s v="Submitted"/>
    <s v="Under Review"/>
    <x v="2"/>
    <x v="1"/>
    <x v="1"/>
    <x v="0"/>
    <s v="EM"/>
    <s v="Complete"/>
    <s v="Completed"/>
    <x v="1"/>
    <s v="University of Johannesburg"/>
    <s v="PhD Art History"/>
    <s v="Feminism, Gender Studies"/>
    <s v="Lucy"/>
    <s v="Oliver"/>
    <s v="Lucy Graham"/>
    <s v="Oliver Nyambi"/>
    <n v="53.571428571428569"/>
    <n v="82.142857142857139"/>
    <n v="67.857142857142861"/>
    <n v="2"/>
    <n v="2"/>
    <n v="4"/>
    <x v="0"/>
    <x v="0"/>
    <x v="0"/>
    <d v="2025-02-01T00:00:00"/>
    <n v="3"/>
    <n v="238732"/>
    <n v="259463"/>
    <n v="276281"/>
    <n v="238732"/>
    <n v="259463"/>
    <n v="276281"/>
    <n v="3"/>
  </r>
  <r>
    <s v="10/12/2025"/>
    <s v="2025-8761"/>
    <s v="Higher Education Awards"/>
    <s v="Minenhle Mayisela"/>
    <s v="mmayisela2000@gmail.com"/>
    <s v="Submitted"/>
    <s v="Under Review"/>
    <x v="2"/>
    <x v="0"/>
    <x v="1"/>
    <x v="0"/>
    <s v="EM"/>
    <s v="Complete"/>
    <s v="Completed"/>
    <x v="4"/>
    <s v="University of the Witwatersrand"/>
    <s v="Doctor of Philosophy in Human Genetics"/>
    <s v="Novel gene discovery and genetic landscape of heart failure in Sub-Saharan Africa"/>
    <s v="Mandeep"/>
    <s v="Abdullah"/>
    <s v="Abdullah Ely"/>
    <s v="Mandeep Kaur"/>
    <n v="89.285714285714292"/>
    <n v="67.857142857142861"/>
    <n v="78.571428571428584"/>
    <n v="4"/>
    <n v="3"/>
    <n v="7"/>
    <x v="1"/>
    <x v="0"/>
    <x v="0"/>
    <d v="2026-01-01T00:00:00"/>
    <n v="3"/>
    <n v="262735"/>
    <n v="275040"/>
    <n v="288220"/>
    <n v="262735"/>
    <n v="275040"/>
    <n v="288220"/>
    <n v="4"/>
  </r>
  <r>
    <s v="10/12/2025"/>
    <s v="2025-9197"/>
    <s v="Higher Education Awards"/>
    <s v="Lerato Lebona"/>
    <s v="lerato.lebona28@gmail.com"/>
    <s v="Submitted"/>
    <s v="Under Review"/>
    <x v="2"/>
    <x v="0"/>
    <x v="1"/>
    <x v="0"/>
    <s v="EM"/>
    <s v="Complete"/>
    <s v="Completed"/>
    <x v="4"/>
    <s v="University of Witwatersrand"/>
    <s v="Public Health"/>
    <s v="Antiretroviral treatment interruption among men who have sex with men receiving services from a non-governmental organization in Johannesburg, South Africa: A  mixed methods study"/>
    <s v="Gill"/>
    <s v="Moses"/>
    <s v="Gill Nelson"/>
    <s v="Moses Alobo"/>
    <n v="71.428571428571431"/>
    <n v="71.428571428571431"/>
    <n v="71.428571428571431"/>
    <n v="4"/>
    <n v="4"/>
    <n v="8"/>
    <x v="0"/>
    <x v="0"/>
    <x v="0"/>
    <d v="2026-01-26T00:00:00"/>
    <n v="2"/>
    <n v="290100"/>
    <n v="221800"/>
    <n v="0"/>
    <n v="290100"/>
    <n v="221800"/>
    <n v="0"/>
    <n v="3"/>
  </r>
  <r>
    <s v="10/12/2025"/>
    <s v="2025-9689"/>
    <s v="Higher Education Awards"/>
    <s v="Ashley Newland-Nell"/>
    <s v="newlandnellashley@gmail.com"/>
    <s v="Submitted"/>
    <s v="Under Review"/>
    <x v="0"/>
    <x v="1"/>
    <x v="1"/>
    <x v="0"/>
    <s v="EM"/>
    <s v="Complete"/>
    <s v="Completed"/>
    <x v="4"/>
    <s v="University of Witwatersrand"/>
    <s v="Molecular mechanisms of colorectal cancer"/>
    <s v="Investigating the effects of cholesterol modulators on CAF-driven tumour microenvironmental effects in CRC organoid co-cultures."/>
    <s v="Abdullah"/>
    <s v="Demetra"/>
    <s v="Abdullah Ely"/>
    <s v="Demetra Mavri-Damelin"/>
    <n v="85.714285714285708"/>
    <n v="82.142857142857139"/>
    <n v="83.928571428571416"/>
    <n v="4"/>
    <n v="4"/>
    <n v="8"/>
    <x v="1"/>
    <x v="1"/>
    <x v="0"/>
    <d v="2026-01-31T00:00:00"/>
    <n v="2"/>
    <n v="185000"/>
    <n v="185000"/>
    <n v="0"/>
    <n v="185000"/>
    <n v="185000"/>
    <n v="0"/>
    <n v="3"/>
  </r>
  <r>
    <s v="10/12/2025"/>
    <s v="2025-9275"/>
    <s v="Higher Education Awards"/>
    <s v="Arni Le Roux"/>
    <s v="arnileroux@gmail.com"/>
    <s v="Submitted"/>
    <s v="Under Review"/>
    <x v="2"/>
    <x v="1"/>
    <x v="0"/>
    <x v="0"/>
    <s v="CB"/>
    <s v="Complete"/>
    <s v="Completed"/>
    <x v="3"/>
    <s v="University of the Free State, Qwaqwa"/>
    <s v="PhD Botany"/>
    <s v="A first comprehensive Floristic Survey of the Low Free State - KwaZulu Natal Escarpment"/>
    <s v="Martin Clark"/>
    <s v="Sindiso"/>
    <s v="Martin Clark"/>
    <s v="Sindiso Chamane"/>
    <n v="85.714285714285708"/>
    <n v="82.142857142857139"/>
    <n v="83.928571428571416"/>
    <n v="4"/>
    <n v="4"/>
    <n v="8"/>
    <x v="1"/>
    <x v="1"/>
    <x v="0"/>
    <d v="2026-04-01T00:00:00"/>
    <n v="3"/>
    <n v="160000"/>
    <n v="160000"/>
    <n v="160000"/>
    <n v="160000"/>
    <n v="160000"/>
    <n v="160000"/>
    <n v="3"/>
  </r>
  <r>
    <s v="10/12/2025"/>
    <s v="2025-9444"/>
    <s v="Higher Education Awards"/>
    <s v="Angela Mibey"/>
    <s v="angmib12@gmail.com"/>
    <s v="Submitted"/>
    <s v="Under Review"/>
    <x v="0"/>
    <x v="0"/>
    <x v="1"/>
    <x v="0"/>
    <s v="EM"/>
    <s v="Complete"/>
    <s v="Completed"/>
    <x v="6"/>
    <s v="Stellenbosch University"/>
    <s v="Master's Degree in Clinical Psychology"/>
    <s v="Psychosocial well-being of immigrant women in South Africa."/>
    <s v="Puleng"/>
    <s v="Wahbie"/>
    <s v="Puleng Segalo"/>
    <s v="Wahbie Long"/>
    <n v="71.428571428571431"/>
    <n v="67.857142857142861"/>
    <n v="69.642857142857139"/>
    <n v="3"/>
    <n v="4"/>
    <n v="7"/>
    <x v="0"/>
    <x v="0"/>
    <x v="0"/>
    <d v="2026-01-12T00:00:00"/>
    <n v="2"/>
    <n v="239430"/>
    <n v="230000"/>
    <n v="0"/>
    <n v="239430"/>
    <n v="230000"/>
    <n v="0"/>
    <n v="3"/>
  </r>
  <r>
    <s v="10/12/2025"/>
    <s v="2025-8779"/>
    <s v="Higher Education Awards"/>
    <s v="Robyn Hocter"/>
    <s v="rhocter@gmail.com"/>
    <s v="Submitted"/>
    <s v="Under Review"/>
    <x v="0"/>
    <x v="1"/>
    <x v="1"/>
    <x v="0"/>
    <s v="EM"/>
    <s v="Complete"/>
    <s v="Completed"/>
    <x v="4"/>
    <s v="University of the Witwatersrand"/>
    <s v="Genomic Medicine"/>
    <s v="Human Genetics"/>
    <s v="Mandeep"/>
    <s v="Zane"/>
    <s v="Mandeep Kaur"/>
    <s v="Zane Lombard"/>
    <n v="71.428571428571431"/>
    <n v="78.571428571428569"/>
    <n v="75"/>
    <n v="3"/>
    <n v="4"/>
    <n v="7"/>
    <x v="0"/>
    <x v="0"/>
    <x v="0"/>
    <d v="2025-01-06T00:00:00"/>
    <n v="1"/>
    <n v="177500"/>
    <n v="0"/>
    <n v="0"/>
    <n v="177500"/>
    <n v="0"/>
    <n v="0"/>
    <n v="3"/>
  </r>
  <r>
    <s v="10/12/2025"/>
    <s v="2025-8924"/>
    <s v="Higher Education Awards"/>
    <s v="Kirsten Miller"/>
    <s v="kirsty@kirstenmiller.co.za"/>
    <s v="Submitted"/>
    <s v="Under Review"/>
    <x v="2"/>
    <x v="1"/>
    <x v="1"/>
    <x v="0"/>
    <s v="EM"/>
    <s v="Complete"/>
    <s v="Completed"/>
    <x v="1"/>
    <s v="The University of Pretoria"/>
    <s v="PhD in Creative Writing, 2nd year"/>
    <s v="Tokarzcuk, Neurodiversity and a Literature of Tenderness"/>
    <s v="David"/>
    <s v="Sam K"/>
    <s v="David Medalie"/>
    <s v="Sam Kariuki"/>
    <n v="78.571428571428569"/>
    <n v="78.571428571428569"/>
    <n v="78.571428571428569"/>
    <n v="4"/>
    <n v="2"/>
    <n v="6"/>
    <x v="0"/>
    <x v="0"/>
    <x v="0"/>
    <d v="2026-01-01T00:00:00"/>
    <n v="1"/>
    <n v="86000"/>
    <n v="0"/>
    <n v="0"/>
    <n v="86000"/>
    <n v="0"/>
    <n v="0"/>
    <n v="3"/>
  </r>
  <r>
    <s v="10/12/2025"/>
    <s v="2025-10047"/>
    <s v="Higher Education Awards"/>
    <s v="Lerato Sekele"/>
    <s v="veralerato@gmail.com"/>
    <s v="Submitted"/>
    <s v="Under Review"/>
    <x v="0"/>
    <x v="0"/>
    <x v="1"/>
    <x v="0"/>
    <s v="EM"/>
    <s v="Complete"/>
    <s v="Completed"/>
    <x v="7"/>
    <s v="University of Witswatersrand"/>
    <s v="Cultural Policy and Management"/>
    <s v="Theatre Management in University Setting"/>
    <s v="Mwenya"/>
    <s v="Mbongeni"/>
    <s v="Mbongeni Mtshali"/>
    <s v="Mwenya Kabwe"/>
    <n v="60.714285714285708"/>
    <n v="85.714285714285708"/>
    <n v="73.214285714285708"/>
    <n v="3"/>
    <n v="5"/>
    <n v="8"/>
    <x v="0"/>
    <x v="0"/>
    <x v="0"/>
    <d v="2026-02-09T00:00:00"/>
    <n v="1"/>
    <n v="38000"/>
    <n v="0"/>
    <n v="0"/>
    <n v="38000"/>
    <n v="0"/>
    <n v="0"/>
    <n v="4"/>
  </r>
  <r>
    <s v="10/12/2025"/>
    <s v="2025-8599"/>
    <s v="Higher Education Awards"/>
    <s v="Simon Wolfson"/>
    <s v="simonwolfson3@gmail.com"/>
    <s v="Submitted"/>
    <s v="Under Review"/>
    <x v="2"/>
    <x v="1"/>
    <x v="0"/>
    <x v="0"/>
    <s v="EM"/>
    <s v="Complete"/>
    <s v="Completed"/>
    <x v="1"/>
    <s v="University of the Witwatersrand"/>
    <s v="English Literature"/>
    <s v="Through the Eye/I of the Camera: Damon Galgut’s Cinematic Logic and the Problem of the White Gaze"/>
    <s v="Lucy"/>
    <s v="Oliver"/>
    <s v="Lucy Graham"/>
    <s v="Oliver Nyambi"/>
    <n v="96.428571428571431"/>
    <n v="82.142857142857139"/>
    <n v="89.285714285714278"/>
    <n v="5"/>
    <n v="3"/>
    <n v="8"/>
    <x v="1"/>
    <x v="1"/>
    <x v="0"/>
    <d v="2026-01-08T00:00:00"/>
    <n v="2"/>
    <n v="268163"/>
    <n v="279495"/>
    <n v="0"/>
    <n v="268163"/>
    <n v="279495"/>
    <n v="0"/>
    <n v="3"/>
  </r>
  <r>
    <s v="10/12/2025"/>
    <s v="2025-9304"/>
    <s v="Higher Education Awards"/>
    <s v="Sanelisiwe Mhlongo"/>
    <s v="mhlongosanelisiwe68@gmail.com"/>
    <s v="Submitted"/>
    <s v="Under Review"/>
    <x v="0"/>
    <x v="0"/>
    <x v="1"/>
    <x v="0"/>
    <s v="EM"/>
    <s v="Complete"/>
    <s v="Completed"/>
    <x v="1"/>
    <s v="University of Johannesburg"/>
    <s v="Sociology"/>
    <s v="Race, Disability, and Sexual Abuse: Exploring Mental Health Outcomes Through an Intersectional Lens."/>
    <s v="Sam"/>
    <s v="Srila"/>
    <s v="Sam Kariuki"/>
    <s v="Srila Roy"/>
    <n v="64.285714285714292"/>
    <n v="82.142857142857139"/>
    <n v="73.214285714285722"/>
    <n v="2"/>
    <n v="3"/>
    <n v="5"/>
    <x v="0"/>
    <x v="0"/>
    <x v="0"/>
    <d v="2026-01-13T00:00:00"/>
    <n v="2"/>
    <n v="189000"/>
    <n v="92000"/>
    <n v="0"/>
    <n v="189000"/>
    <n v="92000"/>
    <n v="0"/>
    <n v="4"/>
  </r>
  <r>
    <s v="10/12/2025"/>
    <s v="2025-9053"/>
    <s v="Higher Education Awards"/>
    <s v="Carolyne Jeptoo"/>
    <s v="carol25jeptoo@gmail.com"/>
    <s v="Submitted"/>
    <s v="Under Review"/>
    <x v="2"/>
    <x v="0"/>
    <x v="1"/>
    <x v="0"/>
    <s v="EM"/>
    <s v="Complete"/>
    <s v="Completed"/>
    <x v="0"/>
    <s v="Nelson Mandela University"/>
    <s v="PhD (Physics)"/>
    <s v="Terahertz over Fiber Transmission System: A Hybrid  Solution for Ultra-High Capacity IoT in 6G Networks"/>
    <s v="Nabanita "/>
    <s v="Matthew"/>
    <s v="Mathew Moodley"/>
    <s v="Nabanita Chatterjee"/>
    <n v="75"/>
    <n v="67.857142857142861"/>
    <n v="71.428571428571431"/>
    <n v="4"/>
    <n v="3"/>
    <n v="7"/>
    <x v="0"/>
    <x v="0"/>
    <x v="0"/>
    <d v="2026-01-29T00:00:00"/>
    <n v="3"/>
    <n v="235800"/>
    <n v="331800"/>
    <n v="381800"/>
    <n v="235800"/>
    <n v="331800"/>
    <n v="381800"/>
    <n v="2"/>
  </r>
  <r>
    <s v="10/12/2025"/>
    <s v="2025-9183"/>
    <s v="Higher Education Awards"/>
    <s v="Bogosi Msutwana"/>
    <s v="bogosi.msutwana@st-annes.ox.ac.uk"/>
    <s v="Submitted"/>
    <s v="Under Review"/>
    <x v="2"/>
    <x v="0"/>
    <x v="0"/>
    <x v="1"/>
    <s v="EM"/>
    <s v="Complete"/>
    <s v="Completed"/>
    <x v="5"/>
    <s v="University of Oxford"/>
    <s v="DPhil in Wind and Marine Energy Systems and Structures (EPSRC CDT)"/>
    <s v="Fluid mechanics of tidal stream energy"/>
    <s v="Lesedi"/>
    <s v="Pieter"/>
    <s v="Lesedi Masisi"/>
    <s v="Pieter Pistorius"/>
    <n v="81.25"/>
    <n v="65.625"/>
    <n v="73.4375"/>
    <n v="4"/>
    <n v="4"/>
    <n v="8"/>
    <x v="0"/>
    <x v="0"/>
    <x v="0"/>
    <d v="2024-03-04T00:00:00"/>
    <n v="2"/>
    <n v="641919.18000000005"/>
    <n v="624926.34"/>
    <n v="0"/>
    <n v="641919.18000000005"/>
    <n v="624926.34"/>
    <n v="0"/>
    <n v="3"/>
  </r>
  <r>
    <s v="10/12/2025"/>
    <s v="2025-8657"/>
    <s v="Higher Education Awards"/>
    <s v="Jessie Dixon"/>
    <s v="24811467@sun.ac.za"/>
    <s v="Submitted"/>
    <s v="Under Review"/>
    <x v="0"/>
    <x v="1"/>
    <x v="1"/>
    <x v="0"/>
    <s v="EM"/>
    <s v="Complete"/>
    <s v="Completed"/>
    <x v="4"/>
    <s v="Stellenbosch University"/>
    <s v="MSc Microbiology"/>
    <s v="Human Gut Microbiome"/>
    <s v="Raymond"/>
    <s v="Shahidul"/>
    <s v="Md. Shahidul Islam"/>
    <s v="Raymond Hewer"/>
    <n v="57.142857142857139"/>
    <n v="71.428571428571431"/>
    <n v="64.285714285714278"/>
    <n v="3"/>
    <n v="4"/>
    <n v="7"/>
    <x v="0"/>
    <x v="0"/>
    <x v="0"/>
    <d v="2025-01-15T00:00:00"/>
    <n v="1"/>
    <n v="128000"/>
    <n v="0"/>
    <n v="0"/>
    <n v="128000"/>
    <n v="0"/>
    <n v="0"/>
    <n v="3"/>
  </r>
  <r>
    <s v="10/12/2025"/>
    <s v="2025-9577"/>
    <s v="Higher Education Awards"/>
    <s v="Bayanda Yende"/>
    <s v="yendebayanda@gmail.com"/>
    <s v="Submitted"/>
    <s v="Under Review"/>
    <x v="2"/>
    <x v="0"/>
    <x v="0"/>
    <x v="0"/>
    <s v="EM"/>
    <s v="Complete"/>
    <s v="Completed"/>
    <x v="1"/>
    <s v="University of the Witwatersrand"/>
    <s v="PhD in English Literature"/>
    <s v="From School to University: Representations of the transformative power of education in South African literature"/>
    <s v="Lucy"/>
    <s v="Oliver"/>
    <s v="Lucy Graham"/>
    <s v="Oliver Nyambi"/>
    <n v="64.285714285714292"/>
    <n v="89.285714285714292"/>
    <n v="76.785714285714292"/>
    <n v="3"/>
    <n v="3"/>
    <n v="6"/>
    <x v="0"/>
    <x v="0"/>
    <x v="0"/>
    <d v="2026-01-01T00:00:00"/>
    <n v="3"/>
    <n v="261340"/>
    <n v="287000"/>
    <n v="324000"/>
    <n v="261340"/>
    <n v="287000"/>
    <n v="324000"/>
    <n v="3"/>
  </r>
  <r>
    <s v="10/12/2025"/>
    <s v="2025-8327"/>
    <s v="Higher Education Awards"/>
    <s v="Thikho Khakhu"/>
    <s v="thikhokhakhu17@gmail.com"/>
    <s v="Submitted"/>
    <s v="Under Review"/>
    <x v="0"/>
    <x v="0"/>
    <x v="1"/>
    <x v="0"/>
    <s v="EM"/>
    <s v="Complete"/>
    <s v="Completed"/>
    <x v="8"/>
    <s v="University of free state"/>
    <s v="Master of laws"/>
    <s v="Investigate the Historical Context of Constitutionalism and its Impact on Contemporary Legal Systems"/>
    <s v="Carolina"/>
    <s v="Danie"/>
    <s v="Carolina Meyer"/>
    <s v="Danie Visser"/>
    <n v="53.571428571428569"/>
    <n v="35.714285714285715"/>
    <n v="44.642857142857139"/>
    <n v="2"/>
    <n v="1"/>
    <n v="3"/>
    <x v="0"/>
    <x v="0"/>
    <x v="0"/>
    <d v="2026-01-01T00:00:00"/>
    <n v="2"/>
    <n v="171000"/>
    <n v="193000"/>
    <n v="0"/>
    <n v="171000"/>
    <n v="193000"/>
    <n v="0"/>
    <n v="2"/>
  </r>
  <r>
    <s v="10/12/2025"/>
    <s v="2025-8948"/>
    <s v="Higher Education Awards"/>
    <s v="Keletso Matshwele"/>
    <s v="keletsomatsoele@icloud.com"/>
    <s v="Submitted"/>
    <s v="Under Review"/>
    <x v="0"/>
    <x v="0"/>
    <x v="1"/>
    <x v="0"/>
    <s v="EM"/>
    <s v="Complete"/>
    <s v="Completed"/>
    <x v="1"/>
    <s v="University of the Witwatersrand"/>
    <s v="Education"/>
    <s v="Decolonising Education Policy in South Africa: Towards Equitable curriculum transformation for rural learners"/>
    <s v="Lucy"/>
    <s v="Oliver"/>
    <s v="Lucy Graham"/>
    <s v="Oliver Nyambi"/>
    <n v="78.571428571428569"/>
    <n v="64.285714285714292"/>
    <n v="71.428571428571431"/>
    <n v="3"/>
    <n v="1"/>
    <n v="4"/>
    <x v="0"/>
    <x v="0"/>
    <x v="0"/>
    <d v="2026-01-05T00:00:00"/>
    <n v="1"/>
    <n v="130900"/>
    <n v="0"/>
    <n v="0"/>
    <n v="130900"/>
    <n v="0"/>
    <n v="0"/>
    <n v="3"/>
  </r>
  <r>
    <s v="10/12/2025"/>
    <s v="2025-9811"/>
    <s v="Higher Education Awards"/>
    <s v="Masimba Yuba"/>
    <s v="masimbayuba@gmail.com"/>
    <s v="Submitted"/>
    <s v="Under Review"/>
    <x v="2"/>
    <x v="0"/>
    <x v="0"/>
    <x v="0"/>
    <s v="EM"/>
    <s v="Complete"/>
    <s v="Completed"/>
    <x v="6"/>
    <s v="University of the WitWatersrand"/>
    <s v="Phd Governance"/>
    <s v="Beyond Government: Mentalities in the pursuit of survival among Zimbabweans"/>
    <s v="Badri"/>
    <s v="Johann"/>
    <s v="Badri Zolfaghari"/>
    <s v="Johan Hattingh"/>
    <n v="75"/>
    <n v="67.857142857142861"/>
    <n v="71.428571428571431"/>
    <n v="3"/>
    <n v="3"/>
    <n v="6"/>
    <x v="0"/>
    <x v="0"/>
    <x v="0"/>
    <d v="2025-01-19T00:00:00"/>
    <n v="3"/>
    <n v="222000"/>
    <n v="250000"/>
    <n v="250000"/>
    <n v="222000"/>
    <n v="250000"/>
    <n v="250000"/>
    <n v="3"/>
  </r>
  <r>
    <s v="10/12/2025"/>
    <s v="2025-9963"/>
    <s v="Higher Education Awards"/>
    <s v="Ipeleng Pooa"/>
    <s v="u18232745@tuks.co.za"/>
    <s v="Submitted"/>
    <s v="Under Review"/>
    <x v="0"/>
    <x v="0"/>
    <x v="1"/>
    <x v="0"/>
    <s v="CB"/>
    <s v="Complete"/>
    <s v="Completed"/>
    <x v="3"/>
    <s v="University of Pretoria"/>
    <s v="MSc Microbiology"/>
    <s v="Towards Gene Editing for Resistance against Banana Bunchy Top Virus (BBTV)in Banana (Musa spp.)"/>
    <s v="Diederik"/>
    <s v="Sanushka"/>
    <s v="Diederik Opperman"/>
    <s v="Sanushka Naidoo"/>
    <n v="57.142857142857139"/>
    <n v="64.285714285714292"/>
    <n v="60.714285714285715"/>
    <n v="2"/>
    <n v="2"/>
    <n v="4"/>
    <x v="0"/>
    <x v="0"/>
    <x v="0"/>
    <d v="2025-01-06T00:00:00"/>
    <n v="1"/>
    <n v="123455"/>
    <n v="0"/>
    <n v="0"/>
    <n v="123455"/>
    <n v="0"/>
    <n v="0"/>
    <n v="3"/>
  </r>
  <r>
    <s v="10/12/2025"/>
    <s v="2025-9863"/>
    <s v="Higher Education Awards"/>
    <s v="Khomotso Mohlala"/>
    <s v="kittymohlala07@gmail.com"/>
    <s v="Submitted"/>
    <s v="Under Review"/>
    <x v="0"/>
    <x v="0"/>
    <x v="1"/>
    <x v="0"/>
    <s v="CB"/>
    <s v="Complete"/>
    <s v="Completed"/>
    <x v="4"/>
    <s v="Stellenbosch University"/>
    <s v="Master in Bioinformatics of Infectious Diseases and Pathogen Genomics"/>
    <s v="Impact of population-level HPV Vaccination on Genotype-Specific HPV Prevalence, Incidence, Clearance and Acquisition Among Young Women in KwaZulu-Natal, South Africa"/>
    <s v="Abdullah"/>
    <s v="Demetra"/>
    <s v="Abdullah Ely"/>
    <s v="Demetra Mavri-Damelin"/>
    <n v="71.428571428571431"/>
    <n v="67.857142857142861"/>
    <n v="69.642857142857139"/>
    <n v="3"/>
    <n v="4"/>
    <n v="7"/>
    <x v="0"/>
    <x v="0"/>
    <x v="0"/>
    <d v="2026-02-09T00:00:00"/>
    <n v="2"/>
    <n v="138371"/>
    <n v="139166"/>
    <n v="0"/>
    <n v="138371"/>
    <n v="139166"/>
    <n v="0"/>
    <n v="3"/>
  </r>
  <r>
    <s v="10/12/2025"/>
    <s v="2025-9651"/>
    <s v="Higher Education Awards"/>
    <s v="Nathan Huysamen"/>
    <s v="Huysamen.nathan@gmail.com"/>
    <s v="Submitted"/>
    <s v="Under Review"/>
    <x v="0"/>
    <x v="1"/>
    <x v="0"/>
    <x v="1"/>
    <s v="CB"/>
    <s v="Complete"/>
    <s v="Completed"/>
    <x v="7"/>
    <s v="Boston Conservatory at Berklee"/>
    <s v="Graduate Clarinet Performance (masters)"/>
    <s v="Clarinet Performance"/>
    <s v="Alexander"/>
    <s v="Susan"/>
    <s v="Alexander JOHNSON"/>
    <s v="Dr Musa-Duke Nkuna"/>
    <n v="100"/>
    <n v="100"/>
    <n v="100"/>
    <n v="5"/>
    <n v="5"/>
    <n v="10"/>
    <x v="1"/>
    <x v="1"/>
    <x v="1"/>
    <d v="2026-01-09T00:00:00"/>
    <n v="2"/>
    <n v="747092.37"/>
    <n v="747092.37"/>
    <n v="0"/>
    <n v="748000"/>
    <n v="748000"/>
    <n v="0"/>
    <n v="3"/>
  </r>
  <r>
    <s v="10/12/2025"/>
    <s v="2025-9962"/>
    <s v="Higher Education Awards"/>
    <s v="Damien Gergonne"/>
    <s v="gergonne.damien@gmail.com"/>
    <s v="Submitted"/>
    <s v="Under Review"/>
    <x v="1"/>
    <x v="5"/>
    <x v="0"/>
    <x v="0"/>
    <s v="CB"/>
    <s v="Complete"/>
    <s v="Completed"/>
    <x v="3"/>
    <s v="Stellenbosch University"/>
    <s v="Comparative genomics of eusocial evolution in termites"/>
    <s v="Genomics, Entomology"/>
    <s v="Martin"/>
    <s v="Tuan"/>
    <s v="Martin Coetzee"/>
    <s v="Tuan Duong"/>
    <n v="97.222222222222214"/>
    <n v="88.888888888888886"/>
    <n v="93.055555555555543"/>
    <n v="5"/>
    <n v="4"/>
    <n v="9"/>
    <x v="1"/>
    <x v="1"/>
    <x v="2"/>
    <d v="2026-01-01T00:00:00"/>
    <n v="2"/>
    <n v="4000"/>
    <n v="49000"/>
    <n v="0"/>
    <n v="4000"/>
    <n v="49000"/>
    <n v="0"/>
    <n v="3"/>
  </r>
  <r>
    <s v="10/12/2025"/>
    <s v="2025-8266"/>
    <s v="Higher Education Awards"/>
    <s v="Yolisa Palesa Tsoaeli"/>
    <s v="yolisa.tsoaeli.work@gmail.com"/>
    <s v="Submitted"/>
    <s v="Under Review"/>
    <x v="0"/>
    <x v="0"/>
    <x v="1"/>
    <x v="1"/>
    <s v="CB"/>
    <s v="Complete"/>
    <s v="Completed"/>
    <x v="6"/>
    <s v="SRH University Berlin"/>
    <s v="Master of Arts"/>
    <s v="Social Design and Sustainable Innovation"/>
    <s v="Badri"/>
    <s v="Johann"/>
    <s v="Badri Zolfaghari"/>
    <s v="Johan Hattingh"/>
    <n v="84.375"/>
    <n v="78.125"/>
    <n v="81.25"/>
    <n v="3"/>
    <n v="4"/>
    <n v="7"/>
    <x v="1"/>
    <x v="0"/>
    <x v="0"/>
    <d v="2026-04-01T00:00:00"/>
    <n v="2"/>
    <n v="458412.5"/>
    <n v="458412.5"/>
    <n v="0"/>
    <n v="458412.5"/>
    <n v="458412.5"/>
    <n v="0"/>
    <n v="3"/>
  </r>
  <r>
    <s v="10/12/2025"/>
    <s v="2025-9512"/>
    <s v="Higher Education Awards"/>
    <s v="Abi Milella"/>
    <s v="MLLABI004@myuct.ac.za"/>
    <s v="Submitted"/>
    <s v="Under Review"/>
    <x v="0"/>
    <x v="1"/>
    <x v="1"/>
    <x v="0"/>
    <s v="CB"/>
    <s v="Complete"/>
    <s v="Completed"/>
    <x v="4"/>
    <s v="University of Cape Town"/>
    <s v="Medical Microbiology"/>
    <s v="The human gut microbiome"/>
    <s v="Raymond"/>
    <s v="Shahidul"/>
    <s v="Md. Shahidul Islam"/>
    <s v="Raymond Hewer"/>
    <n v="89.285714285714292"/>
    <n v="67.857142857142861"/>
    <n v="78.571428571428584"/>
    <n v="4"/>
    <n v="4"/>
    <n v="8"/>
    <x v="1"/>
    <x v="0"/>
    <x v="0"/>
    <d v="2026-03-04T00:00:00"/>
    <n v="2"/>
    <n v="152000"/>
    <n v="152000"/>
    <n v="0"/>
    <n v="152000"/>
    <n v="152000"/>
    <n v="0"/>
    <n v="3"/>
  </r>
  <r>
    <s v="10/12/2025"/>
    <s v="2025-9362"/>
    <s v="Higher Education Awards"/>
    <s v="Andrea Webster"/>
    <s v="andrea.webster@tuks.co.za"/>
    <s v="Submitted"/>
    <s v="Under Review"/>
    <x v="1"/>
    <x v="1"/>
    <x v="1"/>
    <x v="0"/>
    <s v="CB"/>
    <s v="Complete"/>
    <s v="Completed"/>
    <x v="3"/>
    <s v="University of Pretoria"/>
    <s v="University of Pretoria"/>
    <s v="Stress and reproductive hormone monitoring in arid-adapted antelope species"/>
    <s v="Chenaimoyo"/>
    <s v="Francesca"/>
    <s v="Chenaimoyo Katiyatiya"/>
    <s v="Francesca Parrini"/>
    <n v="83.333333333333343"/>
    <n v="83.333333333333343"/>
    <n v="83.333333333333343"/>
    <n v="4"/>
    <n v="4"/>
    <n v="8"/>
    <x v="1"/>
    <x v="1"/>
    <x v="0"/>
    <d v="2026-04-01T00:00:00"/>
    <n v="2"/>
    <n v="295000"/>
    <n v="245000"/>
    <n v="0"/>
    <n v="295000"/>
    <n v="245000"/>
    <n v="0"/>
    <n v="3"/>
  </r>
  <r>
    <s v="10/12/2025"/>
    <s v="2025-9494"/>
    <s v="Higher Education Awards"/>
    <s v="Thando Kubheka"/>
    <s v="thandokubheka11@gmail.com"/>
    <s v="Submitted"/>
    <s v="Under Review"/>
    <x v="2"/>
    <x v="0"/>
    <x v="1"/>
    <x v="0"/>
    <s v="CB"/>
    <s v="Complete"/>
    <s v="Completed"/>
    <x v="4"/>
    <s v="University of Cape Town"/>
    <s v="PhD in Haematology"/>
    <s v="The role of miRNA-181b in HIV-associated aggressive B-cell Lymphoma"/>
    <s v="Mandeep"/>
    <s v="Zane"/>
    <s v="Mandeep Kaur"/>
    <s v="Zane Lombard"/>
    <n v="75"/>
    <n v="75"/>
    <n v="75"/>
    <n v="3"/>
    <n v="3"/>
    <n v="6"/>
    <x v="0"/>
    <x v="0"/>
    <x v="0"/>
    <d v="2025-03-19T00:00:00"/>
    <n v="3"/>
    <n v="118000"/>
    <n v="128000"/>
    <n v="128000"/>
    <n v="118000"/>
    <n v="128000"/>
    <n v="128000"/>
    <n v="3"/>
  </r>
  <r>
    <s v="10/12/2025"/>
    <s v="2025-8425"/>
    <s v="Higher Education Awards"/>
    <s v="Hendrik Coetser"/>
    <s v="josephus.coetser@gmail.com"/>
    <s v="Submitted"/>
    <s v="Under Review"/>
    <x v="2"/>
    <x v="1"/>
    <x v="0"/>
    <x v="0"/>
    <s v="CB"/>
    <s v="Complete"/>
    <s v="Completed"/>
    <x v="4"/>
    <s v="University of the Witwatersrand"/>
    <s v="Ph.D. Molecular Medicine"/>
    <s v="HR-HPV and Prostate Cancer in South African Men: Genomic Integration and Oncogenic Implication"/>
    <s v="Rupal"/>
    <s v="Shaheen"/>
    <s v="Rupal Jival"/>
    <s v="Shaheen Mowla"/>
    <n v="89.285714285714292"/>
    <n v="82.142857142857139"/>
    <n v="85.714285714285722"/>
    <n v="4"/>
    <n v="3"/>
    <n v="7"/>
    <x v="1"/>
    <x v="0"/>
    <x v="0"/>
    <d v="2026-01-01T00:00:00"/>
    <n v="3"/>
    <n v="156000"/>
    <n v="156000"/>
    <n v="156000"/>
    <n v="156000"/>
    <n v="156000"/>
    <n v="156000"/>
    <n v="2"/>
  </r>
  <r>
    <s v="10/12/2025"/>
    <s v="2025-9388"/>
    <s v="Higher Education Awards"/>
    <s v="Vimbai Siziba"/>
    <s v="Vimbai.Siziba@wits.ac.za"/>
    <s v="Submitted"/>
    <s v="Under Review"/>
    <x v="1"/>
    <x v="0"/>
    <x v="1"/>
    <x v="0"/>
    <s v="CB"/>
    <s v="Complete"/>
    <s v="Completed"/>
    <x v="4"/>
    <s v="University of the Witwatersrand"/>
    <s v="Human Genetics"/>
    <s v="Study of genomic disease burden to complement Cause of Death investigation in Sub- Saharan Africa: a pilot study from Child Health and Mortality Prevention Surveillance (CHAMPS) Network"/>
    <s v="Mandeep"/>
    <s v="Zane"/>
    <s v="Mandeep Kaur"/>
    <s v="Zane Lombard"/>
    <n v="69.444444444444443"/>
    <n v="80.555555555555557"/>
    <n v="75"/>
    <n v="2"/>
    <n v="4"/>
    <n v="6"/>
    <x v="0"/>
    <x v="0"/>
    <x v="0"/>
    <d v="2026-01-01T00:00:00"/>
    <n v="2"/>
    <n v="475000"/>
    <n v="479000"/>
    <n v="0"/>
    <n v="475000"/>
    <n v="479000"/>
    <n v="0"/>
    <n v="3"/>
  </r>
  <r>
    <s v="10/12/2025"/>
    <s v="2025-8612"/>
    <s v="Higher Education Awards"/>
    <s v="Philani Ngubane"/>
    <s v="ngubanephilani625@gmail.com"/>
    <s v="Submitted"/>
    <s v="Under Review"/>
    <x v="0"/>
    <x v="0"/>
    <x v="0"/>
    <x v="0"/>
    <s v="CB"/>
    <s v="Complete"/>
    <s v="Completed"/>
    <x v="1"/>
    <s v="University of Cape Town"/>
    <s v="Master of Arts: Clinical Psychology"/>
    <s v="The Association Between Parenting Practices and Adolescent Behavioural Outcomes: A study of South African NGO-Supported Families"/>
    <s v="Puleng"/>
    <s v="Wahbie"/>
    <s v="Puleng Segalo"/>
    <s v="Wahbie Long"/>
    <n v="96.428571428571431"/>
    <n v="82.142857142857139"/>
    <n v="89.285714285714278"/>
    <n v="5"/>
    <n v="5"/>
    <n v="10"/>
    <x v="1"/>
    <x v="1"/>
    <x v="1"/>
    <d v="2026-02-09T00:00:00"/>
    <n v="1"/>
    <n v="70930"/>
    <n v="0"/>
    <n v="0"/>
    <n v="71000"/>
    <n v="0"/>
    <n v="0"/>
    <n v="3"/>
  </r>
  <r>
    <s v="10/12/2025"/>
    <s v="2025-9980"/>
    <s v="Higher Education Awards"/>
    <s v="Thando Juqu"/>
    <s v="Thando.Juqu@gmail.com"/>
    <s v="Submitted"/>
    <s v="Under Review"/>
    <x v="1"/>
    <x v="0"/>
    <x v="0"/>
    <x v="0"/>
    <s v="CB"/>
    <s v="Complete, 1o/s ref"/>
    <s v="Completed"/>
    <x v="0"/>
    <s v="University of the Western Cape"/>
    <s v="Postdoctoral"/>
    <s v="Chemistry"/>
    <s v="Katherine"/>
    <s v="Mzamo"/>
    <s v="Katherine de Villiers"/>
    <s v="Mzamo Shozi"/>
    <n v="61.111111111111114"/>
    <n v="69.444444444444443"/>
    <n v="65.277777777777771"/>
    <n v="3"/>
    <n v="3"/>
    <n v="6"/>
    <x v="0"/>
    <x v="0"/>
    <x v="0"/>
    <d v="2026-02-28T00:00:00"/>
    <n v="2"/>
    <n v="622500"/>
    <n v="472500"/>
    <n v="0"/>
    <n v="622500"/>
    <n v="472500"/>
    <n v="0"/>
    <n v="2"/>
  </r>
  <r>
    <s v="10/12/2025"/>
    <s v="2025-9534"/>
    <s v="Higher Education Awards"/>
    <s v="Bongeka Biyase"/>
    <s v="221058196@stu.ukzn.ac.za"/>
    <s v="Submitted"/>
    <s v="Under Review"/>
    <x v="0"/>
    <x v="0"/>
    <x v="1"/>
    <x v="0"/>
    <s v="CB"/>
    <s v="Complete"/>
    <s v="Completed"/>
    <x v="4"/>
    <s v="University of KwaZulu-Natal"/>
    <s v="University-master's degree-chemistry"/>
    <s v="The main goal of this project is to develop highly effective anti-cancer agents using an integrated approach."/>
    <s v="Rupal"/>
    <s v="Shaheen"/>
    <s v="Rupal Jival"/>
    <s v="Shaheen Mowla"/>
    <n v="46.428571428571431"/>
    <n v="60.714285714285708"/>
    <n v="53.571428571428569"/>
    <n v="2"/>
    <n v="5"/>
    <n v="7"/>
    <x v="0"/>
    <x v="0"/>
    <x v="0"/>
    <d v="2026-01-01T00:00:00"/>
    <n v="2"/>
    <n v="60000"/>
    <n v="95000"/>
    <n v="0"/>
    <n v="60000"/>
    <n v="95000"/>
    <n v="0"/>
    <n v="3"/>
  </r>
  <r>
    <s v="10/12/2025"/>
    <s v="2025-9704"/>
    <s v="Higher Education Awards"/>
    <s v="Anna Khensane Mayoyo"/>
    <s v="khensanimayoyo09@gmail.com"/>
    <s v="Submitted"/>
    <s v="Under Review"/>
    <x v="0"/>
    <x v="0"/>
    <x v="1"/>
    <x v="0"/>
    <s v="CB"/>
    <s v="Complete"/>
    <s v="Completed"/>
    <x v="1"/>
    <s v="University of Cape Town"/>
    <s v="Masters in clinical work"/>
    <s v="Barriers to accessing Mental Health Services Among Low-income Populations"/>
    <s v="Annie"/>
    <s v="Brian"/>
    <s v="Annie Devenish"/>
    <s v="Brian Sibanda"/>
    <n v="78.571428571428569"/>
    <n v="60.714285714285708"/>
    <n v="69.642857142857139"/>
    <n v="4"/>
    <n v="3"/>
    <n v="7"/>
    <x v="0"/>
    <x v="0"/>
    <x v="0"/>
    <d v="2026-02-01T00:00:00"/>
    <n v="2"/>
    <n v="158000"/>
    <n v="168100"/>
    <n v="0"/>
    <n v="158000"/>
    <n v="168100"/>
    <n v="0"/>
    <n v="3"/>
  </r>
  <r>
    <s v="10/12/2025"/>
    <s v="2025-9669"/>
    <s v="Higher Education Awards"/>
    <s v="Michaela Papangeli"/>
    <s v="michaela.papangeli@icloud.com"/>
    <s v="Submitted"/>
    <s v="Under Review"/>
    <x v="0"/>
    <x v="1"/>
    <x v="1"/>
    <x v="0"/>
    <s v="CB"/>
    <s v="Complete"/>
    <s v="Completed"/>
    <x v="4"/>
    <s v="University of Cape Town"/>
    <s v="Master of Science in Medicine (Human Genetics specialization)"/>
    <s v="Psychiatric genetics"/>
    <s v="Mandeep"/>
    <s v="Zane"/>
    <s v="Mandeep Kaur"/>
    <s v="Zane Lombard"/>
    <n v="78.571428571428569"/>
    <n v="75"/>
    <n v="76.785714285714278"/>
    <n v="4"/>
    <n v="4"/>
    <n v="8"/>
    <x v="1"/>
    <x v="0"/>
    <x v="0"/>
    <d v="2025-01-01T00:00:00"/>
    <n v="1"/>
    <n v="106000"/>
    <n v="0"/>
    <n v="0"/>
    <n v="106000"/>
    <n v="0"/>
    <n v="0"/>
    <n v="3"/>
  </r>
  <r>
    <s v="10/12/2025"/>
    <s v="2025-9447"/>
    <s v="Higher Education Awards"/>
    <s v="Matteo Gregori"/>
    <s v="Nello@sun.ac.za"/>
    <s v="Submitted"/>
    <s v="Under Review"/>
    <x v="1"/>
    <x v="1"/>
    <x v="0"/>
    <x v="0"/>
    <s v="CB"/>
    <s v="Complete"/>
    <s v="Completed"/>
    <x v="3"/>
    <s v="Stellenbosch University"/>
    <s v="Postdoctoral"/>
    <s v="Environmental Microbiology"/>
    <s v="Maryna"/>
    <s v="Romano"/>
    <s v="Maryna de Wit"/>
    <s v="Romano Lottering"/>
    <n v="97.222222222222214"/>
    <n v="97.222222222222214"/>
    <n v="97.222222222222214"/>
    <n v="5"/>
    <n v="5"/>
    <n v="10"/>
    <x v="1"/>
    <x v="1"/>
    <x v="1"/>
    <d v="2025-06-01T00:00:00"/>
    <n v="2"/>
    <n v="180000"/>
    <n v="180000"/>
    <n v="0"/>
    <n v="180000"/>
    <n v="180000"/>
    <n v="0"/>
    <n v="3"/>
  </r>
  <r>
    <s v="10/12/2025"/>
    <s v="2025-9343"/>
    <s v="Higher Education Awards"/>
    <s v="Judith Legodu"/>
    <s v="reffjudith@gmail.com"/>
    <s v="Submitted"/>
    <s v="Under Review"/>
    <x v="0"/>
    <x v="0"/>
    <x v="1"/>
    <x v="0"/>
    <s v="CB"/>
    <s v="Complete"/>
    <s v="Completed"/>
    <x v="1"/>
    <s v="Sol Plaatje University"/>
    <s v="Master of Arts: Heritage Studies (Coursework)"/>
    <s v="Heritage and Museum Studies"/>
    <s v="Annie"/>
    <s v="Brian"/>
    <s v="Annie Devenish"/>
    <s v="Brian Sibanda"/>
    <n v="78.571428571428569"/>
    <n v="64.285714285714292"/>
    <n v="71.428571428571431"/>
    <n v="3"/>
    <n v="4"/>
    <n v="7"/>
    <x v="0"/>
    <x v="0"/>
    <x v="0"/>
    <d v="2026-01-26T00:00:00"/>
    <n v="1"/>
    <n v="139000"/>
    <n v="0"/>
    <n v="0"/>
    <n v="139000"/>
    <n v="0"/>
    <n v="0"/>
    <n v="3"/>
  </r>
  <r>
    <s v="10/12/2025"/>
    <s v="2025-8578"/>
    <s v="Higher Education Awards"/>
    <s v="Chantalle Crous"/>
    <s v="21204756@mynwu.ac.za"/>
    <s v="Submitted"/>
    <s v="Under Review"/>
    <x v="1"/>
    <x v="1"/>
    <x v="1"/>
    <x v="0"/>
    <s v="CB"/>
    <s v="Complete"/>
    <s v="Completed"/>
    <x v="4"/>
    <s v="North-West University Potchefstroom"/>
    <s v="First choice: Pharmaceutical Chemistry"/>
    <s v="New antimicrobial drug discovery -  expression of recombinant bacterial enzyme targets"/>
    <s v="Frasia"/>
    <s v="Neil"/>
    <s v="Frasia Oosthuizen"/>
    <s v="Neil Coville"/>
    <n v="80.555555555555557"/>
    <n v="63.888888888888886"/>
    <n v="72.222222222222229"/>
    <n v="3"/>
    <n v="2"/>
    <n v="5"/>
    <x v="0"/>
    <x v="0"/>
    <x v="0"/>
    <d v="2025-01-01T00:00:00"/>
    <n v="1"/>
    <n v="10400"/>
    <n v="0"/>
    <n v="0"/>
    <n v="10400"/>
    <n v="0"/>
    <n v="0"/>
    <n v="3"/>
  </r>
  <r>
    <s v="10/12/2025"/>
    <s v="2025-9104"/>
    <s v="Higher Education Awards"/>
    <s v="Michell Mpike"/>
    <s v="msmpike@gmail.com"/>
    <s v="Submitted"/>
    <s v="Under Review"/>
    <x v="2"/>
    <x v="0"/>
    <x v="1"/>
    <x v="0"/>
    <s v="CB"/>
    <s v="Complete"/>
    <s v="Completed"/>
    <x v="1"/>
    <s v="University of Cape Town"/>
    <s v="Doctor of Philosophy (PhD) in Education"/>
    <s v="Customised Generative-AI chatbots in South African Higher Education Courses: Enablers, Contradictions and Opportunities for Expansive Learning"/>
    <s v="Annie"/>
    <s v="Brian"/>
    <s v="Annie Devenish"/>
    <s v="Brian Sibanda"/>
    <n v="96.428571428571431"/>
    <n v="82.142857142857139"/>
    <n v="89.285714285714278"/>
    <n v="3"/>
    <n v="3"/>
    <n v="6"/>
    <x v="0"/>
    <x v="0"/>
    <x v="0"/>
    <d v="2025-02-03T00:00:00"/>
    <n v="3"/>
    <n v="302870"/>
    <n v="322460"/>
    <n v="347950"/>
    <n v="302870"/>
    <n v="322460"/>
    <n v="347950"/>
    <n v="3"/>
  </r>
  <r>
    <s v="10/12/2025"/>
    <s v="2025-8401"/>
    <s v="Higher Education Awards"/>
    <s v="Stephanus Cloete"/>
    <s v="23496959@mynwu.ac.za"/>
    <s v="Submitted"/>
    <s v="Under Review"/>
    <x v="1"/>
    <x v="1"/>
    <x v="0"/>
    <x v="0"/>
    <s v="CB"/>
    <s v="Complete"/>
    <s v="Completed"/>
    <x v="4"/>
    <s v="North-West University"/>
    <s v="First choice; Pharmaceutical Chemistry"/>
    <s v="Development of a novel treatment strategy against snakebite envenomation"/>
    <s v="Jaya"/>
    <s v="Mary"/>
    <s v="Jaya George"/>
    <s v="Mary Kawonga"/>
    <n v="88.888888888888886"/>
    <n v="66.666666666666657"/>
    <n v="77.777777777777771"/>
    <n v="5"/>
    <n v="3"/>
    <n v="8"/>
    <x v="1"/>
    <x v="0"/>
    <x v="0"/>
    <d v="2023-01-09T00:00:00"/>
    <n v="2"/>
    <n v="250000"/>
    <n v="250000"/>
    <n v="0"/>
    <n v="250000"/>
    <n v="250000"/>
    <n v="0"/>
    <n v="3"/>
  </r>
  <r>
    <s v="10/12/2025"/>
    <s v="2025-9575"/>
    <s v="Higher Education Awards"/>
    <s v="Ziyanda Stuurman"/>
    <s v="ziyanda.stuurman@gmail.com"/>
    <s v="Submitted"/>
    <s v="Under Review"/>
    <x v="2"/>
    <x v="0"/>
    <x v="1"/>
    <x v="0"/>
    <s v="CB"/>
    <s v="Complete"/>
    <s v="Completed"/>
    <x v="8"/>
    <s v="University of Cape Town"/>
    <s v="DPhil Criminology"/>
    <s v="Policing; Politics; Crime"/>
    <s v="Carolina"/>
    <s v="Danie"/>
    <s v="Carolina Meyer"/>
    <s v="Danie Visser"/>
    <n v="75"/>
    <n v="92.857142857142861"/>
    <n v="83.928571428571431"/>
    <n v="4"/>
    <n v="4"/>
    <n v="8"/>
    <x v="1"/>
    <x v="1"/>
    <x v="0"/>
    <d v="2026-02-02T00:00:00"/>
    <n v="3"/>
    <n v="280167"/>
    <n v="293692"/>
    <n v="347100"/>
    <n v="280167"/>
    <n v="293692"/>
    <n v="347100"/>
    <n v="3"/>
  </r>
  <r>
    <s v="10/12/2025"/>
    <s v="2025-9623"/>
    <s v="Higher Education Awards"/>
    <s v="Katleho Habi"/>
    <s v="2439983@students.wits.ac.za"/>
    <s v="Submitted"/>
    <s v="Under Review"/>
    <x v="0"/>
    <x v="0"/>
    <x v="1"/>
    <x v="0"/>
    <s v="EM"/>
    <s v="Complete"/>
    <s v="Completed"/>
    <x v="1"/>
    <s v="University of the Witwatersrand"/>
    <s v="MA in Fine Arts"/>
    <s v="Investigation of the Lesotho Highlands Water Project and its effect on the displaced people of Lesotho."/>
    <s v="Lucy"/>
    <s v="Oliver"/>
    <s v="Lucy Graham"/>
    <s v="Oliver Nyambi"/>
    <n v="92.857142857142861"/>
    <n v="92.857142857142861"/>
    <n v="92.857142857142861"/>
    <n v="4"/>
    <n v="5"/>
    <n v="9"/>
    <x v="1"/>
    <x v="1"/>
    <x v="0"/>
    <d v="2026-02-04T00:00:00"/>
    <n v="1"/>
    <n v="178200"/>
    <n v="0"/>
    <n v="0"/>
    <n v="178200"/>
    <n v="0"/>
    <n v="0"/>
    <n v="3"/>
  </r>
  <r>
    <s v="10/12/2025"/>
    <s v="2025-9135"/>
    <s v="Higher Education Awards"/>
    <s v="Xolisiwe Mhlathi"/>
    <s v="1502991@students.wits.ac.za"/>
    <s v="Submitted"/>
    <s v="Under Review"/>
    <x v="2"/>
    <x v="0"/>
    <x v="1"/>
    <x v="0"/>
    <s v="CB"/>
    <s v="Complete"/>
    <s v="Completed"/>
    <x v="4"/>
    <s v="University of the Witwatersrand"/>
    <s v="Doctorate degree in Anatomical Sciences"/>
    <s v="Assessing the effects of different maceration techniques on the dental and oral anatomy of immature Sus scrofa domesticus"/>
    <s v="Raymond"/>
    <s v="Shahidul"/>
    <s v="Md. Shahidul Islam"/>
    <s v="Raymond Hewer"/>
    <n v="71.428571428571431"/>
    <n v="57.142857142857139"/>
    <n v="64.285714285714278"/>
    <n v="3"/>
    <n v="1"/>
    <n v="4"/>
    <x v="0"/>
    <x v="0"/>
    <x v="0"/>
    <d v="2024-04-15T00:00:00"/>
    <n v="1"/>
    <n v="175000"/>
    <n v="0"/>
    <n v="0"/>
    <n v="175000"/>
    <n v="0"/>
    <n v="0"/>
    <n v="3"/>
  </r>
  <r>
    <s v="10/12/2025"/>
    <s v="2025-9784"/>
    <s v="Higher Education Awards"/>
    <s v="Nerissa Rajkumar"/>
    <s v="219003070@stu.ukzn.ac.za"/>
    <s v="Submitted"/>
    <s v="Under Review"/>
    <x v="2"/>
    <x v="4"/>
    <x v="1"/>
    <x v="0"/>
    <s v="CB"/>
    <s v="Complete"/>
    <s v="Completed"/>
    <x v="0"/>
    <s v="University of KwaZulu-Natal"/>
    <s v="PhD"/>
    <s v="Chemistry (Analytical chemistry)"/>
    <s v="Katherine"/>
    <s v="Mzamo"/>
    <s v="Katherine de Villiers"/>
    <s v="Mzamo Shozi"/>
    <n v="64.285714285714292"/>
    <n v="60.714285714285708"/>
    <n v="62.5"/>
    <n v="3"/>
    <n v="2"/>
    <n v="5"/>
    <x v="0"/>
    <x v="0"/>
    <x v="0"/>
    <d v="2026-01-01T00:00:00"/>
    <n v="3"/>
    <n v="198847"/>
    <n v="177428"/>
    <n v="177428"/>
    <n v="198847"/>
    <n v="177428"/>
    <n v="177428"/>
    <n v="3"/>
  </r>
  <r>
    <s v="10/12/2025"/>
    <s v="2025-8883"/>
    <s v="Higher Education Awards"/>
    <s v="Asanda Madi"/>
    <s v="718503@students.wits.ac.za"/>
    <s v="Submitted"/>
    <s v="Under Review"/>
    <x v="2"/>
    <x v="0"/>
    <x v="1"/>
    <x v="0"/>
    <s v="CB"/>
    <s v="Complete"/>
    <s v="Completed"/>
    <x v="1"/>
    <s v="University of the Witwatersrand"/>
    <s v="Neuropsychology"/>
    <s v="Adolescent neurocognitive development, socio-cultural factors and socio-emotional processes in peri-rural South Africa using the Asenze population cohort."/>
    <s v="Puleng"/>
    <s v="Wahbie"/>
    <s v="Puleng Segalo"/>
    <s v="Wahbie Long"/>
    <n v="82.142857142857139"/>
    <n v="75"/>
    <n v="78.571428571428569"/>
    <n v="4"/>
    <n v="5"/>
    <n v="9"/>
    <x v="1"/>
    <x v="0"/>
    <x v="0"/>
    <d v="2025-01-20T00:00:00"/>
    <n v="2"/>
    <n v="288464.59999999998"/>
    <n v="406590.2"/>
    <n v="0"/>
    <n v="288464.59999999998"/>
    <n v="406590.2"/>
    <n v="0"/>
    <n v="3"/>
  </r>
  <r>
    <s v="10/12/2025"/>
    <s v="2025-9424"/>
    <s v="Higher Education Awards"/>
    <s v="Nyasha Melody Gorogodo"/>
    <s v="nyasha.gorogodo@wits.ac.za"/>
    <s v="Submitted"/>
    <s v="Under Review"/>
    <x v="2"/>
    <x v="0"/>
    <x v="1"/>
    <x v="0"/>
    <s v="CB"/>
    <s v="Complete"/>
    <s v="Completed"/>
    <x v="4"/>
    <s v="University of Witwatersrand"/>
    <s v="Hematology and Molecular Medicine"/>
    <s v="Unlocking the Potential of mRNA Vaccines: A Multifaceted Approach to Boost Efficacy"/>
    <s v="Zane"/>
    <s v="Demetra"/>
    <s v="Demetra Mavri-Damelin"/>
    <s v="Zane Lombard"/>
    <n v="85.714285714285708"/>
    <n v="89.285714285714292"/>
    <n v="87.5"/>
    <n v="4"/>
    <n v="4"/>
    <n v="8"/>
    <x v="1"/>
    <x v="1"/>
    <x v="0"/>
    <d v="2026-01-02T00:00:00"/>
    <n v="2"/>
    <n v="51770"/>
    <n v="53770"/>
    <n v="0"/>
    <n v="51770"/>
    <n v="53770"/>
    <n v="0"/>
    <n v="3"/>
  </r>
  <r>
    <s v="10/12/2025"/>
    <s v="2025-9190"/>
    <s v="Higher Education Awards"/>
    <s v="Molefi Jacob Mazibuko"/>
    <s v="MazibukoM@dws.gov.za"/>
    <s v="Submitted"/>
    <s v="Under Review"/>
    <x v="2"/>
    <x v="0"/>
    <x v="0"/>
    <x v="0"/>
    <s v="CB"/>
    <s v="Complete"/>
    <s v="Completed"/>
    <x v="3"/>
    <s v="North-West University"/>
    <s v="PhD"/>
    <s v="Development of a risk framework or strategy for the implementation and monitoring of the Reserve"/>
    <s v="Chenaimoyo"/>
    <s v="Francesca"/>
    <s v="Chenaimoyo Katiyatiya"/>
    <s v="Francesca Parrini"/>
    <n v="60.714285714285708"/>
    <n v="60.714285714285708"/>
    <n v="60.714285714285708"/>
    <n v="1"/>
    <n v="1"/>
    <n v="2"/>
    <x v="0"/>
    <x v="0"/>
    <x v="0"/>
    <d v="2026-02-02T00:00:00"/>
    <n v="3"/>
    <n v="267000"/>
    <n v="310000"/>
    <n v="327000"/>
    <n v="267000"/>
    <n v="310000"/>
    <n v="327000"/>
    <n v="2"/>
  </r>
  <r>
    <s v="10/12/2025"/>
    <s v="2025-9067"/>
    <s v="Higher Education Awards"/>
    <s v="Phumla Motsa"/>
    <s v="1948608@students.wits.ac.za"/>
    <s v="Submitted"/>
    <s v="Under Review"/>
    <x v="0"/>
    <x v="0"/>
    <x v="1"/>
    <x v="0"/>
    <s v="CB"/>
    <s v="Complete"/>
    <s v="Completed"/>
    <x v="2"/>
    <s v="University of Witwatersrand"/>
    <s v=""/>
    <s v="Sustainability of Private Practice in National Health Insurance"/>
    <s v="Ekaete"/>
    <s v="Philippe"/>
    <s v="Ekaete Benedict"/>
    <s v="Philippe Burger"/>
    <n v="82.142857142857139"/>
    <n v="35.714285714285715"/>
    <n v="58.928571428571431"/>
    <n v="4"/>
    <n v="1"/>
    <n v="5"/>
    <x v="0"/>
    <x v="0"/>
    <x v="0"/>
    <d v="2026-01-01T00:00:00"/>
    <n v="1"/>
    <n v="-24000"/>
    <n v="41476"/>
    <n v="0"/>
    <n v="-24000"/>
    <n v="41476"/>
    <n v="0"/>
    <n v="2"/>
  </r>
  <r>
    <s v="10/12/2025"/>
    <s v="2025-8277"/>
    <s v="Higher Education Awards"/>
    <s v="Philile Njikija"/>
    <s v="Missnjikija23@gmail.com"/>
    <s v="Submitted"/>
    <s v="Under Review"/>
    <x v="0"/>
    <x v="0"/>
    <x v="1"/>
    <x v="0"/>
    <s v="CB"/>
    <s v="Complete"/>
    <s v="Completed"/>
    <x v="7"/>
    <s v="The University of Kwa-Zulu Natal"/>
    <s v="Drama and performance"/>
    <s v="Exploration of how African practices influence ways of being in South African performers from disadvantaged areas in South Africa"/>
    <s v="Mwenya"/>
    <s v="Mbongeni"/>
    <s v="Mbongeni Mtshali"/>
    <s v="Mwenya Kabwe"/>
    <n v="50"/>
    <n v="77.777777777777786"/>
    <n v="63.888888888888893"/>
    <n v="2"/>
    <n v="5"/>
    <n v="7"/>
    <x v="0"/>
    <x v="0"/>
    <x v="0"/>
    <d v="2025-08-27T00:00:00"/>
    <n v="2"/>
    <n v="108105"/>
    <n v="108105"/>
    <n v="0"/>
    <n v="108105"/>
    <n v="108105"/>
    <n v="0"/>
    <n v="3"/>
  </r>
  <r>
    <s v="10/12/2025"/>
    <s v="2025-8545"/>
    <s v="Higher Education Awards"/>
    <s v="Taylor Carnie"/>
    <s v="25577735@sun.ac.za"/>
    <s v="Submitted"/>
    <s v="Under Review"/>
    <x v="0"/>
    <x v="1"/>
    <x v="1"/>
    <x v="0"/>
    <s v="CB"/>
    <s v="Complete"/>
    <s v="Completed"/>
    <x v="3"/>
    <s v="Stellenbosch University"/>
    <s v="MSc Food Science"/>
    <s v="Food Science and Agriscience, specifically 'The impact of harvest maturity and micro-nano bubble pretreatments on drying rate and browning of mango.'"/>
    <s v="Cobus"/>
    <s v="Michelle"/>
    <s v="Cobus Meyer Visagie"/>
    <s v="Michelle Greve"/>
    <n v="67.857142857142861"/>
    <n v="82.142857142857139"/>
    <n v="75"/>
    <n v="4"/>
    <n v="4"/>
    <n v="8"/>
    <x v="0"/>
    <x v="0"/>
    <x v="0"/>
    <d v="2025-02-03T00:00:00"/>
    <n v="1"/>
    <n v="155486"/>
    <n v="0"/>
    <n v="0"/>
    <n v="155486"/>
    <n v="0"/>
    <n v="0"/>
    <n v="3"/>
  </r>
  <r>
    <s v="10/12/2025"/>
    <s v="2025-8567"/>
    <s v="Higher Education Awards"/>
    <s v="Lincon Kgasha Makofane"/>
    <s v="makofanelincon@gmail.com"/>
    <s v="Submitted"/>
    <s v="Under Review"/>
    <x v="2"/>
    <x v="0"/>
    <x v="0"/>
    <x v="0"/>
    <s v="CB"/>
    <s v="Complete "/>
    <s v="Completed"/>
    <x v="4"/>
    <s v="University of Cape Town"/>
    <s v="PhD"/>
    <s v="Unravelling oncogenic associations between Epstein-Barr virus (EBV) and HIV in lymphomagenesis through transcriptomic and epigenetic reprogramming"/>
    <s v="Mandeep"/>
    <s v="Zane"/>
    <s v="Mandeep Kaur"/>
    <s v="Zane Lombard"/>
    <n v="92.857142857142861"/>
    <n v="96.428571428571431"/>
    <n v="94.642857142857139"/>
    <n v="5"/>
    <n v="5"/>
    <n v="10"/>
    <x v="1"/>
    <x v="1"/>
    <x v="1"/>
    <d v="2025-08-01T00:00:00"/>
    <n v="3"/>
    <n v="203000"/>
    <n v="208000"/>
    <n v="225000"/>
    <n v="203000"/>
    <n v="208000"/>
    <n v="225000"/>
    <n v="3"/>
  </r>
  <r>
    <s v="10/12/2025"/>
    <s v="2025-9461"/>
    <s v="Higher Education Awards"/>
    <s v="Ingrid Masondo"/>
    <s v="ingridmasondo@gmail.com"/>
    <s v="Submitted"/>
    <s v="Under Review"/>
    <x v="2"/>
    <x v="0"/>
    <x v="1"/>
    <x v="0"/>
    <s v="CB"/>
    <s v="Complete"/>
    <s v="Completed"/>
    <x v="1"/>
    <s v="University of the Western Cape"/>
    <s v="PhD"/>
    <s v="Exiled archives, near and far"/>
    <s v="Puleng"/>
    <s v="Annie"/>
    <s v="Annie Devenish"/>
    <s v="Puleng Segalo"/>
    <n v="92.857142857142861"/>
    <n v="96.428571428571431"/>
    <n v="94.642857142857139"/>
    <n v="4"/>
    <n v="5"/>
    <n v="9"/>
    <x v="1"/>
    <x v="1"/>
    <x v="0"/>
    <d v="2023-02-01T00:00:00"/>
    <n v="2"/>
    <n v="350000"/>
    <n v="350000"/>
    <n v="0"/>
    <n v="350000"/>
    <n v="350000"/>
    <n v="0"/>
    <n v="3"/>
  </r>
  <r>
    <s v="10/12/2025"/>
    <s v="2025-8259"/>
    <s v="Higher Education Awards"/>
    <s v="Emmanuel Adebowale Fajemisin"/>
    <s v="emmafajems16@gmail.com"/>
    <s v="Submitted"/>
    <s v="Under Review"/>
    <x v="2"/>
    <x v="0"/>
    <x v="0"/>
    <x v="0"/>
    <s v="CB"/>
    <s v="Complete"/>
    <s v="Completed"/>
    <x v="4"/>
    <s v="University of Cape Town (UCT), South Africa"/>
    <s v="Chemical Biology"/>
    <s v="Medical Biotechnology and Cancer Immunotherapy"/>
    <s v="Rupal"/>
    <s v="Shaheen"/>
    <s v="Rupal Jival"/>
    <s v="Shaheen Mowla"/>
    <n v="92.857142857142861"/>
    <n v="89.285714285714292"/>
    <n v="91.071428571428584"/>
    <n v="5"/>
    <n v="3"/>
    <n v="8"/>
    <x v="1"/>
    <x v="1"/>
    <x v="0"/>
    <d v="2026-01-26T00:00:00"/>
    <n v="2"/>
    <n v="164180"/>
    <n v="164180"/>
    <n v="0"/>
    <n v="164180"/>
    <n v="164180"/>
    <n v="0"/>
    <n v="3"/>
  </r>
  <r>
    <s v="10/12/2025"/>
    <s v="2025-8321"/>
    <s v="Higher Education Awards"/>
    <s v="Anneli Beukes"/>
    <s v="annelstheron@gmail.com"/>
    <s v="Submitted"/>
    <s v="Under Review"/>
    <x v="0"/>
    <x v="1"/>
    <x v="1"/>
    <x v="0"/>
    <s v="CB"/>
    <s v="Complete"/>
    <s v="Completed"/>
    <x v="6"/>
    <s v="University of Cape Town"/>
    <s v="Masters Programme in Clinical Social Work"/>
    <s v="Disruption of Attachment (most possible topic, yet to be confirmed)"/>
    <s v="Chimwemwe"/>
    <s v="Dina"/>
    <s v="Chimwemwe Phiri"/>
    <s v="Dina Ligaga"/>
    <n v="75"/>
    <n v="89.285714285714292"/>
    <n v="82.142857142857139"/>
    <n v="4"/>
    <n v="5"/>
    <n v="9"/>
    <x v="1"/>
    <x v="1"/>
    <x v="0"/>
    <d v="2025-02-18T00:00:00"/>
    <n v="2"/>
    <n v="56000"/>
    <n v="91000"/>
    <n v="0"/>
    <n v="56000"/>
    <n v="91000"/>
    <n v="0"/>
    <n v="3"/>
  </r>
  <r>
    <s v="10/12/2025"/>
    <s v="2025-9267"/>
    <s v="Higher Education Awards"/>
    <s v="Glen Maimela"/>
    <s v="glenmaimela95@gmail.com"/>
    <s v="Submitted"/>
    <s v="Under Review"/>
    <x v="2"/>
    <x v="0"/>
    <x v="0"/>
    <x v="0"/>
    <s v="CB"/>
    <s v="Complete"/>
    <s v="Completed"/>
    <x v="6"/>
    <s v="Free State University"/>
    <s v="PhD in African Studies"/>
    <s v="Understanding Indigenous Communities’ Preparedness Towards the Just Energy Transition: Prospects and Challenges on Sustainable Livelihood"/>
    <s v="Badri"/>
    <s v="Johann"/>
    <s v="Badri Zolfaghari"/>
    <s v="Johan Hattingh"/>
    <n v="75"/>
    <n v="60.714285714285708"/>
    <n v="67.857142857142861"/>
    <n v="3"/>
    <n v="2"/>
    <n v="5"/>
    <x v="0"/>
    <x v="0"/>
    <x v="0"/>
    <d v="2026-01-27T00:00:00"/>
    <n v="3"/>
    <n v="50000"/>
    <n v="94950"/>
    <n v="54450"/>
    <n v="50000"/>
    <n v="94950"/>
    <n v="54450"/>
    <n v="3"/>
  </r>
  <r>
    <s v="10/12/2025"/>
    <s v="2025-9756"/>
    <s v="Higher Education Awards"/>
    <s v="Wilene Theron"/>
    <s v="wilenetheron@gmail.com"/>
    <s v="Submitted"/>
    <s v="Under Review"/>
    <x v="0"/>
    <x v="1"/>
    <x v="1"/>
    <x v="0"/>
    <s v="EM"/>
    <s v="Complete"/>
    <s v="Completed"/>
    <x v="1"/>
    <s v="Rhodes University (1st)"/>
    <s v="Master of Music"/>
    <s v="Ethnomusicology- Historiographical Analysis of the Khoekhoe groups during Colonial South Africa"/>
    <s v="Lucy"/>
    <s v="Oliver"/>
    <s v="Lucy Graham"/>
    <s v="Oliver Nyambi"/>
    <n v="46.428571428571431"/>
    <n v="57.142857142857139"/>
    <n v="51.785714285714285"/>
    <n v="1"/>
    <n v="1"/>
    <n v="2"/>
    <x v="0"/>
    <x v="0"/>
    <x v="0"/>
    <d v="2026-02-16T00:00:00"/>
    <n v="2"/>
    <n v="131464"/>
    <n v="114628.8"/>
    <n v="0"/>
    <n v="131464"/>
    <n v="114628.8"/>
    <n v="0"/>
    <n v="3"/>
  </r>
  <r>
    <s v="10/12/2025"/>
    <s v="2025-9293"/>
    <s v="Higher Education Awards"/>
    <s v="Joshua Passmore"/>
    <s v="joshuapassmore@me.com"/>
    <s v="Submitted"/>
    <s v="Under Review"/>
    <x v="2"/>
    <x v="1"/>
    <x v="0"/>
    <x v="0"/>
    <s v="CB"/>
    <s v="Complete"/>
    <s v="Completed"/>
    <x v="0"/>
    <s v="University of the Western Cape"/>
    <s v="PhD specialising in Mathematics"/>
    <s v="Pointfree topology"/>
    <s v="Edzai"/>
    <s v="Nora"/>
    <s v="Edzai Zvobwo"/>
    <s v="Nora Alexeeva"/>
    <n v="75"/>
    <n v="78.571428571428569"/>
    <n v="76.785714285714278"/>
    <n v="4"/>
    <n v="4"/>
    <n v="8"/>
    <x v="1"/>
    <x v="0"/>
    <x v="0"/>
    <d v="2026-02-09T00:00:00"/>
    <n v="3"/>
    <n v="285600"/>
    <n v="253975"/>
    <n v="266839.24"/>
    <n v="285600"/>
    <n v="253975"/>
    <n v="266839.24"/>
    <n v="3"/>
  </r>
  <r>
    <s v="10/12/2025"/>
    <s v="2025-10005"/>
    <s v="Higher Education Awards"/>
    <s v="Tebogo Mahlobogoane"/>
    <s v="tebogomahlobogoane@gmail.com"/>
    <s v="Submitted"/>
    <s v="Under Review"/>
    <x v="0"/>
    <x v="0"/>
    <x v="1"/>
    <x v="0"/>
    <s v="EM"/>
    <s v="Complete"/>
    <s v="Completed"/>
    <x v="1"/>
    <s v="University of the Witwatersrand"/>
    <s v="MA in History by coursework and research report"/>
    <s v="Land Dispossession in Post-World War II South Africa: A Study on the Impact of Post-War Resettlement Schemes on the Eersteling Farming Community and  descendants in the 1920s and 1960s."/>
    <s v="Lucy"/>
    <s v="Oliver"/>
    <s v="Lucy Graham"/>
    <s v="Oliver Nyambi"/>
    <n v="82.142857142857139"/>
    <n v="71.428571428571431"/>
    <n v="76.785714285714278"/>
    <n v="4"/>
    <n v="2"/>
    <n v="6"/>
    <x v="0"/>
    <x v="0"/>
    <x v="0"/>
    <d v="2026-02-02T00:00:00"/>
    <n v="1"/>
    <n v="29456"/>
    <n v="0"/>
    <n v="0"/>
    <n v="29456"/>
    <n v="0"/>
    <n v="0"/>
    <n v="2"/>
  </r>
  <r>
    <s v="10/12/2025"/>
    <s v="2025-9783"/>
    <s v="Higher Education Awards"/>
    <s v="Amy Laura Hoad"/>
    <s v="amy.laura.hoad@gmail.com"/>
    <s v="Submitted"/>
    <s v="Under Review"/>
    <x v="0"/>
    <x v="1"/>
    <x v="1"/>
    <x v="0"/>
    <s v="CB"/>
    <s v="Complete"/>
    <s v="Completed"/>
    <x v="3"/>
    <s v="Nelson Mandela University"/>
    <s v="Master of Science"/>
    <s v="Nature Conservation"/>
    <s v="Martin Clark"/>
    <s v="Sindiso"/>
    <s v="Martin Clark"/>
    <s v="Sindiso Chamane"/>
    <n v="75"/>
    <n v="71.428571428571431"/>
    <n v="73.214285714285722"/>
    <n v="3"/>
    <n v="4"/>
    <n v="7"/>
    <x v="0"/>
    <x v="0"/>
    <x v="0"/>
    <d v="2025-01-01T00:00:00"/>
    <n v="2"/>
    <n v="132000"/>
    <n v="27000"/>
    <n v="0"/>
    <n v="132000"/>
    <n v="27000"/>
    <n v="0"/>
    <n v="3"/>
  </r>
  <r>
    <s v="10/12/2025"/>
    <s v="2025-8579"/>
    <s v="Higher Education Awards"/>
    <s v="Gemma Field"/>
    <s v="fieldgrn@ufs.ac.za"/>
    <s v="Submitted"/>
    <s v="Under Review"/>
    <x v="2"/>
    <x v="1"/>
    <x v="1"/>
    <x v="0"/>
    <s v="EM"/>
    <s v="Complete"/>
    <s v="Completed"/>
    <x v="1"/>
    <s v="University of Johannesburg"/>
    <s v="English Language and Literature"/>
    <s v="Rural queerness in contemporary South African literature: Towards a queer pastoral aesthetic in South African fiction"/>
    <s v="Lucy"/>
    <s v="Oliver"/>
    <s v="Lucy Graham"/>
    <s v="Oliver Nyambi"/>
    <n v="85.714285714285708"/>
    <n v="92.857142857142861"/>
    <n v="89.285714285714278"/>
    <n v="4"/>
    <n v="5"/>
    <n v="9"/>
    <x v="1"/>
    <x v="1"/>
    <x v="0"/>
    <d v="2026-01-01T00:00:00"/>
    <n v="3"/>
    <n v="52750"/>
    <n v="54800"/>
    <n v="264500"/>
    <n v="52750"/>
    <n v="54800"/>
    <n v="264500"/>
    <n v="4"/>
  </r>
  <r>
    <s v="10/12/2025"/>
    <s v="2025-9079"/>
    <s v="Higher Education Awards"/>
    <s v="Ntando Ndinisa"/>
    <s v="ntandondinisa@gmail.com"/>
    <s v="Submitted"/>
    <s v="Under Review"/>
    <x v="2"/>
    <x v="0"/>
    <x v="1"/>
    <x v="0"/>
    <s v="CB"/>
    <s v="Complete, check budget"/>
    <s v="Completed"/>
    <x v="4"/>
    <s v="University of the Witwatersrand"/>
    <s v="Molecular Biomarkers as Clinical Outcome Measures to Predict Patient Recovery in Spinal Arthroplasty"/>
    <s v="Orthopaedics Spine Research"/>
    <s v="Abdullah"/>
    <s v="Demetra"/>
    <s v="Abdullah Ely"/>
    <s v="Demetra Mavri-Damelin"/>
    <n v="85.714285714285708"/>
    <n v="71.428571428571431"/>
    <n v="78.571428571428569"/>
    <n v="3"/>
    <n v="3"/>
    <n v="6"/>
    <x v="0"/>
    <x v="0"/>
    <x v="0"/>
    <d v="2026-01-12T00:00:00"/>
    <n v="3"/>
    <n v="290030.05"/>
    <n v="296157.46999999997"/>
    <n v="328499.73"/>
    <n v="290030.05"/>
    <n v="296157.46999999997"/>
    <n v="328499.73"/>
    <n v="3"/>
  </r>
  <r>
    <s v="10/12/2025"/>
    <s v="2025-9648"/>
    <s v="Higher Education Awards"/>
    <s v="Nandipha Swartbooi"/>
    <s v="nandiphaswartbooi.ns@gmail.com"/>
    <s v="Submitted"/>
    <s v="Under Review"/>
    <x v="2"/>
    <x v="0"/>
    <x v="1"/>
    <x v="0"/>
    <s v="CB"/>
    <s v="Complete"/>
    <s v="Completed"/>
    <x v="1"/>
    <s v="University of Johannesburg"/>
    <s v="English Doctoral"/>
    <s v="African Literatures and Cultures of Migration/Migrations of African Literatures and Cultures: A Discussion of Migration as Romance and Tragedy in Selected African Literatures and Visual Cultures"/>
    <s v="Lucy"/>
    <s v="Oliver"/>
    <s v="Lucy Graham"/>
    <s v="Oliver Nyambi"/>
    <n v="67.857142857142861"/>
    <n v="89.285714285714292"/>
    <n v="78.571428571428584"/>
    <n v="3"/>
    <n v="4"/>
    <n v="7"/>
    <x v="1"/>
    <x v="0"/>
    <x v="0"/>
    <d v="2026-02-08T00:00:00"/>
    <n v="3"/>
    <n v="46600"/>
    <n v="46600"/>
    <n v="46600"/>
    <n v="46600"/>
    <n v="46600"/>
    <n v="46600"/>
    <n v="3"/>
  </r>
  <r>
    <s v="10/12/2025"/>
    <s v="2025-9773"/>
    <s v="Higher Education Awards"/>
    <s v="Temashengu Tshabalala"/>
    <s v="temashengult@gmail.com"/>
    <s v="Submitted"/>
    <s v="Under Review"/>
    <x v="0"/>
    <x v="0"/>
    <x v="1"/>
    <x v="0"/>
    <s v="CB"/>
    <s v="Complete"/>
    <s v="Completed"/>
    <x v="1"/>
    <s v="University of Witwatersrand"/>
    <s v="MA English Studies"/>
    <s v="Black and African literature"/>
    <s v="Lucy"/>
    <s v="Oliver"/>
    <s v="Lucy Graham"/>
    <s v="Oliver Nyambi"/>
    <n v="85.714285714285708"/>
    <n v="82.142857142857139"/>
    <n v="83.928571428571416"/>
    <n v="4"/>
    <n v="3"/>
    <n v="7"/>
    <x v="1"/>
    <x v="0"/>
    <x v="0"/>
    <d v="2026-01-02T00:00:00"/>
    <n v="1"/>
    <n v="31500"/>
    <n v="0"/>
    <n v="0"/>
    <n v="31500"/>
    <n v="0"/>
    <n v="0"/>
    <n v="3"/>
  </r>
  <r>
    <s v="10/12/2025"/>
    <s v="2025-9515"/>
    <s v="Higher Education Awards"/>
    <s v="NONDUDUZO SLUNGILE NGEMA"/>
    <s v="nonduduzosngema@gmail.com"/>
    <s v="Submitted"/>
    <s v="Under Review"/>
    <x v="0"/>
    <x v="0"/>
    <x v="1"/>
    <x v="0"/>
    <s v="CB"/>
    <s v="Complete"/>
    <s v="Completed"/>
    <x v="1"/>
    <s v="University of Mpumalanga"/>
    <s v="Masters of Arts in English"/>
    <s v="Comparing Marriage as Patriarchal Constraint and Space for Self-Reinvention in Ama Ata Aidoo’s Changes: A Love Story and Flora Nwapa’s One Is Enough"/>
    <s v="Lucy"/>
    <s v="Oliver"/>
    <s v="Lucy Graham"/>
    <s v="Oliver Nyambi"/>
    <n v="67.857142857142861"/>
    <n v="75"/>
    <n v="71.428571428571431"/>
    <n v="3"/>
    <n v="3"/>
    <n v="6"/>
    <x v="0"/>
    <x v="0"/>
    <x v="0"/>
    <d v="2026-01-26T00:00:00"/>
    <n v="2"/>
    <n v="160000"/>
    <n v="160000"/>
    <n v="0"/>
    <n v="160000"/>
    <n v="160000"/>
    <n v="0"/>
    <n v="3"/>
  </r>
  <r>
    <s v="10/12/2025"/>
    <s v="2025-9232"/>
    <s v="Higher Education Awards"/>
    <s v="Pieter Conradie"/>
    <s v="pconradie0531@gmail.com"/>
    <s v="Submitted"/>
    <s v="Under Review"/>
    <x v="2"/>
    <x v="1"/>
    <x v="0"/>
    <x v="0"/>
    <s v="CB"/>
    <s v="Complete"/>
    <s v="Completed"/>
    <x v="1"/>
    <s v="Stellenbosch University"/>
    <s v="PhD in English Studies"/>
    <s v="Caribbean epic poetry; Oceanic Studies; Postcolonial Critique"/>
    <s v="Lucy"/>
    <s v="Oliver"/>
    <s v="Lucy Graham"/>
    <s v="Oliver Nyambi"/>
    <n v="85.714285714285708"/>
    <n v="89.285714285714292"/>
    <n v="87.5"/>
    <n v="4"/>
    <n v="4"/>
    <n v="8"/>
    <x v="1"/>
    <x v="1"/>
    <x v="0"/>
    <d v="2026-02-01T00:00:00"/>
    <n v="3"/>
    <n v="124500"/>
    <n v="124500"/>
    <n v="124500"/>
    <n v="124500"/>
    <n v="124500"/>
    <n v="124500"/>
    <n v="3"/>
  </r>
  <r>
    <s v="10/12/2025"/>
    <s v="2025-8723"/>
    <s v="Higher Education Awards"/>
    <s v="Sanele Faith Myeni"/>
    <s v="Sanelemyeni75@gmail.com"/>
    <s v="Submitted"/>
    <s v="Under Review"/>
    <x v="0"/>
    <x v="0"/>
    <x v="1"/>
    <x v="0"/>
    <s v="CB"/>
    <s v="Complete, 1o/s ref"/>
    <s v="Completed"/>
    <x v="0"/>
    <s v="University of zululand"/>
    <s v="Master in chemistry"/>
    <s v="Drug repositioning and/ or hybridization as a route to anti-infectives such as malaria"/>
    <s v="Abdul"/>
    <s v="Nabanita "/>
    <s v="Abdul Mahomed"/>
    <s v="Nabanita Chatterjee"/>
    <n v="35.714285714285715"/>
    <n v="67.857142857142861"/>
    <n v="51.785714285714292"/>
    <n v="1"/>
    <n v="2"/>
    <n v="3"/>
    <x v="0"/>
    <x v="0"/>
    <x v="0"/>
    <d v="2026-02-03T00:00:00"/>
    <n v="1"/>
    <n v="122000"/>
    <n v="0"/>
    <n v="0"/>
    <n v="122000"/>
    <n v="0"/>
    <n v="0"/>
    <n v="2"/>
  </r>
  <r>
    <s v="10/12/2025"/>
    <s v="2025-9254"/>
    <s v="Higher Education Awards"/>
    <s v="Bonaventure Kgaogelo Mashego"/>
    <s v="kgaubon@gmail.com"/>
    <s v="Submitted"/>
    <s v="Under Review"/>
    <x v="0"/>
    <x v="0"/>
    <x v="0"/>
    <x v="0"/>
    <s v="CB"/>
    <s v="Complete"/>
    <s v="Completed"/>
    <x v="5"/>
    <s v="University Of Cape Town"/>
    <s v="Master of Philosophy in Conservation of the Built Environment"/>
    <s v="Built environment conservation, Heritage resource management, Transformative conservation practices, spatial justice and sustainable cultural futures"/>
    <s v="Finzi"/>
    <s v="Carin"/>
    <s v="Carin Brown"/>
    <s v="Finzi Saidi"/>
    <n v="75"/>
    <n v="75"/>
    <n v="75"/>
    <n v="3"/>
    <n v="3"/>
    <n v="6"/>
    <x v="0"/>
    <x v="0"/>
    <x v="0"/>
    <d v="2026-02-23T00:00:00"/>
    <n v="2"/>
    <n v="150009"/>
    <n v="150009"/>
    <n v="0"/>
    <n v="150009"/>
    <n v="150009"/>
    <n v="0"/>
    <n v="3"/>
  </r>
  <r>
    <s v="10/12/2025"/>
    <s v="2025-9892"/>
    <s v="Higher Education Awards"/>
    <s v="Gerhard Venter"/>
    <s v="gventer@sun.ac.za"/>
    <s v="Submitted"/>
    <s v="Under Review"/>
    <x v="3"/>
    <x v="1"/>
    <x v="0"/>
    <x v="1"/>
    <s v="CB"/>
    <s v="Complete"/>
    <s v="Completed"/>
    <x v="5"/>
    <s v="Hochschule Esslingen - University of Applied Sciences"/>
    <s v="Computational Structural Mechanics"/>
    <s v="Digital Image Correlation"/>
    <s v="Lesedi"/>
    <s v="Pieter"/>
    <s v="Lesedi Masisi"/>
    <s v="Pieter Pistorius"/>
    <n v="80"/>
    <n v="52.5"/>
    <n v="66.25"/>
    <n v="5"/>
    <n v="2"/>
    <n v="7"/>
    <x v="0"/>
    <x v="0"/>
    <x v="0"/>
    <d v="2026-04-01T00:00:00"/>
    <n v="1"/>
    <n v="148931.25"/>
    <n v="0"/>
    <n v="0"/>
    <n v="148931.25"/>
    <n v="0"/>
    <n v="0"/>
    <n v="3"/>
  </r>
  <r>
    <s v="10/12/2025"/>
    <s v="2025-9456"/>
    <s v="Higher Education Awards"/>
    <s v="Anathi Ntsevu"/>
    <s v="ntsevua@gmail.com"/>
    <s v="Submitted"/>
    <s v="Under Review"/>
    <x v="0"/>
    <x v="0"/>
    <x v="1"/>
    <x v="0"/>
    <s v="CB"/>
    <s v="Complete"/>
    <s v="Completed"/>
    <x v="0"/>
    <s v="Nelson Mandela University"/>
    <s v="Masters Chemistry"/>
    <s v="Continuous flow synthesis of a key intermediate toward gemifloxacin"/>
    <s v="Abdul"/>
    <s v="Nabanita "/>
    <s v="Abdul Mahomed"/>
    <s v="Nabanita Chatterjee"/>
    <n v="60.714285714285708"/>
    <n v="67.857142857142861"/>
    <n v="64.285714285714278"/>
    <n v="3"/>
    <n v="3"/>
    <n v="6"/>
    <x v="0"/>
    <x v="0"/>
    <x v="0"/>
    <d v="2026-01-10T00:00:00"/>
    <n v="1"/>
    <n v="120070"/>
    <n v="0"/>
    <n v="0"/>
    <n v="120070"/>
    <n v="0"/>
    <n v="0"/>
    <n v="3"/>
  </r>
  <r>
    <s v="10/12/2025"/>
    <s v="2025-8984"/>
    <s v="Higher Education Awards"/>
    <s v="Sesam Nomvete"/>
    <s v="2332360@students.wits.ac.za"/>
    <s v="Submitted"/>
    <s v="Under Review"/>
    <x v="0"/>
    <x v="0"/>
    <x v="1"/>
    <x v="0"/>
    <s v="CB"/>
    <s v="Complete"/>
    <s v="Completed"/>
    <x v="6"/>
    <s v="University of the Witswatersrand"/>
    <s v="Masters of Arts in Development Studies"/>
    <s v="Sociology of Education: An exploration of philosophy departments in South African universities"/>
    <s v="Badri"/>
    <s v="Johann"/>
    <s v="Badri Zolfaghari"/>
    <s v="Johan Hattingh"/>
    <n v="85.714285714285708"/>
    <n v="57.142857142857139"/>
    <n v="71.428571428571416"/>
    <n v="3"/>
    <n v="1"/>
    <n v="4"/>
    <x v="0"/>
    <x v="0"/>
    <x v="0"/>
    <d v="2026-02-02T00:00:00"/>
    <n v="2"/>
    <n v="133400"/>
    <n v="81400"/>
    <n v="0"/>
    <n v="133400"/>
    <n v="81400"/>
    <n v="0"/>
    <n v="3"/>
  </r>
  <r>
    <s v="10/12/2025"/>
    <s v="2025-8208"/>
    <s v="Higher Education Awards"/>
    <s v="Tebogo Malope"/>
    <s v="b.t.malope@gmail.com"/>
    <s v="Submitted"/>
    <s v="Under Review"/>
    <x v="0"/>
    <x v="0"/>
    <x v="1"/>
    <x v="0"/>
    <s v="CB"/>
    <s v="Complete"/>
    <s v="Completed"/>
    <x v="4"/>
    <s v="University of Cape Town"/>
    <s v="MSc Med in Clinical Sciences and Immunology"/>
    <s v="In-vitro Effects of Immunomodulatory Strategies in DRESS and TB Immune Responses in HIV"/>
    <s v="Nicola"/>
    <s v="Riffat"/>
    <s v="Nicola Christofides"/>
    <s v="Riffat Munir"/>
    <n v="89.285714285714292"/>
    <n v="92.857142857142861"/>
    <n v="91.071428571428584"/>
    <n v="3"/>
    <n v="5"/>
    <n v="8"/>
    <x v="1"/>
    <x v="1"/>
    <x v="0"/>
    <d v="2025-01-13T00:00:00"/>
    <n v="1"/>
    <n v="245000"/>
    <n v="0"/>
    <n v="0"/>
    <n v="245000"/>
    <n v="0"/>
    <n v="0"/>
    <n v="3"/>
  </r>
  <r>
    <s v="10/12/2025"/>
    <s v="2025-9641"/>
    <s v="Higher Education Awards"/>
    <s v="ROBERT RUHANGARIYO"/>
    <s v="rhnrob002@myuct.ac.za"/>
    <s v="Submitted"/>
    <s v="Under Review"/>
    <x v="2"/>
    <x v="0"/>
    <x v="0"/>
    <x v="0"/>
    <s v="CB"/>
    <s v="Complete"/>
    <s v="Completed"/>
    <x v="4"/>
    <s v="University of Cape Town"/>
    <s v="PhD in Clinical Science and Immunology"/>
    <s v="INVESTIGATING THE FUNCTION OF SESTRIN 1 AND SESTRIN 2 (SESN1/2) GENE IN LISTERIA MONOCYTOGENES INFECTION"/>
    <s v="Nicola"/>
    <s v="Riffat"/>
    <s v="Nicola Christofides"/>
    <s v="Riffat Munir"/>
    <n v="92.857142857142861"/>
    <n v="78.571428571428569"/>
    <n v="85.714285714285722"/>
    <n v="4"/>
    <n v="3"/>
    <n v="7"/>
    <x v="1"/>
    <x v="0"/>
    <x v="0"/>
    <d v="2026-02-01T00:00:00"/>
    <n v="3"/>
    <n v="271200"/>
    <n v="271200"/>
    <n v="271200"/>
    <n v="271200"/>
    <n v="271200"/>
    <n v="271200"/>
    <n v="3"/>
  </r>
  <r>
    <s v="10/12/2025"/>
    <s v="2025-8565"/>
    <s v="Higher Education Awards"/>
    <s v="Isabelle Joubert"/>
    <s v="isabelleelenajoubert@gmail.com"/>
    <s v="Submitted"/>
    <s v="Under Review"/>
    <x v="2"/>
    <x v="1"/>
    <x v="1"/>
    <x v="0"/>
    <s v="CB"/>
    <s v="Complete"/>
    <s v="Completed"/>
    <x v="1"/>
    <s v="University of Cape Town"/>
    <s v="English Literary Studies"/>
    <s v="Cultural representations of fungi"/>
    <s v="Lucy"/>
    <s v="Oliver"/>
    <s v="Lucy Graham"/>
    <s v="Oliver Nyambi"/>
    <n v="92.857142857142861"/>
    <n v="100"/>
    <n v="96.428571428571431"/>
    <n v="4"/>
    <n v="5"/>
    <n v="9"/>
    <x v="1"/>
    <x v="1"/>
    <x v="0"/>
    <d v="2026-01-01T00:00:00"/>
    <n v="2"/>
    <n v="216057"/>
    <n v="216057"/>
    <n v="0"/>
    <n v="216057"/>
    <n v="216057"/>
    <n v="0"/>
    <n v="3"/>
  </r>
  <r>
    <s v="10/12/2025"/>
    <s v="2025-8628"/>
    <s v="Higher Education Awards"/>
    <s v="Thamsanda William Mayekiso"/>
    <s v="202104017@spu.ac.za"/>
    <s v="Submitted"/>
    <s v="Under Review"/>
    <x v="0"/>
    <x v="0"/>
    <x v="0"/>
    <x v="0"/>
    <s v="CB"/>
    <s v="Complete, 1o/s ref"/>
    <s v="Completed"/>
    <x v="1"/>
    <s v="Sol Plaatje University, Wits University and UCT."/>
    <s v="Archaeology"/>
    <s v="Faunal Evidence: Subsistence Practices of Later Stone Age Hunter-Gatherers: A Continuation Study at Bundu Farm"/>
    <s v="Chimwemwe"/>
    <s v="Dina"/>
    <s v="Chimwemwe Phiri"/>
    <s v="Dina Ligaga"/>
    <n v="67.857142857142861"/>
    <n v="71.428571428571431"/>
    <n v="69.642857142857139"/>
    <n v="3"/>
    <n v="3"/>
    <n v="6"/>
    <x v="0"/>
    <x v="0"/>
    <x v="0"/>
    <d v="2025-07-19T00:00:00"/>
    <n v="2"/>
    <n v="185040"/>
    <n v="200040"/>
    <n v="0"/>
    <n v="185040"/>
    <n v="200040"/>
    <n v="0"/>
    <n v="2"/>
  </r>
  <r>
    <s v="10/12/2025"/>
    <s v="2025-9479"/>
    <s v="Higher Education Awards"/>
    <s v="Thabo Khumalo"/>
    <s v="thabolebokhumalo@gmail.com"/>
    <s v="Submitted"/>
    <s v="Under Review"/>
    <x v="0"/>
    <x v="0"/>
    <x v="0"/>
    <x v="0"/>
    <s v="CB"/>
    <s v="Complete"/>
    <s v="Completed"/>
    <x v="1"/>
    <s v="University of Pretoria/University of Johannesburg"/>
    <s v="MEd"/>
    <s v="The Impact of Physical and Psychological Classroom Environment  on Creativity in Early Childhood Education."/>
    <s v="Chimwemwe"/>
    <s v="Dina"/>
    <s v="Chimwemwe Phiri"/>
    <s v="Dina Ligaga"/>
    <n v="64.285714285714292"/>
    <n v="67.857142857142861"/>
    <n v="66.071428571428584"/>
    <n v="3"/>
    <n v="4"/>
    <n v="7"/>
    <x v="0"/>
    <x v="0"/>
    <x v="0"/>
    <d v="2026-01-01T00:00:00"/>
    <n v="2"/>
    <n v="196500"/>
    <n v="196500"/>
    <n v="0"/>
    <n v="196500"/>
    <n v="196500"/>
    <n v="0"/>
    <n v="3"/>
  </r>
  <r>
    <s v="10/12/2025"/>
    <s v="2025-9072"/>
    <s v="Higher Education Awards"/>
    <s v="Alexandra Kawecki"/>
    <s v="kawecki.alexandra@gmail.com"/>
    <s v="Submitted"/>
    <s v="Under Review"/>
    <x v="0"/>
    <x v="1"/>
    <x v="1"/>
    <x v="0"/>
    <s v="CB"/>
    <s v="Complete"/>
    <s v="Completed"/>
    <x v="3"/>
    <s v="University of Cape Town"/>
    <s v="MSc, Nature Conservation"/>
    <s v="AI and citizen science"/>
    <s v="Chenaimoyo"/>
    <s v="Francesca"/>
    <s v="Chenaimoyo Katiyatiya"/>
    <s v="Francesca Parrini"/>
    <n v="71.428571428571431"/>
    <n v="71.428571428571431"/>
    <n v="71.428571428571431"/>
    <n v="1"/>
    <n v="1"/>
    <n v="2"/>
    <x v="0"/>
    <x v="0"/>
    <x v="0"/>
    <d v="2026-01-01T00:00:00"/>
    <n v="1"/>
    <n v="341159"/>
    <n v="0"/>
    <n v="0"/>
    <n v="341159"/>
    <n v="0"/>
    <n v="0"/>
    <n v="3"/>
  </r>
  <r>
    <s v="10/12/2025"/>
    <s v="2025-8556"/>
    <s v="Higher Education Awards"/>
    <s v="Mbalenhle Ntuli"/>
    <s v="21958092@sun.ac.za"/>
    <s v="Submitted"/>
    <s v="Under Review"/>
    <x v="2"/>
    <x v="0"/>
    <x v="1"/>
    <x v="0"/>
    <s v="CB"/>
    <s v="Complete"/>
    <s v="Completed"/>
    <x v="4"/>
    <s v="Stellenbosch University"/>
    <s v="PhD Physiological Sciences- Thesis"/>
    <s v="Neuro Research"/>
    <s v="Mubeen"/>
    <s v="Sandrine"/>
    <s v="Mubeen Goolam"/>
    <s v="Sandrine Lecour"/>
    <n v="78.571428571428569"/>
    <n v="67.857142857142861"/>
    <n v="73.214285714285722"/>
    <n v="4"/>
    <n v="3"/>
    <n v="7"/>
    <x v="0"/>
    <x v="0"/>
    <x v="0"/>
    <d v="2026-02-01T00:00:00"/>
    <n v="3"/>
    <n v="211015"/>
    <n v="222000"/>
    <n v="222500"/>
    <n v="211015"/>
    <n v="222000"/>
    <n v="222500"/>
    <n v="3"/>
  </r>
  <r>
    <s v="10/12/2025"/>
    <s v="2025-9836"/>
    <s v="Higher Education Awards"/>
    <s v="Jenna Muhlberg"/>
    <s v="mhljen002@myuct.ac.za"/>
    <s v="Submitted"/>
    <s v="Under Review"/>
    <x v="2"/>
    <x v="1"/>
    <x v="1"/>
    <x v="0"/>
    <s v="CB"/>
    <s v="Complete"/>
    <s v="Completed"/>
    <x v="4"/>
    <s v="University of Cape Town"/>
    <s v="PhD (Med) in Medical Cell Biology"/>
    <s v="Cancer biology"/>
    <s v="Rupal"/>
    <s v="Shaheen"/>
    <s v="Rupal Jival"/>
    <s v="Shaheen Mowla"/>
    <n v="100"/>
    <n v="82.142857142857139"/>
    <n v="91.071428571428569"/>
    <n v="5"/>
    <n v="3"/>
    <n v="8"/>
    <x v="1"/>
    <x v="1"/>
    <x v="0"/>
    <d v="2026-02-01T00:00:00"/>
    <n v="2"/>
    <n v="63000"/>
    <n v="63000"/>
    <n v="0"/>
    <n v="63000"/>
    <n v="63000"/>
    <n v="0"/>
    <n v="3"/>
  </r>
  <r>
    <s v="10/12/2025"/>
    <s v="2025-9920"/>
    <s v="Higher Education Awards"/>
    <s v="Wilika Polla"/>
    <s v="wilkapolla@gmail.com"/>
    <s v="Submitted"/>
    <s v="Under Review"/>
    <x v="0"/>
    <x v="0"/>
    <x v="1"/>
    <x v="0"/>
    <s v="CB"/>
    <s v="Complete"/>
    <s v="Completed"/>
    <x v="3"/>
    <s v="University of the Witwatersrand"/>
    <s v="Masters in Geophysics"/>
    <s v="Borehole logging"/>
    <s v="Shanuska"/>
    <s v="Markus"/>
    <s v="Markus Wilken"/>
    <s v="Sanushka Naidoo"/>
    <n v="64.285714285714292"/>
    <n v="67.857142857142861"/>
    <n v="66.071428571428584"/>
    <n v="3"/>
    <n v="3"/>
    <n v="6"/>
    <x v="0"/>
    <x v="0"/>
    <x v="0"/>
    <d v="2026-01-01T00:00:00"/>
    <n v="2"/>
    <n v="120000"/>
    <n v="120000"/>
    <n v="0"/>
    <n v="120000"/>
    <n v="120000"/>
    <n v="0"/>
    <n v="3"/>
  </r>
  <r>
    <s v="10/12/2025"/>
    <s v="2025-9469"/>
    <s v="Higher Education Awards"/>
    <s v="Rabelani Mudzuli"/>
    <s v="u21482782@tuks.co.za"/>
    <s v="Submitted"/>
    <s v="Under Review"/>
    <x v="0"/>
    <x v="0"/>
    <x v="1"/>
    <x v="0"/>
    <s v="CB"/>
    <s v="Complete"/>
    <s v="Completed"/>
    <x v="4"/>
    <s v="University of Pretoria"/>
    <s v="MSc Medical Virology"/>
    <s v="Human Papillomavirus Research, Vaccinology, Phylogenetic lineages and understanding the genetic relatedness between the HPV variants"/>
    <s v="Jaya"/>
    <s v="Mary"/>
    <s v="Jaya George"/>
    <s v="Mary Kawonga"/>
    <n v="67.857142857142861"/>
    <n v="64.285714285714292"/>
    <n v="66.071428571428584"/>
    <n v="3"/>
    <n v="3"/>
    <n v="6"/>
    <x v="0"/>
    <x v="0"/>
    <x v="0"/>
    <d v="2026-01-05T00:00:00"/>
    <n v="1"/>
    <n v="113555"/>
    <n v="0"/>
    <n v="0"/>
    <n v="113555"/>
    <n v="0"/>
    <n v="0"/>
    <n v="3"/>
  </r>
  <r>
    <s v="10/12/2025"/>
    <s v="2025-9998"/>
    <s v="Higher Education Awards"/>
    <s v="Lauren Marsha Grootboom"/>
    <s v="GRTLAU002@myuct.ac.za"/>
    <s v="Submitted"/>
    <s v="Under Review"/>
    <x v="2"/>
    <x v="0"/>
    <x v="1"/>
    <x v="0"/>
    <s v="CB"/>
    <s v="Complete"/>
    <s v="Completed"/>
    <x v="5"/>
    <s v="University of Cape Town"/>
    <s v="PhD Civil Engineering"/>
    <s v="Indigenous Knowledge Systems, Women and Water Systems in South Africa"/>
    <s v="Finzi"/>
    <s v="Carin"/>
    <s v="Carin Brown"/>
    <s v="Finzi Saidi"/>
    <n v="78.571428571428569"/>
    <n v="92.857142857142861"/>
    <n v="85.714285714285722"/>
    <n v="3"/>
    <n v="5"/>
    <n v="8"/>
    <x v="1"/>
    <x v="1"/>
    <x v="1"/>
    <d v="2025-02-15T00:00:00"/>
    <n v="3"/>
    <n v="50000"/>
    <n v="250000"/>
    <n v="250000"/>
    <n v="250000"/>
    <n v="250000"/>
    <n v="0"/>
    <n v="2"/>
  </r>
  <r>
    <s v="10/12/2025"/>
    <s v="2025-9200"/>
    <s v="Higher Education Awards"/>
    <s v="Osamamwen Osifo"/>
    <s v="2445330@students.wits.ac.za"/>
    <s v="Submitted"/>
    <s v="Under Review"/>
    <x v="0"/>
    <x v="0"/>
    <x v="1"/>
    <x v="0"/>
    <s v="CB"/>
    <s v="Complete"/>
    <s v="Completed"/>
    <x v="4"/>
    <s v="University of the Witwatersrand"/>
    <s v="MSc in Epidemiology"/>
    <s v="Epidemiology and Biostatistics"/>
    <s v="Gill"/>
    <s v="Moses"/>
    <s v="Gill Nelson"/>
    <s v="Moses Alobo"/>
    <n v="85.714285714285708"/>
    <n v="85.714285714285708"/>
    <n v="85.714285714285708"/>
    <n v="4"/>
    <n v="4"/>
    <n v="8"/>
    <x v="1"/>
    <x v="1"/>
    <x v="0"/>
    <d v="2025-01-20T00:00:00"/>
    <n v="1"/>
    <n v="196000"/>
    <n v="0"/>
    <n v="0"/>
    <n v="196000"/>
    <n v="0"/>
    <n v="0"/>
    <n v="3"/>
  </r>
  <r>
    <s v="10/12/2025"/>
    <s v="2025-9673"/>
    <s v="Higher Education Awards"/>
    <s v="Neha Seupersad"/>
    <s v="seupersad.neha@gmail.com"/>
    <s v="Submitted"/>
    <s v="Under Review"/>
    <x v="2"/>
    <x v="4"/>
    <x v="1"/>
    <x v="0"/>
    <s v="CB"/>
    <s v="Complete"/>
    <s v="Completed"/>
    <x v="0"/>
    <s v="University of the Witwatersrand"/>
    <s v="PhD Biochemistry and Cell Biology"/>
    <s v="Antimicrobial susceptibility testing"/>
    <s v="Abdul"/>
    <s v="Nabanita "/>
    <s v="Abdul Mahomed"/>
    <s v="Nabanita Chatterjee"/>
    <n v="75"/>
    <n v="57.142857142857139"/>
    <n v="66.071428571428569"/>
    <n v="4"/>
    <n v="2"/>
    <n v="6"/>
    <x v="0"/>
    <x v="0"/>
    <x v="0"/>
    <d v="2026-02-05T00:00:00"/>
    <n v="3"/>
    <n v="231000"/>
    <n v="258000"/>
    <n v="272000"/>
    <n v="231000"/>
    <n v="258000"/>
    <n v="272000"/>
    <n v="3"/>
  </r>
  <r>
    <s v="10/12/2025"/>
    <s v="2025-9433"/>
    <s v="Higher Education Awards"/>
    <s v="Phemelo Tshoke"/>
    <s v="tshokeps@gmail.com"/>
    <s v="Submitted"/>
    <s v="Under Review"/>
    <x v="0"/>
    <x v="0"/>
    <x v="1"/>
    <x v="0"/>
    <s v="CB"/>
    <s v="Complete"/>
    <s v="Completed"/>
    <x v="4"/>
    <s v="University of the Witwatersrand"/>
    <s v="MSc in Molecular and Cell Biology"/>
    <s v="Protein Biochemistry and Structural Biology"/>
    <s v="Abdullah"/>
    <s v="Demetra"/>
    <s v="Abdullah Ely"/>
    <s v="Demetra Mavri-Damelin"/>
    <n v="89.285714285714292"/>
    <n v="57.142857142857139"/>
    <n v="73.214285714285722"/>
    <n v="5"/>
    <n v="3"/>
    <n v="8"/>
    <x v="0"/>
    <x v="0"/>
    <x v="0"/>
    <d v="2025-01-31T00:00:00"/>
    <n v="1"/>
    <n v="180600"/>
    <n v="0"/>
    <n v="0"/>
    <n v="180600"/>
    <n v="0"/>
    <n v="0"/>
    <n v="3"/>
  </r>
  <r>
    <s v="10/12/2025"/>
    <s v="2025-8498"/>
    <s v="Higher Education Awards"/>
    <s v="Thembelihle Myeza"/>
    <s v="thembelihlemyeza124@gmail.com"/>
    <s v="Submitted"/>
    <s v="Under Review"/>
    <x v="0"/>
    <x v="0"/>
    <x v="1"/>
    <x v="0"/>
    <s v="CB"/>
    <s v="Complete"/>
    <s v="Completed"/>
    <x v="4"/>
    <s v="University of Witwatersrand"/>
    <s v=""/>
    <s v="The association of galectin-3 and NKCC-2 with cardiac dysfunction in adenine-induced CKD rats."/>
    <s v="Raymond"/>
    <s v="Shahidul"/>
    <s v="Md. Shahidul Islam"/>
    <s v="Raymond Hewer"/>
    <n v="67.857142857142861"/>
    <n v="64.285714285714292"/>
    <n v="66.071428571428584"/>
    <n v="3"/>
    <n v="3"/>
    <n v="6"/>
    <x v="0"/>
    <x v="0"/>
    <x v="0"/>
    <d v="2026-02-02T00:00:00"/>
    <n v="1"/>
    <n v="173944"/>
    <n v="0"/>
    <n v="0"/>
    <n v="173944"/>
    <n v="0"/>
    <n v="0"/>
    <n v="3"/>
  </r>
  <r>
    <s v="10/12/2025"/>
    <s v="2025-9418"/>
    <s v="Higher Education Awards"/>
    <s v="Jess Capstick-Dale"/>
    <s v="jess.capstickdale@gmail.com"/>
    <s v="Submitted"/>
    <s v="Under Review"/>
    <x v="2"/>
    <x v="1"/>
    <x v="1"/>
    <x v="0"/>
    <s v="CB"/>
    <s v="Complete"/>
    <s v="Completed"/>
    <x v="2"/>
    <s v="University of Cape Town"/>
    <s v="Digital labour and economic inclusion"/>
    <s v="The relationship between low income mothers' unpaid care work and their participation in the digital economy"/>
    <s v="Helena"/>
    <s v="Philippe"/>
    <s v="Helena Barnard"/>
    <s v="Philippe Burger"/>
    <n v="100"/>
    <n v="75"/>
    <n v="87.5"/>
    <n v="5"/>
    <n v="3"/>
    <n v="8"/>
    <x v="1"/>
    <x v="1"/>
    <x v="0"/>
    <d v="2025-03-28T00:00:00"/>
    <n v="2"/>
    <n v="337985"/>
    <n v="262720"/>
    <n v="279170"/>
    <n v="337985"/>
    <n v="262720"/>
    <n v="279170"/>
    <n v="3"/>
  </r>
  <r>
    <s v="10/12/2025"/>
    <s v="2025-9216"/>
    <s v="Higher Education Awards"/>
    <s v="Zukanye Tshandu"/>
    <s v="1737959@students.wits.ac.za"/>
    <s v="Submitted"/>
    <s v="Under Review"/>
    <x v="0"/>
    <x v="0"/>
    <x v="1"/>
    <x v="0"/>
    <s v="CB"/>
    <s v="Complete"/>
    <s v="Completed"/>
    <x v="6"/>
    <s v="The University of the Witwaterstrand"/>
    <s v="Masters in Cultural Policy Management"/>
    <s v="Exploring the impact of colonial and apartheid legacies on the economic status of black artists in democratic South Africa."/>
    <s v="Badri"/>
    <s v="Johann"/>
    <s v="Badri Zolfaghari"/>
    <s v="Johan Hattingh"/>
    <n v="83.333333333333343"/>
    <n v="88.888888888888886"/>
    <n v="86.111111111111114"/>
    <n v="4"/>
    <n v="5"/>
    <n v="9"/>
    <x v="1"/>
    <x v="1"/>
    <x v="0"/>
    <d v="2025-02-10T00:00:00"/>
    <n v="2"/>
    <n v="177632"/>
    <n v="243218"/>
    <n v="0"/>
    <n v="177632"/>
    <n v="243218"/>
    <n v="0"/>
    <n v="3"/>
  </r>
  <r>
    <s v="10/12/2025"/>
    <s v="2025-9983"/>
    <s v="Higher Education Awards"/>
    <s v="Ariel Renée Monique Buyens"/>
    <s v="buyensariel@gmail.com"/>
    <s v="Submitted"/>
    <s v="Under Review"/>
    <x v="2"/>
    <x v="1"/>
    <x v="1"/>
    <x v="0"/>
    <s v="CB"/>
    <s v="Complete"/>
    <s v="Completed"/>
    <x v="4"/>
    <s v="University of Pretoria"/>
    <s v="PhD in Medical Immunology"/>
    <s v="Metabolic biomarker discovery for Neonatal Encephalopathy with Suspected Hypoxic-Ischemic Encephalopathy (NESHIE) in a low- and middle-income country cohort."/>
    <s v="Nicola"/>
    <s v="Riffat"/>
    <s v="Nicola Christofides"/>
    <s v="Riffat Munir"/>
    <n v="89.285714285714292"/>
    <n v="92.857142857142861"/>
    <n v="91.071428571428584"/>
    <n v="3"/>
    <n v="4"/>
    <n v="7"/>
    <x v="1"/>
    <x v="0"/>
    <x v="0"/>
    <d v="2025-01-29T00:00:00"/>
    <n v="2"/>
    <n v="263640.59999999998"/>
    <n v="211354.66"/>
    <n v="0"/>
    <n v="263640.59999999998"/>
    <n v="211354.66"/>
    <n v="0"/>
    <n v="3"/>
  </r>
  <r>
    <s v="10/12/2025"/>
    <s v="2025-9272"/>
    <s v="Higher Education Awards"/>
    <s v="Brandon Andrews"/>
    <s v="brandonhiltonandrews@gmail.com"/>
    <s v="Submitted"/>
    <s v="Under Review"/>
    <x v="2"/>
    <x v="2"/>
    <x v="0"/>
    <x v="0"/>
    <s v="CB"/>
    <s v="Complete"/>
    <s v="Completed"/>
    <x v="1"/>
    <s v="University of Cape Town"/>
    <s v="PhD in Ethnomusicology"/>
    <s v="Reimagining the sonic landscape(s) of the Khoekhoe and San people through sites of memory located in the postcolony"/>
    <s v="Annie"/>
    <s v="Brian"/>
    <s v="Annie Devenish"/>
    <s v="Brian Sibanda"/>
    <n v="96.428571428571431"/>
    <n v="82.142857142857139"/>
    <n v="89.285714285714278"/>
    <n v="4"/>
    <n v="3"/>
    <n v="7"/>
    <x v="1"/>
    <x v="0"/>
    <x v="0"/>
    <d v="2024-02-05T00:00:00"/>
    <n v="1"/>
    <n v="270000"/>
    <n v="0"/>
    <n v="0"/>
    <n v="270000"/>
    <n v="0"/>
    <n v="0"/>
    <n v="3"/>
  </r>
  <r>
    <s v="10/12/2025"/>
    <s v="2025-8750"/>
    <s v="Higher Education Awards"/>
    <s v="Lexie Timina"/>
    <s v="timinamay@gmail.com"/>
    <s v="Submitted"/>
    <s v="Under Review"/>
    <x v="2"/>
    <x v="0"/>
    <x v="1"/>
    <x v="0"/>
    <s v="CB"/>
    <s v="Complete"/>
    <s v="Completed"/>
    <x v="4"/>
    <s v="University of Cape Town"/>
    <s v="Doctor of philosophy (PhD) - (Medicine)"/>
    <s v="Blockchain-enabled bioethics for health data sharing"/>
    <s v="Raymond"/>
    <s v="Shahidul"/>
    <s v="Md. Shahidul Islam"/>
    <s v="Raymond Hewer"/>
    <n v="85.714285714285708"/>
    <n v="60.714285714285708"/>
    <n v="73.214285714285708"/>
    <n v="4"/>
    <n v="3"/>
    <n v="7"/>
    <x v="0"/>
    <x v="0"/>
    <x v="0"/>
    <d v="2026-03-02T00:00:00"/>
    <n v="3"/>
    <n v="222170"/>
    <n v="223170"/>
    <n v="224170"/>
    <n v="222170"/>
    <n v="223170"/>
    <n v="224170"/>
    <n v="3"/>
  </r>
  <r>
    <s v="10/12/2025"/>
    <s v="2025-8522"/>
    <s v="Higher Education Awards"/>
    <s v="Dumisile Precious Ncongwane"/>
    <s v="ncogwanedumisile@gmail.com"/>
    <s v="Submitted"/>
    <s v="Under Review"/>
    <x v="0"/>
    <x v="0"/>
    <x v="1"/>
    <x v="0"/>
    <s v="CB"/>
    <s v="Complete"/>
    <s v="Completed"/>
    <x v="3"/>
    <s v="University of the Free Srate"/>
    <s v="Chemistry"/>
    <s v="Water research"/>
    <s v="Shanuska"/>
    <s v="Markus"/>
    <s v="Markus Wilken"/>
    <s v="Sanushka Naidoo"/>
    <n v="78.571428571428569"/>
    <n v="89.285714285714292"/>
    <n v="83.928571428571431"/>
    <n v="5"/>
    <n v="5"/>
    <n v="10"/>
    <x v="1"/>
    <x v="1"/>
    <x v="1"/>
    <d v="2026-01-01T00:00:00"/>
    <n v="2"/>
    <n v="232000"/>
    <n v="232000"/>
    <n v="0"/>
    <n v="232000"/>
    <n v="232000"/>
    <n v="0"/>
    <n v="3"/>
  </r>
  <r>
    <s v="10/12/2025"/>
    <s v="2025-9256"/>
    <s v="Higher Education Awards"/>
    <s v="Curtis Jeaven"/>
    <s v="curtisjeaven@gmail.com"/>
    <s v="Submitted"/>
    <s v="Under Review"/>
    <x v="2"/>
    <x v="2"/>
    <x v="0"/>
    <x v="0"/>
    <s v="CB"/>
    <s v="Complete"/>
    <s v="Completed"/>
    <x v="1"/>
    <s v="University of the Western Cape"/>
    <s v="Arts and Humanities"/>
    <s v="Rock Art Presentation"/>
    <s v="Chimwemwe"/>
    <s v="Dina"/>
    <s v="Chimwemwe Phiri"/>
    <s v="Dina Ligaga"/>
    <n v="67.857142857142861"/>
    <n v="85.714285714285708"/>
    <n v="76.785714285714278"/>
    <n v="3"/>
    <n v="5"/>
    <n v="8"/>
    <x v="1"/>
    <x v="0"/>
    <x v="0"/>
    <d v="2026-02-02T00:00:00"/>
    <n v="3"/>
    <n v="160000"/>
    <n v="200000"/>
    <n v="140000"/>
    <n v="160000"/>
    <n v="200000"/>
    <n v="140000"/>
    <n v="3"/>
  </r>
  <r>
    <s v="10/12/2025"/>
    <s v="2025-9647"/>
    <s v="Higher Education Awards"/>
    <s v="Simbulele Charlotte Dunjwa"/>
    <s v="sdunjwa@sun.ac.za"/>
    <s v="Submitted"/>
    <s v="Under Review"/>
    <x v="0"/>
    <x v="0"/>
    <x v="1"/>
    <x v="0"/>
    <s v="CB"/>
    <s v="Complete"/>
    <s v="Completed"/>
    <x v="0"/>
    <s v="Stellenbosch University"/>
    <s v="Masters"/>
    <s v="Polymer Science"/>
    <s v="Abdul"/>
    <s v="Nabanita "/>
    <s v="Abdul Mahomed"/>
    <s v="Nabanita Chatterjee"/>
    <n v="82.142857142857139"/>
    <n v="89.285714285714292"/>
    <n v="85.714285714285722"/>
    <n v="4"/>
    <n v="4"/>
    <n v="8"/>
    <x v="1"/>
    <x v="1"/>
    <x v="0"/>
    <d v="2025-01-14T00:00:00"/>
    <n v="1"/>
    <n v="37500"/>
    <n v="0"/>
    <n v="0"/>
    <n v="37500"/>
    <n v="0"/>
    <n v="0"/>
    <n v="3"/>
  </r>
  <r>
    <s v="10/12/2025"/>
    <s v="2025-9878"/>
    <s v="Higher Education Awards"/>
    <s v="Sonja Louw"/>
    <s v="sonja.louw04@gmail.com"/>
    <s v="Submitted"/>
    <s v="Under Review"/>
    <x v="0"/>
    <x v="1"/>
    <x v="1"/>
    <x v="0"/>
    <s v="CB"/>
    <s v="Complete"/>
    <s v="Completed"/>
    <x v="7"/>
    <s v="Stellenbosch University"/>
    <s v="MA Drama and Theatre Studies-Thesis"/>
    <s v="How creative drama techniques contribute to education for sustainable development."/>
    <s v="Mwenya"/>
    <s v="Mbongeni"/>
    <s v="Mbongeni Mtshali"/>
    <s v="Mwenya Kabwe"/>
    <n v="69.444444444444443"/>
    <n v="86.111111111111114"/>
    <n v="77.777777777777771"/>
    <n v="4"/>
    <n v="5"/>
    <n v="9"/>
    <x v="1"/>
    <x v="0"/>
    <x v="0"/>
    <d v="2026-02-02T00:00:00"/>
    <n v="2"/>
    <n v="206410"/>
    <n v="206410"/>
    <n v="0"/>
    <n v="206410"/>
    <n v="206410"/>
    <n v="0"/>
    <n v="3"/>
  </r>
  <r>
    <s v="10/12/2025"/>
    <s v="2025-9487"/>
    <s v="Higher Education Awards"/>
    <s v="Lechè Tangee"/>
    <s v="leche.tangee01@gmail.com"/>
    <s v="Submitted"/>
    <s v="Under Review"/>
    <x v="0"/>
    <x v="2"/>
    <x v="1"/>
    <x v="0"/>
    <s v="CB"/>
    <s v="Complete"/>
    <s v="Completed"/>
    <x v="7"/>
    <s v="The University of the Witwatersrand"/>
    <s v="Masters in Drama therapy"/>
    <s v="Art Therapy"/>
    <s v="Mwenya"/>
    <s v="Mbongeni"/>
    <s v="Mbongeni Mtshali"/>
    <s v="Mwenya Kabwe"/>
    <n v="42.857142857142854"/>
    <n v="89.285714285714292"/>
    <n v="66.071428571428569"/>
    <n v="2"/>
    <n v="4"/>
    <n v="6"/>
    <x v="0"/>
    <x v="0"/>
    <x v="0"/>
    <d v="2025-08-08T00:00:00"/>
    <n v="2"/>
    <n v="139353"/>
    <n v="108517"/>
    <n v="0"/>
    <n v="139353"/>
    <n v="108517"/>
    <n v="0"/>
    <n v="2"/>
  </r>
  <r>
    <s v="10/12/2025"/>
    <s v="2025-9947"/>
    <s v="Higher Education Awards"/>
    <s v="Loriane Yanclo"/>
    <s v="lorianeyanclo@gmail.com"/>
    <s v="Submitted"/>
    <s v="Under Review"/>
    <x v="1"/>
    <x v="0"/>
    <x v="1"/>
    <x v="0"/>
    <s v="CB"/>
    <s v="Complete"/>
    <s v="Completed"/>
    <x v="3"/>
    <s v="Stellenbosch University"/>
    <s v="Agricultural Sciences, Food science"/>
    <s v="Enhancing mango quality and safety: a comprehensive metagenomic and biochemical approach to postharvest management and value addition"/>
    <s v="Martin"/>
    <s v="Tuan"/>
    <s v="Martin Coetzee"/>
    <s v="Tuan Duong"/>
    <n v="91.666666666666657"/>
    <n v="80.555555555555557"/>
    <n v="86.111111111111114"/>
    <n v="5"/>
    <n v="4"/>
    <n v="9"/>
    <x v="1"/>
    <x v="1"/>
    <x v="0"/>
    <d v="2026-01-05T00:00:00"/>
    <n v="2"/>
    <n v="300000"/>
    <n v="300000"/>
    <n v="0"/>
    <n v="300000"/>
    <n v="300000"/>
    <n v="0"/>
    <n v="3"/>
  </r>
  <r>
    <s v="10/12/2025"/>
    <s v="2025-9477"/>
    <s v="Higher Education Awards"/>
    <s v="Mamaaooa Maoeng"/>
    <s v="Mamaaooa@gmail.com"/>
    <s v="Submitted"/>
    <s v="Under Review"/>
    <x v="2"/>
    <x v="3"/>
    <x v="1"/>
    <x v="0"/>
    <s v="CB"/>
    <s v="Complete"/>
    <s v="Completed"/>
    <x v="4"/>
    <s v="The University of the Witwatersrand"/>
    <s v="Phd chemistry (forensic chemistry)"/>
    <s v="A Quantitative Analysis of Urea, Uric Acid, Xanthine, and Hypoxanthine in Cadaver Vitreous Humour and Urine by LC-MS/MS, and Its Application to Post-Mortem Forensic Specimens."/>
    <s v="Raymond"/>
    <s v="Shahidul"/>
    <s v="Md. Shahidul Islam"/>
    <s v="Raymond Hewer"/>
    <n v="75"/>
    <n v="57.142857142857139"/>
    <n v="66.071428571428569"/>
    <n v="1"/>
    <n v="1"/>
    <n v="2"/>
    <x v="0"/>
    <x v="0"/>
    <x v="0"/>
    <d v="2026-01-12T00:00:00"/>
    <n v="3"/>
    <n v="349000"/>
    <n v="348000"/>
    <n v="350000"/>
    <n v="349000"/>
    <n v="348000"/>
    <n v="350000"/>
    <n v="3"/>
  </r>
  <r>
    <s v="10/12/2025"/>
    <s v="2025-9954"/>
    <s v="Higher Education Awards"/>
    <s v="Ndivhuwo Ndou"/>
    <s v="ndivhuwondou164@gmail.com"/>
    <s v="Submitted"/>
    <s v="Under Review"/>
    <x v="0"/>
    <x v="0"/>
    <x v="0"/>
    <x v="0"/>
    <s v="CB"/>
    <s v="Complete"/>
    <s v="Completed"/>
    <x v="1"/>
    <s v="University of the Witwatersrand"/>
    <s v="Masters in mathematics education"/>
    <s v="A MATHEMATICAL MODELLING INTERVENTION TO FOSTER PRE-SERVICE  TEACHERS' COMPETENCY AND ATTITUDES TOWARDS TEACHING  APPLICATIONS OF CALCULUS."/>
    <s v="Chimwemwe"/>
    <s v="Dina"/>
    <s v="Chimwemwe Phiri"/>
    <s v="Dina Ligaga"/>
    <n v="92.857142857142861"/>
    <n v="100"/>
    <n v="96.428571428571431"/>
    <n v="5"/>
    <n v="5"/>
    <n v="10"/>
    <x v="1"/>
    <x v="1"/>
    <x v="1"/>
    <d v="2025-01-15T00:00:00"/>
    <n v="1"/>
    <n v="177083.4"/>
    <n v="0"/>
    <n v="0"/>
    <n v="178000"/>
    <n v="0"/>
    <n v="0"/>
    <n v="3"/>
  </r>
  <r>
    <s v="10/12/2025"/>
    <s v="2025-9661"/>
    <s v="Higher Education Awards"/>
    <s v="Caltine Cele"/>
    <s v="Bongiwecat03@gmail.com"/>
    <s v="Submitted"/>
    <s v="Under Review"/>
    <x v="0"/>
    <x v="0"/>
    <x v="1"/>
    <x v="0"/>
    <s v="CB"/>
    <s v="Complete"/>
    <s v="Completed"/>
    <x v="2"/>
    <s v="University of the Free State"/>
    <s v="Master's in commerce with specialization in Business Management"/>
    <s v="The impact of digital literacy and advanced technology adoption on the performance of women-owned SMMEs in South Africa"/>
    <s v="Helena"/>
    <s v="Ekaete"/>
    <s v="Ekaete Benedict"/>
    <s v="Helena Barnard"/>
    <n v="89.285714285714292"/>
    <n v="89.285714285714292"/>
    <n v="89.285714285714292"/>
    <n v="5"/>
    <n v="5"/>
    <n v="10"/>
    <x v="1"/>
    <x v="1"/>
    <x v="1"/>
    <d v="2025-03-03T00:00:00"/>
    <n v="1"/>
    <n v="122840"/>
    <n v="0"/>
    <n v="0"/>
    <n v="123000"/>
    <n v="0"/>
    <n v="0"/>
    <n v="3"/>
  </r>
  <r>
    <s v="10/12/2025"/>
    <s v="2025-9745"/>
    <s v="Higher Education Awards"/>
    <s v="Aloise Wepener"/>
    <s v="aloise.wepener@gmail.com"/>
    <s v="Submitted"/>
    <s v="Under Review"/>
    <x v="0"/>
    <x v="1"/>
    <x v="1"/>
    <x v="0"/>
    <s v="CB"/>
    <s v="Complete"/>
    <s v="Completed"/>
    <x v="5"/>
    <s v="Stellenbosch University"/>
    <s v="Masters in Civil Engineering"/>
    <s v="Update of the Regional Maximum Floods of South Africa and Namibia and the development of RMF: RI ratios"/>
    <s v="Lesedi"/>
    <s v="Pieter"/>
    <s v="Lesedi Masisi"/>
    <s v="Pieter Pistorius"/>
    <n v="89.285714285714292"/>
    <n v="78.571428571428569"/>
    <n v="83.928571428571431"/>
    <n v="5"/>
    <n v="3"/>
    <n v="8"/>
    <x v="1"/>
    <x v="1"/>
    <x v="1"/>
    <d v="2026-02-09T00:00:00"/>
    <n v="2"/>
    <n v="80264"/>
    <n v="85477"/>
    <n v="0"/>
    <n v="81000"/>
    <n v="86000"/>
    <n v="0"/>
    <n v="3"/>
  </r>
  <r>
    <s v="10/12/2025"/>
    <s v="2025-8470"/>
    <s v="Higher Education Awards"/>
    <s v="Katlego Ndaba"/>
    <s v="katlegovennesa718@gmail.com"/>
    <s v="Submitted"/>
    <s v="Under Review"/>
    <x v="0"/>
    <x v="0"/>
    <x v="1"/>
    <x v="0"/>
    <s v="CB"/>
    <s v="Complete"/>
    <s v="Completed"/>
    <x v="4"/>
    <s v="University of Pretoria"/>
    <s v="Msc Medical Virology"/>
    <s v="Characterisation of adenovirus species F, norovirus, and rotavirus detected in patients with gastroenteritis"/>
    <s v="Raymond"/>
    <s v="Shahidul"/>
    <s v="Md. Shahidul Islam"/>
    <s v="Raymond Hewer"/>
    <n v="64.285714285714292"/>
    <n v="57.142857142857139"/>
    <n v="60.714285714285715"/>
    <n v="3"/>
    <n v="3"/>
    <n v="6"/>
    <x v="0"/>
    <x v="0"/>
    <x v="0"/>
    <d v="2026-01-07T00:00:00"/>
    <n v="1"/>
    <n v="128055"/>
    <n v="0"/>
    <n v="0"/>
    <n v="128055"/>
    <n v="0"/>
    <n v="0"/>
    <n v="3"/>
  </r>
  <r>
    <s v="10/12/2025"/>
    <s v="2025-9614"/>
    <s v="Higher Education Awards"/>
    <s v="Megan Jones"/>
    <s v="Meganfj007@gmail.com"/>
    <s v="Submitted"/>
    <s v="Under Review"/>
    <x v="0"/>
    <x v="1"/>
    <x v="1"/>
    <x v="0"/>
    <s v="CB"/>
    <s v="Complete"/>
    <s v="Completed"/>
    <x v="3"/>
    <s v="University of Pretoria"/>
    <s v="Zoology"/>
    <s v="Climate change and Conservation"/>
    <s v="Andrea"/>
    <s v="Themba"/>
    <s v="Andrea Fuller"/>
    <s v="Themba Mahlaba"/>
    <n v="64.285714285714292"/>
    <n v="57.142857142857139"/>
    <n v="60.714285714285715"/>
    <n v="2"/>
    <n v="3"/>
    <n v="5"/>
    <x v="0"/>
    <x v="0"/>
    <x v="0"/>
    <d v="2026-01-05T00:00:00"/>
    <n v="2"/>
    <n v="231500"/>
    <n v="226500"/>
    <n v="0"/>
    <n v="231500"/>
    <n v="226500"/>
    <n v="0"/>
    <n v="3"/>
  </r>
  <r>
    <s v="10/12/2025"/>
    <s v="2025-9225"/>
    <s v="Higher Education Awards"/>
    <s v="Neo Makole"/>
    <s v="neomakole7@gmail.com"/>
    <s v="Submitted"/>
    <s v="Under Review"/>
    <x v="0"/>
    <x v="0"/>
    <x v="0"/>
    <x v="0"/>
    <s v="CB"/>
    <s v="Complete"/>
    <s v="Completed"/>
    <x v="3"/>
    <s v="University of the free State"/>
    <s v="Master of Science with specialization in Chemistry"/>
    <s v="Development of a Green Analytical Method for the Determination of Biodiesel Purity using Gas Chromatography-Mass Spectrometry (GC-MS)"/>
    <s v="Martin"/>
    <s v="Tuan"/>
    <s v="Martin Coetzee"/>
    <s v="Tuan Duong"/>
    <n v="67.857142857142861"/>
    <n v="46.428571428571431"/>
    <n v="57.142857142857146"/>
    <n v="4"/>
    <n v="2"/>
    <n v="6"/>
    <x v="0"/>
    <x v="0"/>
    <x v="0"/>
    <d v="2026-01-01T00:00:00"/>
    <n v="2"/>
    <n v="232000"/>
    <n v="232000"/>
    <n v="0"/>
    <n v="232000"/>
    <n v="232000"/>
    <n v="0"/>
    <n v="3"/>
  </r>
  <r>
    <s v="10/12/2025"/>
    <s v="2025-8452"/>
    <s v="Higher Education Awards"/>
    <s v="Amy van der Hoven"/>
    <s v="vhvamy001@myuct.ac.za"/>
    <s v="Submitted"/>
    <s v="Under Review"/>
    <x v="2"/>
    <x v="1"/>
    <x v="1"/>
    <x v="0"/>
    <s v="CB"/>
    <s v="Complete"/>
    <s v="Completed"/>
    <x v="4"/>
    <s v="University of Cape Town"/>
    <s v="PhD (Med) Neuroscience (Physiology)"/>
    <s v="Neural tube organoid generation"/>
    <s v="Rupal"/>
    <s v="Shaheen"/>
    <s v="Rupal Jival"/>
    <s v="Shaheen Mowla"/>
    <n v="100"/>
    <n v="75"/>
    <n v="87.5"/>
    <n v="5"/>
    <n v="4"/>
    <n v="9"/>
    <x v="1"/>
    <x v="1"/>
    <x v="0"/>
    <d v="2026-02-02T00:00:00"/>
    <n v="3"/>
    <n v="122170"/>
    <n v="122170"/>
    <n v="122170"/>
    <n v="122170"/>
    <n v="122170"/>
    <n v="122170"/>
    <n v="3"/>
  </r>
  <r>
    <s v="10/12/2025"/>
    <s v="2025-9625"/>
    <s v="Higher Education Awards"/>
    <s v="Kirsten Stabrey"/>
    <s v="kirstenstabrey@gmail.com"/>
    <s v="Submitted"/>
    <s v="Under Review"/>
    <x v="0"/>
    <x v="1"/>
    <x v="1"/>
    <x v="0"/>
    <s v="CB"/>
    <s v="Complete"/>
    <s v="Completed"/>
    <x v="4"/>
    <s v="Stellenbosch University"/>
    <s v="MSc Physiological Sciences"/>
    <s v="Physiological Sciences (Haematology and Coagulation Research Group)"/>
    <s v="Janetta"/>
    <s v="John"/>
    <s v="Janetta Harbron"/>
    <s v="John Pettifor"/>
    <n v="100"/>
    <n v="100"/>
    <n v="100"/>
    <n v="5"/>
    <n v="5"/>
    <n v="10"/>
    <x v="1"/>
    <x v="1"/>
    <x v="1"/>
    <d v="2025-01-15T00:00:00"/>
    <n v="1"/>
    <n v="216862"/>
    <n v="0"/>
    <n v="0"/>
    <n v="217000"/>
    <n v="0"/>
    <n v="0"/>
    <n v="3"/>
  </r>
  <r>
    <s v="10/12/2025"/>
    <s v="2025-8581"/>
    <s v="Higher Education Awards"/>
    <s v="Nathalie Andersen"/>
    <s v="nathalieandersen22@gmail.com"/>
    <s v="Submitted"/>
    <s v="Under Review"/>
    <x v="2"/>
    <x v="1"/>
    <x v="1"/>
    <x v="0"/>
    <s v="CB"/>
    <s v="Complete"/>
    <s v="Completed"/>
    <x v="4"/>
    <s v="University of Cape Town"/>
    <s v="PhD in Medical Cell Biology"/>
    <s v="Stem Cell Biology"/>
    <s v="Janetta"/>
    <s v="John"/>
    <s v="Janetta Harbron"/>
    <s v="John Pettifor"/>
    <n v="89.285714285714292"/>
    <n v="92.857142857142861"/>
    <n v="91.071428571428584"/>
    <n v="5"/>
    <n v="5"/>
    <n v="10"/>
    <x v="1"/>
    <x v="1"/>
    <x v="1"/>
    <d v="2026-01-15T00:00:00"/>
    <n v="3"/>
    <n v="182400"/>
    <n v="182400"/>
    <n v="182400"/>
    <n v="183000"/>
    <n v="183000"/>
    <n v="183000"/>
    <n v="3"/>
  </r>
  <r>
    <s v="10/12/2025"/>
    <s v="2025-9248"/>
    <s v="Higher Education Awards"/>
    <s v="Itumeleng Adolphina Dikhoba"/>
    <s v="adolphina.itu@gmail.com"/>
    <s v="Submitted"/>
    <s v="Under Review"/>
    <x v="2"/>
    <x v="0"/>
    <x v="1"/>
    <x v="0"/>
    <s v="CB"/>
    <s v="Complete"/>
    <s v="Completed"/>
    <x v="1"/>
    <s v="University of South Africa"/>
    <s v="Doctor of Philosophy in Psychology"/>
    <s v="Explore the lived experiences of male parolees affected by a father's absence and its impact on delinquent behaviour in Limpopo Province."/>
    <s v="Puleng"/>
    <s v="Wahbie"/>
    <s v="Puleng Segalo"/>
    <s v="Wahbie Long"/>
    <n v="67.857142857142861"/>
    <n v="50"/>
    <n v="58.928571428571431"/>
    <n v="3"/>
    <n v="1"/>
    <n v="4"/>
    <x v="0"/>
    <x v="0"/>
    <x v="0"/>
    <d v="2025-05-30T00:00:00"/>
    <n v="3"/>
    <n v="110000"/>
    <n v="160000"/>
    <n v="180000"/>
    <n v="110000"/>
    <n v="160000"/>
    <n v="180000"/>
    <n v="3"/>
  </r>
  <r>
    <s v="10/12/2025"/>
    <s v="2025-8647"/>
    <s v="Higher Education Awards"/>
    <s v="Khensane Ledwaba"/>
    <s v="Khensamanda@gmail.com"/>
    <s v="Submitted"/>
    <s v="Under Review"/>
    <x v="2"/>
    <x v="0"/>
    <x v="1"/>
    <x v="0"/>
    <s v="CB"/>
    <s v="Complete"/>
    <s v="Completed"/>
    <x v="1"/>
    <s v="University of the Witwatersrand"/>
    <s v="Doctor of Philosophy in Psychology"/>
    <s v="Exploring the Unconscious Dynamics of Queen Bee Behaviour in African Female Leadership: A Systems Psychodynamics and Embodied Black Rage Approach to Competency Framework Development"/>
    <s v="Puleng"/>
    <s v="Wahbie"/>
    <s v="Puleng Segalo"/>
    <s v="Wahbie Long"/>
    <n v="92.857142857142861"/>
    <n v="92.857142857142861"/>
    <n v="92.857142857142861"/>
    <n v="5"/>
    <n v="5"/>
    <n v="10"/>
    <x v="1"/>
    <x v="1"/>
    <x v="1"/>
    <d v="2025-02-03T00:00:00"/>
    <n v="3"/>
    <n v="256979.12"/>
    <n v="280000"/>
    <n v="269000"/>
    <n v="257000"/>
    <n v="280000"/>
    <n v="269000"/>
    <n v="3"/>
  </r>
  <r>
    <s v="10/12/2025"/>
    <s v="2025-8655"/>
    <s v="Higher Education Awards"/>
    <s v="Rachel Brown"/>
    <s v="BRWRAC003@myuct.ac.za"/>
    <s v="Submitted"/>
    <s v="Under Review"/>
    <x v="2"/>
    <x v="1"/>
    <x v="1"/>
    <x v="0"/>
    <s v="CB"/>
    <s v="Complete"/>
    <s v="Completed"/>
    <x v="4"/>
    <s v="University of Cape Town"/>
    <s v="Docter of Science in Medicine"/>
    <s v="Neuroscience (Physiology)"/>
    <s v="Mubeen"/>
    <s v="Sandrine"/>
    <s v="Mubeen Goolam"/>
    <s v="Sandrine Lecour"/>
    <n v="96.428571428571431"/>
    <n v="75"/>
    <n v="85.714285714285722"/>
    <n v="5"/>
    <n v="5"/>
    <n v="10"/>
    <x v="1"/>
    <x v="1"/>
    <x v="0"/>
    <d v="2026-01-12T00:00:00"/>
    <n v="3"/>
    <n v="241838"/>
    <n v="241838"/>
    <n v="241838"/>
    <n v="241838"/>
    <n v="241838"/>
    <n v="241838"/>
    <n v="3"/>
  </r>
  <r>
    <s v="10/12/2025"/>
    <s v="2025-8368"/>
    <s v="Higher Education Awards"/>
    <s v="Thapelo Matlala"/>
    <s v="matlalathapelo0@gmail.com"/>
    <s v="Submitted"/>
    <s v="Under Review"/>
    <x v="0"/>
    <x v="0"/>
    <x v="1"/>
    <x v="0"/>
    <s v="CB"/>
    <s v="Complete"/>
    <s v="Completed"/>
    <x v="1"/>
    <s v="Nelson Mandela University"/>
    <s v="Master of Arts in Applied Strategic Communication"/>
    <s v="Investigating the regulations of indigenous skincare products to enhance consumer safety in Limpopo, South Africa"/>
    <s v="Chimwemwe"/>
    <s v="Dina"/>
    <s v="Chimwemwe Phiri"/>
    <s v="Dina Ligaga"/>
    <n v="71.428571428571431"/>
    <n v="75"/>
    <n v="73.214285714285722"/>
    <n v="3"/>
    <n v="4"/>
    <n v="7"/>
    <x v="0"/>
    <x v="0"/>
    <x v="0"/>
    <d v="2026-02-10T00:00:00"/>
    <n v="1"/>
    <n v="149630"/>
    <n v="0"/>
    <n v="0"/>
    <n v="149630"/>
    <n v="0"/>
    <n v="0"/>
    <n v="3"/>
  </r>
  <r>
    <s v="10/12/2025"/>
    <s v="2025-9201"/>
    <s v="Higher Education Awards"/>
    <s v="Ridhwaanah Bhana"/>
    <s v="ridhwaanah.jacobs@gmail.com"/>
    <s v="Submitted"/>
    <s v="Under Review"/>
    <x v="1"/>
    <x v="2"/>
    <x v="1"/>
    <x v="0"/>
    <s v="CB"/>
    <s v="Complete"/>
    <s v="Completed"/>
    <x v="4"/>
    <s v="University of the Witwatersrand"/>
    <s v="Vectorology"/>
    <s v="Development of a novel alpha viral vector for HBV vaccine design and application"/>
    <s v="Zane"/>
    <s v="Demetra"/>
    <s v="Demetra Mavri-Damelin"/>
    <s v="Zane Lombard"/>
    <n v="58.333333333333336"/>
    <n v="61.111111111111114"/>
    <n v="59.722222222222229"/>
    <n v="2"/>
    <n v="2"/>
    <n v="4"/>
    <x v="0"/>
    <x v="0"/>
    <x v="0"/>
    <d v="2026-01-12T00:00:00"/>
    <n v="2"/>
    <n v="241600"/>
    <n v="247300"/>
    <n v="0"/>
    <n v="241600"/>
    <n v="247300"/>
    <n v="0"/>
    <n v="3"/>
  </r>
  <r>
    <s v="10/12/2025"/>
    <s v="2025-9542"/>
    <s v="Higher Education Awards"/>
    <s v="Kyra Janse van Rensburg"/>
    <s v="kyramew@gmail.com"/>
    <s v="Submitted"/>
    <s v="Under Review"/>
    <x v="2"/>
    <x v="5"/>
    <x v="1"/>
    <x v="0"/>
    <s v="CB"/>
    <s v="Complete"/>
    <s v="Completed"/>
    <x v="3"/>
    <s v="University of Pretoria"/>
    <s v="Zoology"/>
    <s v="Microplastics and Climate Change on Ecological Biodiversity of Terrestrial Mammals"/>
    <s v="Andrea"/>
    <s v="Themba"/>
    <s v="Andrea Fuller"/>
    <s v="Themba Mahlaba"/>
    <n v="85.714285714285708"/>
    <n v="89.285714285714292"/>
    <n v="87.5"/>
    <n v="4"/>
    <n v="4"/>
    <n v="8"/>
    <x v="1"/>
    <x v="1"/>
    <x v="0"/>
    <d v="2026-02-01T00:00:00"/>
    <n v="3"/>
    <n v="550240"/>
    <n v="589282.52"/>
    <n v="626259.54"/>
    <n v="350000"/>
    <n v="350000"/>
    <n v="350000"/>
    <n v="3"/>
  </r>
  <r>
    <s v="10/12/2025"/>
    <s v="2025-9048"/>
    <s v="Higher Education Awards"/>
    <s v="Pamela Nkompela"/>
    <s v="202211410@spu.ac.za"/>
    <s v="Submitted"/>
    <s v="Under Review"/>
    <x v="0"/>
    <x v="0"/>
    <x v="1"/>
    <x v="0"/>
    <s v="CB"/>
    <s v="Complete"/>
    <s v="Completed"/>
    <x v="0"/>
    <s v="University of Witwatersrand"/>
    <s v="Masters In Pure Mathematics"/>
    <s v="TRUNCATED r-GENERALIZATIONS OF SOME SPECIAL POLYNOMIALS."/>
    <s v="Edzai"/>
    <s v="Nora"/>
    <s v="Edzai Zvobwo"/>
    <s v="Nora Alexeeva"/>
    <n v="89.285714285714292"/>
    <n v="85.714285714285708"/>
    <n v="87.5"/>
    <n v="5"/>
    <n v="4"/>
    <n v="9"/>
    <x v="1"/>
    <x v="1"/>
    <x v="1"/>
    <d v="2026-01-26T00:00:00"/>
    <n v="1"/>
    <n v="176159.28"/>
    <n v="0"/>
    <n v="0"/>
    <n v="177000"/>
    <n v="0"/>
    <n v="0"/>
    <n v="3"/>
  </r>
  <r>
    <s v="10/12/2025"/>
    <s v="2025-9746"/>
    <s v="Higher Education Awards"/>
    <s v="Juliette Lindup"/>
    <s v="juliettepeta@gmail.com"/>
    <s v="Submitted"/>
    <s v="Under Review"/>
    <x v="0"/>
    <x v="1"/>
    <x v="1"/>
    <x v="0"/>
    <s v="CB"/>
    <s v="Complete"/>
    <s v="Completed"/>
    <x v="7"/>
    <s v="Stellenbosch University"/>
    <s v="Masters in Visual Art"/>
    <s v="Jewellery design: The Extended Self, How Jewellery Can Act as a Signifier for Human-Microbial Entanglement"/>
    <s v="Janine"/>
    <s v="Maureen"/>
    <s v="Janine Allen-Spies"/>
    <s v="Maureen De Jager"/>
    <n v="86.111111111111114"/>
    <n v="77.777777777777786"/>
    <n v="81.944444444444457"/>
    <n v="3"/>
    <n v="4"/>
    <n v="7"/>
    <x v="1"/>
    <x v="0"/>
    <x v="0"/>
    <d v="2025-02-01T00:00:00"/>
    <n v="2"/>
    <n v="139060"/>
    <n v="139060"/>
    <n v="0"/>
    <n v="139060"/>
    <n v="139060"/>
    <n v="0"/>
    <n v="3"/>
  </r>
  <r>
    <s v="10/12/2025"/>
    <s v="2025-9398"/>
    <s v="Higher Education Awards"/>
    <s v="Tilly Weston"/>
    <s v="tillyweston@gmail.com"/>
    <s v="Submitted"/>
    <s v="Under Review"/>
    <x v="0"/>
    <x v="1"/>
    <x v="1"/>
    <x v="0"/>
    <s v="CB"/>
    <s v="Complete"/>
    <s v="Completed"/>
    <x v="4"/>
    <s v="University of Cape Town"/>
    <s v="MSc Med Physiology (specialising in sleep science)"/>
    <s v="Adolescent sleep and circadian health"/>
    <s v="Janetta"/>
    <s v="John"/>
    <s v="Janetta Harbron"/>
    <s v="John Pettifor"/>
    <n v="71.428571428571431"/>
    <n v="71.428571428571431"/>
    <n v="71.428571428571431"/>
    <n v="3"/>
    <n v="4"/>
    <n v="7"/>
    <x v="0"/>
    <x v="0"/>
    <x v="0"/>
    <d v="2025-01-01T00:00:00"/>
    <n v="1"/>
    <n v="150000"/>
    <n v="0"/>
    <n v="0"/>
    <n v="150000"/>
    <n v="0"/>
    <n v="0"/>
    <n v="3"/>
  </r>
  <r>
    <s v="10/12/2025"/>
    <s v="2025-9043"/>
    <s v="Higher Education Awards"/>
    <s v="Meghan Mosalisa"/>
    <s v="meghanmosalisa@gmail.com"/>
    <s v="Submitted"/>
    <s v="Under Review"/>
    <x v="2"/>
    <x v="2"/>
    <x v="1"/>
    <x v="0"/>
    <s v="CB"/>
    <s v="Complete"/>
    <s v="Completed"/>
    <x v="6"/>
    <s v="Joint PhD with Stellenbosch University and the University of Gröningen"/>
    <s v="PhD in Psychology"/>
    <s v="Development and feasibility of a cognitive behavioural therapy intervention to improve the impact of deep dyspareunia among Endometriosis patients"/>
    <s v="Puleng"/>
    <s v="Wahbie"/>
    <s v="Puleng Segalo"/>
    <s v="Wahbie Long"/>
    <n v="82.142857142857139"/>
    <n v="64.285714285714292"/>
    <n v="73.214285714285722"/>
    <n v="5"/>
    <n v="3"/>
    <n v="8"/>
    <x v="0"/>
    <x v="0"/>
    <x v="0"/>
    <d v="2026-03-02T00:00:00"/>
    <n v="3"/>
    <n v="288100"/>
    <n v="340200"/>
    <n v="293200"/>
    <n v="288100"/>
    <n v="340200"/>
    <n v="293200"/>
    <n v="3"/>
  </r>
  <r>
    <s v="10/12/2025"/>
    <s v="2025-8262"/>
    <s v="Higher Education Awards"/>
    <s v="Matthew Estment"/>
    <s v="1866730@students.wits.ac.za"/>
    <s v="Submitted"/>
    <s v="Under Review"/>
    <x v="2"/>
    <x v="1"/>
    <x v="0"/>
    <x v="0"/>
    <s v="CB"/>
    <s v="Complete"/>
    <s v="Completed"/>
    <x v="0"/>
    <s v="University of the Witwatersrand"/>
    <s v="PhD"/>
    <s v="Analytical chemistry"/>
    <s v="Abdul"/>
    <s v="Nabanita "/>
    <s v="Abdul Mahomed"/>
    <s v="Nabanita Chatterjee"/>
    <n v="67.857142857142861"/>
    <n v="82.142857142857139"/>
    <n v="75"/>
    <n v="3"/>
    <n v="5"/>
    <n v="8"/>
    <x v="0"/>
    <x v="0"/>
    <x v="0"/>
    <d v="2026-03-01T00:00:00"/>
    <n v="2"/>
    <n v="278000"/>
    <n v="250000"/>
    <n v="0"/>
    <n v="278000"/>
    <n v="250000"/>
    <n v="0"/>
    <n v="3"/>
  </r>
  <r>
    <s v="10/12/2025"/>
    <s v="2025-9182"/>
    <s v="Higher Education Awards"/>
    <s v="Caitlyn O'Connor"/>
    <s v="caitlynoconnor30@gmail.com"/>
    <s v="Submitted"/>
    <s v="Under Review"/>
    <x v="2"/>
    <x v="1"/>
    <x v="1"/>
    <x v="0"/>
    <s v="CB"/>
    <s v="Complete"/>
    <s v="Completed"/>
    <x v="4"/>
    <s v="University of the Witwatersrand"/>
    <s v="Doctor of Philosophy (PhD) by Thesis, Haematology and Molecular Medicine"/>
    <s v="HIV-1 vaccine development"/>
    <s v="Jaya"/>
    <s v="Mary"/>
    <s v="Jaya George"/>
    <s v="Mary Kawonga"/>
    <n v="92.857142857142861"/>
    <n v="96.428571428571431"/>
    <n v="94.642857142857139"/>
    <n v="5"/>
    <n v="5"/>
    <n v="10"/>
    <x v="1"/>
    <x v="1"/>
    <x v="1"/>
    <d v="2025-02-05T00:00:00"/>
    <n v="2"/>
    <n v="203786"/>
    <n v="244837"/>
    <n v="0"/>
    <n v="204000"/>
    <n v="245000"/>
    <n v="0"/>
    <n v="3"/>
  </r>
  <r>
    <s v="10/12/2025"/>
    <s v="2025-9740"/>
    <s v="Higher Education Awards"/>
    <s v="Alilita Lajoboda"/>
    <s v="gwibalajoboda@gmail.com"/>
    <s v="Submitted"/>
    <s v="Under Review"/>
    <x v="0"/>
    <x v="0"/>
    <x v="0"/>
    <x v="0"/>
    <s v="CB"/>
    <s v="Complete, 1o/s ref"/>
    <s v="Completed"/>
    <x v="4"/>
    <s v="University of Cape Town"/>
    <s v="MSc in Medicine specializing in Immunology"/>
    <s v="Assessing the virulence and immunoreactivity of differentially regulated group B Streptococcus surface proteins using a CRISPRi gene knockdown library."/>
    <s v="Nicola"/>
    <s v="Riffat"/>
    <s v="Nicola Christofides"/>
    <s v="Riffat Munir"/>
    <n v="75"/>
    <n v="78.571428571428569"/>
    <n v="76.785714285714278"/>
    <n v="3"/>
    <n v="4"/>
    <n v="7"/>
    <x v="1"/>
    <x v="0"/>
    <x v="0"/>
    <d v="2026-01-20T00:00:00"/>
    <n v="2"/>
    <n v="161600"/>
    <n v="161600"/>
    <n v="0"/>
    <n v="161600"/>
    <n v="161600"/>
    <n v="0"/>
    <n v="2"/>
  </r>
  <r>
    <s v="10/12/2025"/>
    <s v="2025-9750"/>
    <s v="Higher Education Awards"/>
    <s v="Fatima Tuz Zahra Aziz"/>
    <s v="fatima.aziz300@gmail.com"/>
    <s v="Submitted"/>
    <s v="Under Review"/>
    <x v="2"/>
    <x v="2"/>
    <x v="1"/>
    <x v="0"/>
    <s v="CB"/>
    <s v="Complete"/>
    <s v="Completed"/>
    <x v="4"/>
    <s v="Cape Peninsula University of Technology"/>
    <s v="Doctor of Philosophy in Biomedical Science"/>
    <s v="The functional impact of the CRY2 rs11605924 variant on hepatic circadian rhythm, glucose metabolism, and lipid regulation in vitro, using CRISPR-edited HepG2 hepatocytes under varying glucose conditions"/>
    <s v="Janetta"/>
    <s v="John"/>
    <s v="Janetta Harbron"/>
    <s v="John Pettifor"/>
    <n v="78.571428571428569"/>
    <n v="67.857142857142861"/>
    <n v="73.214285714285722"/>
    <n v="4"/>
    <n v="2"/>
    <n v="6"/>
    <x v="0"/>
    <x v="0"/>
    <x v="0"/>
    <d v="2026-05-04T00:00:00"/>
    <n v="3"/>
    <n v="190000"/>
    <n v="215000"/>
    <n v="230000"/>
    <n v="190000"/>
    <n v="215000"/>
    <n v="230000"/>
    <n v="3"/>
  </r>
  <r>
    <s v="10/12/2025"/>
    <s v="2025-9606"/>
    <s v="Higher Education Awards"/>
    <s v="Lucy Macharia"/>
    <s v="lucy.macharia@uct.ac.za"/>
    <s v="Submitted"/>
    <s v="Under Review"/>
    <x v="1"/>
    <x v="0"/>
    <x v="1"/>
    <x v="0"/>
    <s v="CB"/>
    <s v="Complete"/>
    <s v="Completed"/>
    <x v="4"/>
    <s v="University of Cape Town"/>
    <s v="Cell and Molecular Biology (Cervical cancer research)"/>
    <s v="Establishing a zebrafish human cervical cancer xenograft model for anti-cancer drug screening and evaluation of cardiovascular events"/>
    <s v="Rupal"/>
    <s v="Shaheen"/>
    <s v="Rupal Jival"/>
    <s v="Shaheen Mowla"/>
    <n v="86.111111111111114"/>
    <n v="75"/>
    <n v="80.555555555555557"/>
    <n v="4"/>
    <n v="4"/>
    <n v="8"/>
    <x v="1"/>
    <x v="1"/>
    <x v="0"/>
    <d v="2026-01-01T00:00:00"/>
    <n v="1"/>
    <n v="350000"/>
    <n v="0"/>
    <n v="0"/>
    <n v="350000"/>
    <n v="0"/>
    <n v="0"/>
    <n v="3"/>
  </r>
  <r>
    <s v="10/12/2025"/>
    <s v="2025-9502"/>
    <s v="Higher Education Awards"/>
    <s v="Kim Scholtz"/>
    <s v="3571589@myuwc.ac.za"/>
    <s v="Submitted"/>
    <s v="Under Review"/>
    <x v="1"/>
    <x v="2"/>
    <x v="1"/>
    <x v="0"/>
    <s v="CB"/>
    <s v="Complete"/>
    <s v="Completed"/>
    <x v="3"/>
    <s v="University of the Western Cape in collaboration with Robben Island Museum and Bristol University"/>
    <s v="Post-doctorate fellowship focusing on molecular ecology"/>
    <s v="Using Next Generation faecal DNA analysis to characterise the diet of mole snakes (Pseudaspis cana) on Robben Island"/>
    <s v="Chenaimoyo"/>
    <s v="Francesca"/>
    <s v="Chenaimoyo Katiyatiya"/>
    <s v="Francesca Parrini"/>
    <n v="69.444444444444443"/>
    <n v="69.444444444444443"/>
    <n v="69.444444444444443"/>
    <n v="3"/>
    <n v="3"/>
    <n v="6"/>
    <x v="0"/>
    <x v="0"/>
    <x v="0"/>
    <d v="2026-01-30T00:00:00"/>
    <n v="2"/>
    <n v="490000"/>
    <n v="470000"/>
    <n v="0"/>
    <n v="490000"/>
    <n v="470000"/>
    <n v="0"/>
    <n v="3"/>
  </r>
  <r>
    <s v="10/12/2025"/>
    <s v="2025-8325"/>
    <s v="Higher Education Awards"/>
    <s v="Shannon Misplon"/>
    <s v="shanmisplon@gmail.com"/>
    <s v="Submitted"/>
    <s v="Under Review"/>
    <x v="2"/>
    <x v="1"/>
    <x v="1"/>
    <x v="0"/>
    <s v="CB"/>
    <s v="Complete"/>
    <s v="Completed"/>
    <x v="0"/>
    <s v="University of Cape Town"/>
    <s v="PhD in Chemistry"/>
    <s v="Chemistry"/>
    <s v="Abdul"/>
    <s v="Nabanita "/>
    <s v="Abdul Mahomed"/>
    <s v="Nabanita Chatterjee"/>
    <n v="92.857142857142861"/>
    <n v="82.142857142857139"/>
    <n v="87.5"/>
    <n v="5"/>
    <n v="4"/>
    <n v="9"/>
    <x v="1"/>
    <x v="1"/>
    <x v="0"/>
    <d v="2025-01-13T00:00:00"/>
    <n v="3"/>
    <n v="281170"/>
    <n v="288000"/>
    <n v="305000"/>
    <n v="281170"/>
    <n v="288000"/>
    <n v="305000"/>
    <n v="3"/>
  </r>
  <r>
    <s v="10/12/2025"/>
    <s v="2025-8457"/>
    <s v="Higher Education Awards"/>
    <s v="Sandisiwe Nkosi"/>
    <s v="SANDIDR.SN@GMAIL.COM"/>
    <s v="Submitted"/>
    <s v="Under Review"/>
    <x v="2"/>
    <x v="0"/>
    <x v="1"/>
    <x v="0"/>
    <s v="CB"/>
    <s v="Complete"/>
    <s v="Completed"/>
    <x v="4"/>
    <s v="University of the Witwatersrand"/>
    <s v="Doctor of Philosophy, School of Clinical medicine"/>
    <s v="Type 2 diabetes and lung function: an African perspective"/>
    <s v="Janetta"/>
    <s v="John"/>
    <s v="Janetta Harbron"/>
    <s v="John Pettifor"/>
    <n v="78.571428571428569"/>
    <n v="78.571428571428569"/>
    <n v="78.571428571428569"/>
    <n v="4"/>
    <n v="4"/>
    <n v="8"/>
    <x v="1"/>
    <x v="0"/>
    <x v="0"/>
    <d v="2026-01-05T00:00:00"/>
    <n v="2"/>
    <n v="288000"/>
    <n v="295000"/>
    <n v="0"/>
    <n v="288000"/>
    <n v="295000"/>
    <n v="0"/>
    <n v="3"/>
  </r>
  <r>
    <s v="10/12/2025"/>
    <s v="2025-8901"/>
    <s v="Higher Education Awards"/>
    <s v="Lebogang Omoregie"/>
    <s v="lebogangomoregie@gmail.com"/>
    <s v="Submitted"/>
    <s v="Under Review"/>
    <x v="0"/>
    <x v="0"/>
    <x v="1"/>
    <x v="0"/>
    <s v="CB"/>
    <s v="Complete"/>
    <s v="Completed"/>
    <x v="2"/>
    <s v="University of Johannesburg"/>
    <s v="Master in Environmental and Energy Economics"/>
    <s v="Government and Institutional Contributions to a Sustainable and Diversified Energy Future in South Africa"/>
    <s v="Helena"/>
    <s v="Ekaete"/>
    <s v="Ekaete Benedict"/>
    <s v="Helena Barnard"/>
    <n v="67.857142857142861"/>
    <n v="60.714285714285708"/>
    <n v="64.285714285714278"/>
    <n v="3"/>
    <n v="3"/>
    <n v="6"/>
    <x v="0"/>
    <x v="0"/>
    <x v="0"/>
    <d v="2026-01-01T00:00:00"/>
    <n v="1"/>
    <n v="177000"/>
    <n v="0"/>
    <n v="0"/>
    <n v="177000"/>
    <n v="0"/>
    <n v="0"/>
    <n v="3"/>
  </r>
  <r>
    <s v="10/12/2025"/>
    <s v="2025-9536"/>
    <s v="Higher Education Awards"/>
    <s v="Yondela Murhula"/>
    <s v="2028969786@ufs4life.ac.za"/>
    <s v="Submitted"/>
    <s v="Under Review"/>
    <x v="0"/>
    <x v="0"/>
    <x v="1"/>
    <x v="0"/>
    <s v="CB"/>
    <s v="Complete"/>
    <s v="Completed"/>
    <x v="1"/>
    <s v="University of the Free State"/>
    <s v="Masters degree"/>
    <s v="Caregivers’ Perceptions of Access to Health Services for Children with Intellectual Disability in Rural South Africa: A Case Study of uMzimkhulu"/>
    <s v="Annie"/>
    <s v="Brian"/>
    <s v="Annie Devenish"/>
    <s v="Brian Sibanda"/>
    <n v="82.142857142857139"/>
    <n v="71.428571428571431"/>
    <n v="76.785714285714278"/>
    <n v="5"/>
    <n v="5"/>
    <n v="10"/>
    <x v="1"/>
    <x v="0"/>
    <x v="0"/>
    <d v="2025-03-03T00:00:00"/>
    <n v="1"/>
    <n v="78000"/>
    <n v="0"/>
    <n v="0"/>
    <n v="78000"/>
    <n v="0"/>
    <n v="0"/>
    <n v="3"/>
  </r>
  <r>
    <s v="10/12/2025"/>
    <s v="2025-9235"/>
    <s v="Higher Education Awards"/>
    <s v="Thomas Cornelius van der Hoven"/>
    <s v="thomasvanderhoven@gmail.com"/>
    <s v="Submitted"/>
    <s v="Under Review"/>
    <x v="2"/>
    <x v="1"/>
    <x v="0"/>
    <x v="1"/>
    <s v="CB"/>
    <s v="Complete"/>
    <s v="Completed"/>
    <x v="3"/>
    <s v="University of Glasgow"/>
    <s v=""/>
    <s v="Temperature-dependant alternative splicing in Arabidopsis Thaliana"/>
    <s v="Shanuska"/>
    <s v="Markus"/>
    <s v="Markus Wilken"/>
    <s v="Sanushka Naidoo"/>
    <n v="71.875"/>
    <n v="68.75"/>
    <n v="70.3125"/>
    <n v="3"/>
    <n v="2"/>
    <n v="5"/>
    <x v="0"/>
    <x v="0"/>
    <x v="0"/>
    <d v="2026-01-01T00:00:00"/>
    <n v="3"/>
    <n v="914097.6"/>
    <n v="914097.6"/>
    <n v="914097.6"/>
    <n v="914097.6"/>
    <n v="914097.6"/>
    <n v="914097.6"/>
    <n v="3"/>
  </r>
  <r>
    <s v="10/12/2025"/>
    <s v="2025-8955"/>
    <s v="Higher Education Awards"/>
    <s v="Tshepo Skosana"/>
    <s v="tshepoenos31@gmail.com"/>
    <s v="Submitted"/>
    <s v="Under Review"/>
    <x v="0"/>
    <x v="0"/>
    <x v="0"/>
    <x v="0"/>
    <s v="CB"/>
    <s v="Complete"/>
    <s v="Completed"/>
    <x v="1"/>
    <s v="University of the Witwatersrand"/>
    <s v="Full time"/>
    <s v="Master of Arts in Cultural Policy and Management (CPM) by coursework and Research Report"/>
    <s v="Chimwemwe"/>
    <s v="Dina"/>
    <s v="Chimwemwe Phiri"/>
    <s v="Dina Ligaga"/>
    <n v="67.857142857142861"/>
    <n v="78.571428571428569"/>
    <n v="73.214285714285722"/>
    <n v="2"/>
    <n v="4"/>
    <n v="6"/>
    <x v="0"/>
    <x v="0"/>
    <x v="0"/>
    <d v="2025-02-05T00:00:00"/>
    <n v="1"/>
    <n v="207427.76"/>
    <n v="0"/>
    <n v="0"/>
    <n v="207427.76"/>
    <n v="0"/>
    <n v="0"/>
    <n v="3"/>
  </r>
  <r>
    <s v="10/12/2025"/>
    <s v="2025-9861"/>
    <s v="Higher Education Awards"/>
    <s v="Mandisa Mthombeni"/>
    <s v="mandisamthombeni001@gmail.com"/>
    <s v="Submitted"/>
    <s v="Under Review"/>
    <x v="0"/>
    <x v="0"/>
    <x v="1"/>
    <x v="0"/>
    <s v="CB"/>
    <s v="Complete"/>
    <s v="Completed"/>
    <x v="3"/>
    <s v="University of Pretoria"/>
    <s v="Masters in Microbiology"/>
    <s v="Characterization of biofilms and extracellular vesicles from Sclerotinia sclerotiorum"/>
    <s v="Diederik"/>
    <s v="Sanushka"/>
    <s v="Diederik Opperman"/>
    <s v="Sanushka Naidoo"/>
    <n v="60.714285714285708"/>
    <n v="67.857142857142861"/>
    <n v="64.285714285714278"/>
    <n v="1"/>
    <n v="2"/>
    <n v="3"/>
    <x v="0"/>
    <x v="0"/>
    <x v="0"/>
    <d v="2025-01-15T00:00:00"/>
    <n v="1"/>
    <n v="139000"/>
    <n v="0"/>
    <n v="0"/>
    <n v="139000"/>
    <n v="0"/>
    <n v="0"/>
    <n v="3"/>
  </r>
  <r>
    <s v="10/12/2025"/>
    <s v="2025-8293"/>
    <s v="Higher Education Awards"/>
    <s v="Sisipho Khumbuza"/>
    <s v="sisiphokhumbuza18@gmail.com"/>
    <s v="Submitted"/>
    <s v="Under Review"/>
    <x v="0"/>
    <x v="0"/>
    <x v="1"/>
    <x v="0"/>
    <s v="CB"/>
    <s v="Complete"/>
    <s v="Completed"/>
    <x v="1"/>
    <s v="Sol Plaatje University"/>
    <s v="Masters of Arts"/>
    <s v="Studentification and Gentrification: The impact of Sol Plaatje University on housing, space and community in New Park, Kimberley"/>
    <s v="Annie"/>
    <s v="Brian"/>
    <s v="Annie Devenish"/>
    <s v="Brian Sibanda"/>
    <n v="67.857142857142861"/>
    <n v="60.714285714285708"/>
    <n v="64.285714285714278"/>
    <n v="3"/>
    <n v="3"/>
    <n v="6"/>
    <x v="0"/>
    <x v="0"/>
    <x v="0"/>
    <d v="2026-02-16T00:00:00"/>
    <n v="1"/>
    <n v="130000"/>
    <n v="0"/>
    <n v="0"/>
    <n v="130000"/>
    <n v="0"/>
    <n v="0"/>
    <n v="2"/>
  </r>
  <r>
    <s v="10/12/2025"/>
    <s v="2025-9288"/>
    <s v="Higher Education Awards"/>
    <s v="Mariam Hajee"/>
    <s v="mariamhajee0@gmail.com"/>
    <s v="Submitted"/>
    <s v="Under Review"/>
    <x v="2"/>
    <x v="4"/>
    <x v="1"/>
    <x v="0"/>
    <s v="CB"/>
    <s v="Complete"/>
    <s v="Completed"/>
    <x v="0"/>
    <s v="University of KwaZulu-Natal"/>
    <s v="Chemistry"/>
    <s v="Paper-based electrochemical sensors for the detection of pharmaceuticals in water"/>
    <s v="Nabanita "/>
    <s v="Matthew"/>
    <s v="Mathew Moodley"/>
    <s v="Nabanita Chatterjee"/>
    <n v="100"/>
    <n v="85.714285714285708"/>
    <n v="92.857142857142861"/>
    <n v="5"/>
    <n v="5"/>
    <n v="10"/>
    <x v="1"/>
    <x v="1"/>
    <x v="1"/>
    <d v="2025-07-21T00:00:00"/>
    <n v="3"/>
    <n v="146200"/>
    <n v="146200"/>
    <n v="146200"/>
    <n v="147000"/>
    <n v="147000"/>
    <n v="147000"/>
    <n v="3"/>
  </r>
  <r>
    <s v="10/12/2025"/>
    <s v="2025-9281"/>
    <s v="Higher Education Awards"/>
    <s v="Sonia Mbowa"/>
    <s v="Soniasomeme4s@gmail.com"/>
    <s v="Submitted"/>
    <s v="Under Review"/>
    <x v="2"/>
    <x v="0"/>
    <x v="1"/>
    <x v="0"/>
    <s v="CB"/>
    <s v="Complete"/>
    <s v="Completed"/>
    <x v="1"/>
    <s v="University of South Africa"/>
    <s v="Psychology"/>
    <s v="Narratives of mental (de)institutionalization among Black South African families with institutionalized loved ones."/>
    <s v="Puleng"/>
    <s v="Wahbie"/>
    <s v="Puleng Segalo"/>
    <s v="Wahbie Long"/>
    <n v="67.857142857142861"/>
    <n v="67.857142857142861"/>
    <n v="67.857142857142861"/>
    <n v="3"/>
    <n v="3"/>
    <n v="6"/>
    <x v="0"/>
    <x v="0"/>
    <x v="0"/>
    <d v="2026-03-02T00:00:00"/>
    <n v="3"/>
    <n v="190500"/>
    <n v="215500"/>
    <n v="217500"/>
    <n v="190500"/>
    <n v="215500"/>
    <n v="217500"/>
    <n v="3"/>
  </r>
  <r>
    <s v="10/12/2025"/>
    <s v="2025-9480"/>
    <s v="Higher Education Awards"/>
    <s v="Othembele Gcaba"/>
    <s v="ortizgcaba02@gmail.com"/>
    <s v="Submitted"/>
    <s v="Under Review"/>
    <x v="2"/>
    <x v="0"/>
    <x v="0"/>
    <x v="0"/>
    <s v="CB"/>
    <s v="Complete"/>
    <s v="Completed"/>
    <x v="4"/>
    <s v="University of Free State"/>
    <s v="Pharmacology"/>
    <s v="In Vivo Evaluation of the Antitumor and Photodynamic Therapy Potential of Laguncularia racemosa Ethanol Extract in a Xenograft Model of Oesophageal Cancer"/>
    <s v="Rupal"/>
    <s v="Shaheen"/>
    <s v="Rupal Jival"/>
    <s v="Shaheen Mowla"/>
    <n v="85.714285714285708"/>
    <n v="75"/>
    <n v="80.357142857142861"/>
    <n v="4"/>
    <n v="2"/>
    <n v="6"/>
    <x v="0"/>
    <x v="0"/>
    <x v="0"/>
    <d v="2025-01-20T00:00:00"/>
    <n v="3"/>
    <n v="132000"/>
    <n v="132000"/>
    <n v="132000"/>
    <n v="132000"/>
    <n v="132000"/>
    <n v="132000"/>
    <n v="3"/>
  </r>
  <r>
    <s v="10/12/2025"/>
    <s v="2025-9924"/>
    <s v="Higher Education Awards"/>
    <s v="Samwel Opiyo"/>
    <s v="27266745@mylife.unisa.ac.za"/>
    <s v="Submitted"/>
    <s v="Under Review"/>
    <x v="2"/>
    <x v="3"/>
    <x v="0"/>
    <x v="0"/>
    <s v="CB"/>
    <s v="Complete"/>
    <s v="Completed"/>
    <x v="0"/>
    <s v="University of South Africa (UNISA)"/>
    <s v="PhD"/>
    <s v="Nitrogen-doped graphene oxide@X (X=Ni, Ta, Ga, Fe, Ti) nanocomposites for enhancement of biohydrogen production from biomass under anaerobic digestion"/>
    <s v="Nabanita "/>
    <s v="Matthew"/>
    <s v="Mathew Moodley"/>
    <s v="Nabanita Chatterjee"/>
    <n v="60.714285714285708"/>
    <n v="57.142857142857139"/>
    <n v="58.928571428571423"/>
    <n v="2"/>
    <n v="1"/>
    <n v="3"/>
    <x v="0"/>
    <x v="0"/>
    <x v="0"/>
    <d v="2025-02-04T00:00:00"/>
    <n v="3"/>
    <n v="307760"/>
    <n v="307760"/>
    <n v="307760"/>
    <n v="307760"/>
    <n v="307760"/>
    <n v="307760"/>
    <n v="2"/>
  </r>
  <r>
    <s v="10/12/2025"/>
    <s v="2025-8391"/>
    <s v="Higher Education Awards"/>
    <s v="Annabel Nyongwana"/>
    <s v="annabelnyongwana@gmail.com"/>
    <s v="Submitted"/>
    <s v="Under Review"/>
    <x v="0"/>
    <x v="0"/>
    <x v="1"/>
    <x v="0"/>
    <s v="CB"/>
    <s v="Complete"/>
    <s v="Completed"/>
    <x v="1"/>
    <s v="Wits University"/>
    <s v="English Masters"/>
    <s v="Archival Material, Genocide, mass atrocities"/>
    <s v="Jessica"/>
    <s v="Oliver"/>
    <s v="Chimwemwe Phiri"/>
    <s v="Oliver Nyambi"/>
    <n v="82.142857142857139"/>
    <n v="96.428571428571431"/>
    <n v="89.285714285714278"/>
    <n v="5"/>
    <n v="5"/>
    <n v="10"/>
    <x v="1"/>
    <x v="1"/>
    <x v="1"/>
    <d v="2026-01-14T00:00:00"/>
    <n v="2"/>
    <n v="193394"/>
    <n v="223394"/>
    <n v="0"/>
    <n v="194000"/>
    <n v="224000"/>
    <n v="0"/>
    <n v="3"/>
  </r>
  <r>
    <s v="10/12/2025"/>
    <s v="2025-9015"/>
    <s v="Higher Education Awards"/>
    <s v="Masilo Lerato Maupi"/>
    <s v="masilomaupi29@gmail.com"/>
    <s v="Submitted"/>
    <s v="Under Review"/>
    <x v="2"/>
    <x v="0"/>
    <x v="1"/>
    <x v="0"/>
    <s v="CB"/>
    <s v="Complete"/>
    <s v="Completed"/>
    <x v="3"/>
    <s v="University of Pretoria"/>
    <s v="PhD Entomology"/>
    <s v="From waste to wealth: Producing nutritional food, feed and fertiliser using yellow and dark mealworms"/>
    <s v="Shanuska"/>
    <s v="Markus"/>
    <s v="Markus Wilken"/>
    <s v="Sanushka Naidoo"/>
    <n v="64.285714285714292"/>
    <n v="71.428571428571431"/>
    <n v="67.857142857142861"/>
    <n v="2"/>
    <n v="3"/>
    <n v="5"/>
    <x v="0"/>
    <x v="0"/>
    <x v="0"/>
    <d v="2026-01-12T00:00:00"/>
    <n v="3"/>
    <n v="277740"/>
    <n v="298740"/>
    <n v="270740"/>
    <n v="277740"/>
    <n v="298740"/>
    <n v="270740"/>
    <n v="3"/>
  </r>
  <r>
    <s v="10/12/2025"/>
    <s v="2025-9880"/>
    <s v="Higher Education Awards"/>
    <s v="Zoe Fortuin"/>
    <s v="zoe.fortuin168@gmail.com"/>
    <s v="Submitted"/>
    <s v="Under Review"/>
    <x v="0"/>
    <x v="2"/>
    <x v="1"/>
    <x v="0"/>
    <s v="CB"/>
    <s v="Complete, 1o/s ref"/>
    <s v="Completed"/>
    <x v="1"/>
    <s v="University of Cape Town"/>
    <s v="Master of Social Science"/>
    <s v="Gender and Transformation"/>
    <s v="Chimwemwe"/>
    <s v="Dina"/>
    <s v="Chimwemwe Phiri"/>
    <s v="Dina Ligaga"/>
    <n v="78.571428571428569"/>
    <n v="75"/>
    <n v="76.785714285714278"/>
    <n v="4"/>
    <n v="3"/>
    <n v="7"/>
    <x v="1"/>
    <x v="0"/>
    <x v="0"/>
    <d v="2026-02-16T00:00:00"/>
    <n v="1"/>
    <n v="290000"/>
    <n v="0"/>
    <n v="0"/>
    <n v="290000"/>
    <n v="0"/>
    <n v="0"/>
    <n v="2"/>
  </r>
  <r>
    <s v="10/12/2025"/>
    <s v="2025-8197"/>
    <s v="Higher Education Awards"/>
    <s v="Nicola  van Tellingen "/>
    <s v="nicolavtellingen@gmail.com"/>
    <s v="Submitted"/>
    <s v="Under Review"/>
    <x v="0"/>
    <x v="1"/>
    <x v="1"/>
    <x v="0"/>
    <s v="CB"/>
    <s v="Complete"/>
    <s v="Completed"/>
    <x v="8"/>
    <s v="Stellenbosch University"/>
    <s v="LLM (by dissertation)"/>
    <s v="The Constitution and the Law of Unjustified Enrichment"/>
    <s v="Carolina"/>
    <s v="Danie"/>
    <s v="Carolina Meyer"/>
    <s v="Danie Visser"/>
    <n v="82.142857142857139"/>
    <n v="100"/>
    <n v="91.071428571428569"/>
    <n v="5"/>
    <n v="5"/>
    <n v="10"/>
    <x v="1"/>
    <x v="1"/>
    <x v="1"/>
    <d v="2026-01-01T00:00:00"/>
    <n v="1"/>
    <n v="234000"/>
    <n v="0"/>
    <n v="0"/>
    <n v="234000"/>
    <n v="0"/>
    <n v="0"/>
    <n v="3"/>
  </r>
  <r>
    <s v="10/12/2025"/>
    <s v="2025-9463"/>
    <s v="Higher Education Awards"/>
    <s v="Zibusiso Buthelezi"/>
    <s v="mayibongwe.buthelezi@gmail.com"/>
    <s v="Submitted"/>
    <s v="Under Review"/>
    <x v="1"/>
    <x v="0"/>
    <x v="0"/>
    <x v="0"/>
    <s v="CB"/>
    <s v="Complete"/>
    <s v="Completed"/>
    <x v="3"/>
    <s v="Stellenbosch University"/>
    <s v="Microbiology"/>
    <s v="Reworking microbial energy trade-offs in the changing Southern Ocean: carbon fixation, stress tolerance, and nutrient acquisition"/>
    <s v="Diederik"/>
    <s v="Sanushka"/>
    <s v="Diederik Opperman"/>
    <s v="Sanushka Naidoo"/>
    <n v="63.888888888888886"/>
    <n v="91.666666666666657"/>
    <n v="77.777777777777771"/>
    <n v="3"/>
    <n v="3"/>
    <n v="6"/>
    <x v="0"/>
    <x v="0"/>
    <x v="0"/>
    <d v="2026-01-19T00:00:00"/>
    <n v="2"/>
    <n v="154498"/>
    <n v="523000"/>
    <n v="0"/>
    <n v="154498"/>
    <n v="523000"/>
    <n v="0"/>
    <n v="4"/>
  </r>
  <r>
    <s v="10/12/2025"/>
    <s v="2025-8329"/>
    <s v="Higher Education Awards"/>
    <s v="Ariel Kraitzick"/>
    <s v="arielkraitzick@gmail.com"/>
    <s v="Submitted"/>
    <s v="Under Review"/>
    <x v="2"/>
    <x v="1"/>
    <x v="0"/>
    <x v="0"/>
    <s v="CB"/>
    <s v="Complete"/>
    <s v="Completed"/>
    <x v="4"/>
    <s v="University of Cape Town"/>
    <s v="PhD"/>
    <s v="Neuroscience"/>
    <s v="Mubeen"/>
    <s v="Sandrine"/>
    <s v="Mubeen Goolam"/>
    <s v="Sandrine Lecour"/>
    <n v="82.142857142857139"/>
    <n v="85.714285714285708"/>
    <n v="83.928571428571416"/>
    <n v="4"/>
    <n v="5"/>
    <n v="9"/>
    <x v="1"/>
    <x v="1"/>
    <x v="0"/>
    <d v="2026-02-02T00:00:00"/>
    <n v="3"/>
    <n v="249328"/>
    <n v="243381"/>
    <n v="256946"/>
    <n v="249328"/>
    <n v="243381"/>
    <n v="256946"/>
    <n v="3"/>
  </r>
  <r>
    <s v="10/12/2025"/>
    <s v="2025-8705"/>
    <s v="Higher Education Awards"/>
    <s v="Cameron Garde"/>
    <s v="26243008@sun.ac.za"/>
    <s v="Submitted"/>
    <s v="Under Review"/>
    <x v="0"/>
    <x v="1"/>
    <x v="0"/>
    <x v="0"/>
    <s v="CB"/>
    <s v="Complete"/>
    <s v="Completed"/>
    <x v="5"/>
    <s v="Stellenbosch University"/>
    <s v="BEng Mechanical"/>
    <s v="Numerical Simulation of Wind Mitigation in Natural Draft ACCs for Concentrated Solar Power"/>
    <s v="Lesedi"/>
    <s v="Pieter"/>
    <s v="Lesedi Masisi"/>
    <s v="Pieter Pistorius"/>
    <n v="89.285714285714292"/>
    <n v="57.142857142857139"/>
    <n v="73.214285714285722"/>
    <n v="5"/>
    <n v="3"/>
    <n v="8"/>
    <x v="0"/>
    <x v="0"/>
    <x v="0"/>
    <d v="2026-01-05T00:00:00"/>
    <n v="2"/>
    <n v="127000"/>
    <n v="133350"/>
    <n v="0"/>
    <n v="127000"/>
    <n v="133350"/>
    <n v="0"/>
    <n v="3"/>
  </r>
  <r>
    <s v="10/12/2025"/>
    <s v="2025-8422"/>
    <s v="Higher Education Awards"/>
    <s v="Stephanie Dwyer"/>
    <s v="dwyersteph@gmail.com"/>
    <s v="Submitted"/>
    <s v="Under Review"/>
    <x v="2"/>
    <x v="1"/>
    <x v="1"/>
    <x v="0"/>
    <s v="CB"/>
    <s v="Complete"/>
    <s v="Completed"/>
    <x v="0"/>
    <s v="Rhodes University"/>
    <s v="PHD in applied mathematics"/>
    <s v="Black holes in general relativity "/>
    <s v="Edzai"/>
    <s v="Nora"/>
    <s v="Edzai Zvobwo"/>
    <s v="Nora Alexeeva"/>
    <n v="92.857142857142861"/>
    <n v="85.714285714285708"/>
    <n v="89.285714285714278"/>
    <n v="5"/>
    <n v="4"/>
    <n v="9"/>
    <x v="1"/>
    <x v="1"/>
    <x v="0"/>
    <d v="2026-01-18T00:00:00"/>
    <n v="3"/>
    <n v="68100"/>
    <n v="200600"/>
    <n v="215100"/>
    <n v="68100"/>
    <n v="200600"/>
    <n v="215100"/>
    <n v="3"/>
  </r>
  <r>
    <s v="10/12/2025"/>
    <s v="2025-8877"/>
    <s v="Higher Education Awards"/>
    <s v="Luke Stoffels"/>
    <s v="lukestoffels.light147@gmail.com"/>
    <s v="Submitted"/>
    <s v="Under Review"/>
    <x v="0"/>
    <x v="2"/>
    <x v="0"/>
    <x v="0"/>
    <s v="CB"/>
    <s v="Complete"/>
    <s v="Completed"/>
    <x v="1"/>
    <s v="University of the Western Cape"/>
    <s v="Philosophy"/>
    <s v="Systems of Oppression"/>
    <s v="David"/>
    <s v="Lucy"/>
    <s v="David Medalie"/>
    <s v="Lucy Graham"/>
    <n v="92.857142857142861"/>
    <n v="64.285714285714292"/>
    <n v="78.571428571428584"/>
    <n v="5"/>
    <n v="2"/>
    <n v="7"/>
    <x v="1"/>
    <x v="0"/>
    <x v="0"/>
    <d v="2025-02-03T00:00:00"/>
    <n v="2"/>
    <n v="180000"/>
    <n v="160000"/>
    <n v="0"/>
    <n v="180000"/>
    <n v="160000"/>
    <n v="0"/>
    <n v="3"/>
  </r>
  <r>
    <s v="10/12/2025"/>
    <s v="2025-9040"/>
    <s v="Higher Education Awards"/>
    <s v="Namhla Faith Mtukushe"/>
    <s v="607147@students.wits.ac.za"/>
    <s v="Submitted"/>
    <s v="Under Review"/>
    <x v="2"/>
    <x v="0"/>
    <x v="1"/>
    <x v="0"/>
    <s v="CB"/>
    <s v="Complete"/>
    <s v="Completed"/>
    <x v="5"/>
    <s v="University of the Witwatersrand"/>
    <s v="Doctor of Philosophy in Electrical &amp; Information Engineering"/>
    <s v="Power Smoothing and Integration of Oscillating Water Column Wave Energy Converter into an Isolated DC Microgrid"/>
    <s v="Lesedi"/>
    <s v="Pieter"/>
    <s v="Lesedi Masisi"/>
    <s v="Pieter Pistorius"/>
    <n v="75"/>
    <n v="64.285714285714292"/>
    <n v="69.642857142857139"/>
    <n v="3"/>
    <n v="2"/>
    <n v="5"/>
    <x v="0"/>
    <x v="0"/>
    <x v="0"/>
    <d v="2022-07-01T00:00:00"/>
    <n v="1"/>
    <n v="106000"/>
    <n v="0"/>
    <n v="0"/>
    <n v="106000"/>
    <n v="0"/>
    <n v="0"/>
    <n v="3"/>
  </r>
  <r>
    <s v="10/12/2025"/>
    <s v="2025-9602"/>
    <s v="Higher Education Awards"/>
    <s v="Anneliese Mehnert"/>
    <s v="mehneah@unisa.ac.za"/>
    <s v="Submitted"/>
    <s v="Under Review"/>
    <x v="2"/>
    <x v="1"/>
    <x v="1"/>
    <x v="0"/>
    <s v="CB"/>
    <s v="Complete"/>
    <s v="Completed"/>
    <x v="1"/>
    <s v="University of the Witwatersrand"/>
    <s v="Doctor of Philosophy in Education"/>
    <s v="History education and museum collections as educational resources"/>
    <s v="Chimwemwe"/>
    <s v="Dina"/>
    <s v="Chimwemwe Phiri"/>
    <s v="Dina Ligaga"/>
    <n v="75"/>
    <n v="92.857142857142861"/>
    <n v="83.928571428571431"/>
    <n v="4"/>
    <n v="5"/>
    <n v="9"/>
    <x v="1"/>
    <x v="1"/>
    <x v="0"/>
    <d v="2022-06-01T00:00:00"/>
    <n v="1"/>
    <n v="246000"/>
    <n v="0"/>
    <n v="0"/>
    <n v="246000"/>
    <n v="0"/>
    <n v="0"/>
    <n v="4"/>
  </r>
  <r>
    <s v="10/12/2025"/>
    <s v="2025-9682"/>
    <s v="Higher Education Awards"/>
    <s v="Chavonne Sukdaven"/>
    <s v="sukchavvy@gmail.com"/>
    <s v="Submitted"/>
    <s v="Under Review"/>
    <x v="0"/>
    <x v="4"/>
    <x v="1"/>
    <x v="0"/>
    <s v="CB"/>
    <s v="Complete"/>
    <s v="Completed"/>
    <x v="3"/>
    <s v="University of Pretoria"/>
    <s v="MSc Chemistry"/>
    <s v="Studying the Anticancer and Anti-inflammatory Potential of 12 South African Medicinal Plants"/>
    <s v="Almuth"/>
    <s v="Neriman"/>
    <s v="Almuth Hammerbacher"/>
    <s v="Neriman Yilmaz"/>
    <n v="75"/>
    <n v="82.142857142857139"/>
    <n v="78.571428571428569"/>
    <n v="3"/>
    <n v="3"/>
    <n v="6"/>
    <x v="0"/>
    <x v="0"/>
    <x v="0"/>
    <d v="2025-12-17T00:00:00"/>
    <n v="1"/>
    <n v="84000"/>
    <n v="0"/>
    <n v="0"/>
    <n v="84000"/>
    <n v="0"/>
    <n v="0"/>
    <n v="4"/>
  </r>
  <r>
    <s v="10/12/2025"/>
    <s v="2025-8495"/>
    <s v="Higher Education Awards"/>
    <s v="Mosa Mahamane"/>
    <s v="mosamahamane@gmail.com"/>
    <s v="Submitted"/>
    <s v="Under Review"/>
    <x v="0"/>
    <x v="0"/>
    <x v="1"/>
    <x v="0"/>
    <s v="CB"/>
    <s v="Complete"/>
    <s v="Completed"/>
    <x v="4"/>
    <s v="University of the Witwatersrand"/>
    <s v="Master of Science in Medicine (Physiology)"/>
    <s v="Cardiorenal pathophysiology"/>
    <s v="Mubeen"/>
    <s v="Sandrine"/>
    <s v="Mubeen Goolam"/>
    <s v="Sandrine Lecour"/>
    <n v="60.714285714285708"/>
    <n v="71.428571428571431"/>
    <n v="66.071428571428569"/>
    <n v="2"/>
    <n v="4"/>
    <n v="6"/>
    <x v="0"/>
    <x v="0"/>
    <x v="0"/>
    <d v="2026-01-12T00:00:00"/>
    <n v="1"/>
    <n v="140000"/>
    <n v="0"/>
    <n v="0"/>
    <n v="140000"/>
    <n v="0"/>
    <n v="0"/>
    <n v="3"/>
  </r>
  <r>
    <s v="10/12/2025"/>
    <s v="2025-9823"/>
    <s v="Higher Education Awards"/>
    <s v="Sodiq Alimi"/>
    <s v="alimi.sodiq@gmail.com"/>
    <s v="Submitted"/>
    <s v="Under Review"/>
    <x v="1"/>
    <x v="0"/>
    <x v="0"/>
    <x v="0"/>
    <s v="CB"/>
    <s v="Complete"/>
    <s v="Completed"/>
    <x v="3"/>
    <s v="University of Cape Town"/>
    <s v="Geology"/>
    <s v="Advancing Diamond Exploration in the Kaapvaal Craton: A Predictive Framework Integrating Multi-Source Geoexploration Data and Machine Learning"/>
    <s v="Shanuska"/>
    <s v="Markus"/>
    <s v="Markus Wilken"/>
    <s v="Sanushka Naidoo"/>
    <n v="94.444444444444443"/>
    <n v="88.888888888888886"/>
    <n v="91.666666666666657"/>
    <n v="5"/>
    <n v="4"/>
    <n v="9"/>
    <x v="1"/>
    <x v="1"/>
    <x v="1"/>
    <d v="2026-01-01T00:00:00"/>
    <n v="2"/>
    <n v="400000"/>
    <n v="320000"/>
    <n v="0"/>
    <n v="400000"/>
    <n v="320000"/>
    <n v="0"/>
    <n v="3"/>
  </r>
  <r>
    <s v="10/12/2025"/>
    <s v="2025-8691"/>
    <s v="Higher Education Awards"/>
    <s v="Gwen Ironsi"/>
    <s v="IRNGWE001@myuct.ac.za"/>
    <s v="Submitted"/>
    <s v="Under Review"/>
    <x v="2"/>
    <x v="0"/>
    <x v="1"/>
    <x v="0"/>
    <s v="CB"/>
    <s v="Complete"/>
    <s v="Completed"/>
    <x v="7"/>
    <s v="University of Cape Town"/>
    <s v="PhD in Music"/>
    <s v="Perceptions of the Music Industry in Africa - A Comparative analysis between South Africa and Nigeria"/>
    <s v="Alexander"/>
    <s v="Susan"/>
    <s v="Alexander JOHNSON"/>
    <s v="Dr Musa-Duke Nkuna"/>
    <n v="64.285714285714292"/>
    <n v="64.285714285714292"/>
    <n v="64.285714285714292"/>
    <n v="3"/>
    <n v="3"/>
    <n v="6"/>
    <x v="0"/>
    <x v="0"/>
    <x v="0"/>
    <d v="2022-01-24T00:00:00"/>
    <n v="1"/>
    <n v="246000"/>
    <n v="0"/>
    <n v="0"/>
    <n v="246000"/>
    <n v="0"/>
    <n v="0"/>
    <n v="3"/>
  </r>
  <r>
    <s v="10/12/2025"/>
    <s v="2025-9618"/>
    <s v="Higher Education Awards"/>
    <s v="Lungelo Mthembu"/>
    <s v="mthlun058@myuct.ac.za"/>
    <s v="Submitted"/>
    <s v="Under Review"/>
    <x v="2"/>
    <x v="0"/>
    <x v="0"/>
    <x v="0"/>
    <s v="CB"/>
    <s v="Complete"/>
    <s v="Completed"/>
    <x v="4"/>
    <s v="University of Cape Town"/>
    <s v="Cellular Neuroscience"/>
    <s v="Elucidating the dynamics of inhibitory receptor driving force in the nervous system"/>
    <s v="Janetta"/>
    <s v="John"/>
    <s v="Janetta Harbron"/>
    <s v="John Pettifor"/>
    <n v="92.857142857142861"/>
    <n v="100"/>
    <n v="96.428571428571431"/>
    <n v="5"/>
    <n v="5"/>
    <n v="10"/>
    <x v="1"/>
    <x v="1"/>
    <x v="1"/>
    <d v="2026-01-15T00:00:00"/>
    <n v="3"/>
    <n v="21000"/>
    <n v="151000"/>
    <n v="151000"/>
    <n v="21000"/>
    <n v="151000"/>
    <n v="151000"/>
    <n v="4"/>
  </r>
  <r>
    <s v="10/12/2025"/>
    <s v="2025-9085"/>
    <s v="Higher Education Awards"/>
    <s v="Tlakuso Bechas Makhuva"/>
    <s v="2456473@students.wits.ac.za"/>
    <s v="Submitted"/>
    <s v="Under Review"/>
    <x v="0"/>
    <x v="0"/>
    <x v="0"/>
    <x v="0"/>
    <s v="CB"/>
    <s v="Complete"/>
    <s v="Completed"/>
    <x v="1"/>
    <s v="University of the Witwatersrand"/>
    <s v="Master of Arts in Theatre and Performance"/>
    <s v="THE PARADOX OF INFLUENCE: EXPLORING THE TENSION BETWEEN MIMESIS AND POIESIS IN CONTEMPORARY THEATRE WITHIN 21ST-CENTURY AFRICA."/>
    <s v="Chimwemwe"/>
    <s v="Dina"/>
    <s v="Chimwemwe Phiri"/>
    <s v="Dina Ligaga"/>
    <n v="67.857142857142861"/>
    <n v="92.857142857142861"/>
    <n v="80.357142857142861"/>
    <n v="3"/>
    <n v="5"/>
    <n v="8"/>
    <x v="1"/>
    <x v="1"/>
    <x v="0"/>
    <d v="2025-02-20T00:00:00"/>
    <n v="1"/>
    <n v="192093"/>
    <n v="0"/>
    <n v="0"/>
    <n v="192093"/>
    <n v="0"/>
    <n v="0"/>
    <n v="3"/>
  </r>
  <r>
    <s v="10/12/2025"/>
    <s v="2025-9698"/>
    <s v="Higher Education Awards"/>
    <s v="Kelebogile Ramaphoko"/>
    <s v="alettakelebogile@gmail.com"/>
    <s v="Submitted"/>
    <s v="Under Review"/>
    <x v="0"/>
    <x v="0"/>
    <x v="1"/>
    <x v="0"/>
    <s v="CB"/>
    <s v="Complete"/>
    <s v="Completed"/>
    <x v="6"/>
    <s v="University of Mpumalanga"/>
    <s v="Master of Arts in Sociology"/>
    <s v="Social media and community activism"/>
    <s v="Badri"/>
    <s v="Johann"/>
    <s v="Badri Zolfaghari"/>
    <s v="Johan Hattingh"/>
    <n v="67.857142857142861"/>
    <n v="64.285714285714292"/>
    <n v="66.071428571428584"/>
    <n v="2"/>
    <n v="2"/>
    <n v="4"/>
    <x v="0"/>
    <x v="0"/>
    <x v="0"/>
    <d v="2026-02-01T00:00:00"/>
    <n v="1"/>
    <n v="150000"/>
    <n v="0"/>
    <n v="0"/>
    <n v="150000"/>
    <n v="0"/>
    <n v="0"/>
    <n v="3"/>
  </r>
  <r>
    <s v="10/12/2025"/>
    <s v="2025-8529"/>
    <s v="Higher Education Awards"/>
    <s v="Pontsho Dube"/>
    <s v="dubepontsho@gmail.com"/>
    <s v="Submitted"/>
    <s v="Under Review"/>
    <x v="0"/>
    <x v="0"/>
    <x v="1"/>
    <x v="0"/>
    <s v="CB"/>
    <s v="Complete"/>
    <s v="Completed"/>
    <x v="1"/>
    <s v="University of the Witwatersrand"/>
    <s v="MA in Cultural Policy and Management"/>
    <s v="Examining the Implementation of National Cultural Policy in Grade-9 Arts Education: A Case Study of Public Schools in Thokoza"/>
    <s v="Chimwemwe"/>
    <s v="Dina"/>
    <s v="Chimwemwe Phiri"/>
    <s v="Dina Ligaga"/>
    <n v="75"/>
    <n v="75"/>
    <n v="75"/>
    <n v="3"/>
    <n v="3"/>
    <n v="6"/>
    <x v="0"/>
    <x v="0"/>
    <x v="0"/>
    <d v="2026-01-01T00:00:00"/>
    <n v="2"/>
    <n v="77712.149999999994"/>
    <n v="42288"/>
    <n v="0"/>
    <n v="77712.149999999994"/>
    <n v="42288"/>
    <n v="0"/>
    <n v="3"/>
  </r>
  <r>
    <s v="10/12/2025"/>
    <s v="2025-9944"/>
    <s v="Higher Education Awards"/>
    <s v="Noluthando Sawuka"/>
    <s v="noluthandosawuka01@gmail.com"/>
    <s v="Submitted"/>
    <s v="Under Review"/>
    <x v="2"/>
    <x v="0"/>
    <x v="1"/>
    <x v="0"/>
    <s v="CB"/>
    <s v="Complete"/>
    <s v="Completed"/>
    <x v="3"/>
    <s v="University of the Witwatersrand"/>
    <s v="PhD Environmental Sciences"/>
    <s v="PLANKTON COMMUNITIES AND ASSOCIATED ECOSYSTEM PROCESSES: A CASE STUDY OF THE WAKKERSTROOM WETLAND, MPUMALANGA, SOUTH AFRICA"/>
    <s v="Maryna"/>
    <s v="Romano"/>
    <s v="Maryna de Wit"/>
    <s v="Romano Lottering"/>
    <n v="60.714285714285708"/>
    <n v="78.571428571428569"/>
    <n v="69.642857142857139"/>
    <n v="3"/>
    <n v="4"/>
    <n v="7"/>
    <x v="0"/>
    <x v="0"/>
    <x v="0"/>
    <d v="2025-01-30T00:00:00"/>
    <n v="3"/>
    <n v="62746"/>
    <n v="152746"/>
    <n v="62746"/>
    <n v="62746"/>
    <n v="152746"/>
    <n v="62746"/>
    <n v="2"/>
  </r>
  <r>
    <s v="10/12/2025"/>
    <s v="2025-8200"/>
    <s v="Higher Education Awards"/>
    <s v="Marcel Kruger"/>
    <s v="marcelkruger143@gmail.com"/>
    <s v="Submitted"/>
    <s v="Under Review"/>
    <x v="2"/>
    <x v="1"/>
    <x v="0"/>
    <x v="0"/>
    <s v="CB"/>
    <s v="Complete"/>
    <s v="Completed"/>
    <x v="3"/>
    <s v="North-West University"/>
    <s v="Doctoral"/>
    <s v="Uncovering Hidden Biodiversity: A Dual-Method Approach to Inform Freshwater Fish Conservation in the Limpopo Basin"/>
    <s v="Chenaimoyo"/>
    <s v="Francesca"/>
    <s v="Chenaimoyo Katiyatiya"/>
    <s v="Francesca Parrini"/>
    <n v="75"/>
    <n v="75"/>
    <n v="75"/>
    <n v="3"/>
    <n v="3"/>
    <n v="6"/>
    <x v="0"/>
    <x v="0"/>
    <x v="0"/>
    <d v="2026-02-01T00:00:00"/>
    <n v="3"/>
    <n v="245000"/>
    <n v="260500"/>
    <n v="268500"/>
    <n v="245000"/>
    <n v="260500"/>
    <n v="268500"/>
    <n v="3"/>
  </r>
  <r>
    <s v="10/12/2025"/>
    <s v="2025-8497"/>
    <s v="Higher Education Awards"/>
    <s v="Sinovuyo Halana"/>
    <s v="sinovuyo.halana@gmail.com"/>
    <s v="Submitted"/>
    <s v="Under Review"/>
    <x v="0"/>
    <x v="0"/>
    <x v="0"/>
    <x v="0"/>
    <s v="CB"/>
    <s v="Complete"/>
    <s v="Completed"/>
    <x v="4"/>
    <s v="University of the Witwatersrand"/>
    <s v="MSc (Medicine) in Physiology"/>
    <s v="The Prevalence of Metabolic Syndrome and Its Association with Vascular Markers in Young South African Adults"/>
    <s v="Janetta"/>
    <s v="John"/>
    <s v="Janetta Harbron"/>
    <s v="John Pettifor"/>
    <n v="78.571428571428569"/>
    <n v="71.428571428571431"/>
    <n v="75"/>
    <n v="4"/>
    <n v="4"/>
    <n v="8"/>
    <x v="0"/>
    <x v="0"/>
    <x v="0"/>
    <d v="2025-02-05T00:00:00"/>
    <n v="1"/>
    <n v="190149.6"/>
    <n v="0"/>
    <n v="0"/>
    <n v="190149.6"/>
    <n v="0"/>
    <n v="0"/>
    <n v="3"/>
  </r>
  <r>
    <s v="10/12/2025"/>
    <s v="2025-9384"/>
    <s v="Higher Education Awards"/>
    <s v="Carmen Schoeman"/>
    <s v="carmenschoeman2505@gmail.com"/>
    <s v="Submitted"/>
    <s v="Under Review"/>
    <x v="2"/>
    <x v="1"/>
    <x v="1"/>
    <x v="0"/>
    <s v="CB"/>
    <s v="Complete"/>
    <s v="Completed"/>
    <x v="4"/>
    <s v="North West University"/>
    <s v="Doctor of Philosophy in Pharmaceutics"/>
    <s v="Nose-to-Brain drug delivery"/>
    <s v="Mubeen"/>
    <s v="Sandrine"/>
    <s v="Mubeen Goolam"/>
    <s v="Sandrine Lecour"/>
    <n v="64.285714285714292"/>
    <n v="92.857142857142861"/>
    <n v="78.571428571428584"/>
    <n v="2"/>
    <n v="5"/>
    <n v="7"/>
    <x v="1"/>
    <x v="0"/>
    <x v="0"/>
    <d v="2025-01-01T00:00:00"/>
    <n v="2"/>
    <n v="159754.5"/>
    <n v="165961.25"/>
    <n v="0"/>
    <n v="159754.5"/>
    <n v="165961.25"/>
    <n v="0"/>
    <n v="3"/>
  </r>
  <r>
    <s v="10/12/2025"/>
    <s v="2025-9622"/>
    <s v="Higher Education Awards"/>
    <s v="Yamkela Ntantiso"/>
    <s v="yamkelantantiso@gmail.com"/>
    <s v="Submitted"/>
    <s v="Under Review"/>
    <x v="2"/>
    <x v="0"/>
    <x v="0"/>
    <x v="0"/>
    <s v="CB"/>
    <s v="Complete"/>
    <s v="Completed"/>
    <x v="4"/>
    <s v="University of Cape Town"/>
    <s v="PhD Bioinformatics"/>
    <s v="Genomics"/>
    <s v="Rupal"/>
    <s v="Shaheen"/>
    <s v="Rupal Jival"/>
    <s v="Shaheen Mowla"/>
    <n v="67.857142857142861"/>
    <n v="75"/>
    <n v="71.428571428571431"/>
    <n v="3"/>
    <n v="3"/>
    <n v="6"/>
    <x v="0"/>
    <x v="0"/>
    <x v="0"/>
    <d v="2026-01-12T00:00:00"/>
    <n v="3"/>
    <n v="282170"/>
    <n v="287170"/>
    <n v="297170"/>
    <n v="282170"/>
    <n v="287170"/>
    <n v="297170"/>
    <n v="3"/>
  </r>
  <r>
    <s v="10/12/2025"/>
    <s v="2025-8348"/>
    <s v="Higher Education Awards"/>
    <s v="Odwa Biko"/>
    <s v="ody@sun.ac.za"/>
    <s v="Submitted"/>
    <s v="Under Review"/>
    <x v="1"/>
    <x v="0"/>
    <x v="0"/>
    <x v="0"/>
    <s v="CB"/>
    <s v="Complete"/>
    <s v="Completed"/>
    <x v="3"/>
    <s v="Stellenbosch University"/>
    <s v="Microbiology"/>
    <s v="High-yield production of recombinant bioplastic hydrolases in yeast"/>
    <s v="Diederik"/>
    <s v="Sanushka"/>
    <s v="Diederik Opperman"/>
    <s v="Sanushka Naidoo"/>
    <n v="58.333333333333336"/>
    <n v="69.444444444444443"/>
    <n v="63.888888888888886"/>
    <n v="3"/>
    <n v="3"/>
    <n v="6"/>
    <x v="0"/>
    <x v="0"/>
    <x v="0"/>
    <d v="2026-01-15T00:00:00"/>
    <n v="2"/>
    <n v="434000"/>
    <n v="463200"/>
    <n v="443520"/>
    <n v="434000"/>
    <n v="463200"/>
    <n v="443520"/>
    <n v="3"/>
  </r>
  <r>
    <s v="10/12/2025"/>
    <s v="2025-9325"/>
    <s v="Higher Education Awards"/>
    <s v="Blessing Gumbu"/>
    <s v="blessgumbu98@gmail.com"/>
    <s v="Submitted"/>
    <s v="Under Review"/>
    <x v="0"/>
    <x v="0"/>
    <x v="0"/>
    <x v="0"/>
    <s v="CB"/>
    <s v="Complete"/>
    <s v="Completed"/>
    <x v="4"/>
    <s v="University of Cape Town"/>
    <s v="Msc in Neuroscience and Physiology"/>
    <s v="Neuroimmune response of astrocytes to cryptococcal meningitis"/>
    <s v="Mubeen"/>
    <s v="Sandrine"/>
    <s v="Mubeen Goolam"/>
    <s v="Sandrine Lecour"/>
    <n v="71.428571428571431"/>
    <n v="75"/>
    <n v="73.214285714285722"/>
    <n v="3"/>
    <n v="4"/>
    <n v="7"/>
    <x v="0"/>
    <x v="0"/>
    <x v="0"/>
    <d v="2026-01-30T00:00:00"/>
    <n v="2"/>
    <n v="231400"/>
    <n v="231400"/>
    <n v="0"/>
    <n v="231400"/>
    <n v="231400"/>
    <n v="0"/>
    <n v="3"/>
  </r>
  <r>
    <s v="10/12/2025"/>
    <s v="2025-9734"/>
    <s v="Higher Education Awards"/>
    <s v="Vuyisani Mkwambi"/>
    <s v="mkwvuy006@myuct.ac.za"/>
    <s v="Submitted"/>
    <s v="Under Review"/>
    <x v="0"/>
    <x v="0"/>
    <x v="0"/>
    <x v="0"/>
    <s v="CB"/>
    <s v="Complete"/>
    <s v="Completed"/>
    <x v="7"/>
    <s v="University of Cape Town"/>
    <s v="Master of Music"/>
    <s v="Indigenous knowledge and music innovation: the integrationof African indigenous instruments into commercial music"/>
    <s v="Alexander"/>
    <s v="Susan"/>
    <s v="Alexander JOHNSON"/>
    <s v="Dr Musa-Duke Nkuna"/>
    <n v="75"/>
    <n v="75"/>
    <n v="75"/>
    <n v="4"/>
    <n v="4"/>
    <n v="8"/>
    <x v="0"/>
    <x v="0"/>
    <x v="0"/>
    <d v="2026-02-16T00:00:00"/>
    <n v="1"/>
    <n v="183000"/>
    <n v="0"/>
    <n v="0"/>
    <n v="183000"/>
    <n v="0"/>
    <n v="0"/>
    <n v="3"/>
  </r>
  <r>
    <s v="10/12/2025"/>
    <s v="2025-8771"/>
    <s v="Higher Education Awards"/>
    <s v="Monique Williams"/>
    <s v="monique.williams@uct.ac.za"/>
    <s v="Submitted"/>
    <s v="Under Review"/>
    <x v="3"/>
    <x v="2"/>
    <x v="1"/>
    <x v="1"/>
    <s v="CB"/>
    <s v="Complete"/>
    <s v="Completed"/>
    <x v="4"/>
    <s v="University of East Anglia, United Kingdom"/>
    <s v="Short research visit"/>
    <s v="Studying iron-sulfur cluster proteins using native mass spectrometry"/>
    <s v="Rupal"/>
    <s v="Shaheen"/>
    <s v="Rupal Jival"/>
    <s v="Shaheen Mowla"/>
    <n v="72.5"/>
    <n v="62.5"/>
    <n v="67.5"/>
    <n v="4"/>
    <n v="3"/>
    <n v="7"/>
    <x v="0"/>
    <x v="0"/>
    <x v="0"/>
    <d v="2026-03-01T00:00:00"/>
    <n v="1"/>
    <n v="126713.85"/>
    <n v="0"/>
    <n v="0"/>
    <n v="126713.85"/>
    <n v="0"/>
    <n v="0"/>
    <n v="3"/>
  </r>
  <r>
    <s v="10/12/2025"/>
    <s v="2025-9405"/>
    <s v="Higher Education Awards"/>
    <s v="Bianca Wessels"/>
    <s v="Biancawessels29@gmail.com"/>
    <s v="Submitted"/>
    <s v="Under Review"/>
    <x v="0"/>
    <x v="1"/>
    <x v="1"/>
    <x v="0"/>
    <s v="CB"/>
    <s v="Complete"/>
    <s v="Completed"/>
    <x v="4"/>
    <s v="Stellenbosch University"/>
    <s v="Human Genetics"/>
    <s v="The role of mitochondrial dysfunction and oxidative stress in neurodegenerative disorders and if antioxidant therapy can reduce cognitive decline"/>
    <s v="Mubeen"/>
    <s v="Sandrine"/>
    <s v="Mubeen Goolam"/>
    <s v="Sandrine Lecour"/>
    <n v="53.571428571428569"/>
    <n v="71.428571428571431"/>
    <n v="62.5"/>
    <n v="2"/>
    <n v="3"/>
    <n v="5"/>
    <x v="0"/>
    <x v="0"/>
    <x v="0"/>
    <d v="2026-01-01T00:00:00"/>
    <n v="2"/>
    <n v="373000"/>
    <n v="373000"/>
    <n v="0"/>
    <n v="373000"/>
    <n v="373000"/>
    <n v="0"/>
    <n v="3"/>
  </r>
  <r>
    <s v="10/12/2025"/>
    <s v="2025-9777"/>
    <s v="Higher Education Awards"/>
    <s v="Martine van den Berg"/>
    <s v="martinevdb1@gmail.com"/>
    <s v="Submitted"/>
    <s v="Under Review"/>
    <x v="2"/>
    <x v="1"/>
    <x v="1"/>
    <x v="0"/>
    <s v="CB"/>
    <s v="Complete"/>
    <s v="Completed"/>
    <x v="3"/>
    <s v="University of the Witwatersrand"/>
    <s v="PhD in Animal, Plant and Environmental Sciences"/>
    <s v="Modelling the sensitivity and exposure of small mammals to current and future warming"/>
    <s v="Almuth"/>
    <s v="Neriman"/>
    <s v="Almuth Hammerbacher"/>
    <s v="Neriman Yilmaz"/>
    <n v="85.714285714285708"/>
    <n v="89.285714285714292"/>
    <n v="87.5"/>
    <n v="4"/>
    <n v="5"/>
    <n v="9"/>
    <x v="1"/>
    <x v="1"/>
    <x v="0"/>
    <d v="2026-01-05T00:00:00"/>
    <n v="3"/>
    <n v="195525"/>
    <n v="207094"/>
    <n v="207014"/>
    <n v="195525"/>
    <n v="207094"/>
    <n v="207014"/>
    <n v="3"/>
  </r>
  <r>
    <s v="10/12/2025"/>
    <s v="2025-8216"/>
    <s v="Higher Education Awards"/>
    <s v="Kirstin Davies"/>
    <s v="DVSKIR003@myuct.ac.za"/>
    <s v="Submitted"/>
    <s v="Under Review"/>
    <x v="0"/>
    <x v="1"/>
    <x v="1"/>
    <x v="0"/>
    <s v="CB"/>
    <s v="Complete"/>
    <s v="Completed"/>
    <x v="4"/>
    <s v="University of Cape Town"/>
    <s v="MSc Physiology with focus on Sleep Science"/>
    <s v="Investigating physiological hyperarousal during sleep in adolescents: Implications for autonomic nervous system regulation and sleep quality"/>
    <s v="Nicola"/>
    <s v="Riffat"/>
    <s v="Nicola Christofides"/>
    <s v="Riffat Munir"/>
    <n v="82.142857142857139"/>
    <n v="92.857142857142861"/>
    <n v="87.5"/>
    <n v="3"/>
    <n v="4"/>
    <n v="7"/>
    <x v="1"/>
    <x v="0"/>
    <x v="0"/>
    <d v="2025-02-17T00:00:00"/>
    <n v="1"/>
    <n v="83000"/>
    <n v="0"/>
    <n v="0"/>
    <n v="83000"/>
    <n v="0"/>
    <n v="0"/>
    <n v="3"/>
  </r>
  <r>
    <s v="10/12/2025"/>
    <s v="2025-9016"/>
    <s v="Higher Education Awards"/>
    <s v="Hannah Wesson"/>
    <s v="hannahwesson666@gmail.com"/>
    <s v="Submitted"/>
    <s v="Under Review"/>
    <x v="0"/>
    <x v="1"/>
    <x v="1"/>
    <x v="0"/>
    <s v="CB"/>
    <s v="Complete"/>
    <s v="Completed"/>
    <x v="1"/>
    <s v="University of Cape Town"/>
    <s v="Masters in Political Communication"/>
    <s v="Propaganda and Political Strategy"/>
    <s v="David"/>
    <s v="Johan"/>
    <s v="David Medalie"/>
    <s v="Johan Hattingh"/>
    <n v="92.857142857142861"/>
    <n v="100"/>
    <n v="96.428571428571431"/>
    <n v="4"/>
    <n v="5"/>
    <n v="9"/>
    <x v="1"/>
    <x v="1"/>
    <x v="0"/>
    <d v="2026-02-16T00:00:00"/>
    <n v="2"/>
    <n v="145700"/>
    <n v="153174"/>
    <n v="0"/>
    <n v="145700"/>
    <n v="153174"/>
    <n v="0"/>
    <n v="3"/>
  </r>
  <r>
    <s v="10/12/2025"/>
    <s v="2025-9471"/>
    <s v="Higher Education Awards"/>
    <s v="Albert Kagande"/>
    <s v="kagandealbert@gmail.com"/>
    <s v="Submitted"/>
    <s v="Under Review"/>
    <x v="1"/>
    <x v="0"/>
    <x v="0"/>
    <x v="0"/>
    <s v="CB"/>
    <s v="Complete"/>
    <s v="Completed"/>
    <x v="6"/>
    <s v="Nelson Mandela University"/>
    <s v="Postdoctoral Fellowship"/>
    <s v="Leveraging Non-Profit and Social Enterprise Circular Economy Models for Sustainable Climate-Action in South Africa"/>
    <s v="Chimwemwe"/>
    <s v="Dina"/>
    <s v="Chimwemwe Phiri"/>
    <s v="Dina Ligaga"/>
    <n v="66.666666666666657"/>
    <n v="77.777777777777786"/>
    <n v="72.222222222222229"/>
    <n v="3"/>
    <n v="4"/>
    <n v="7"/>
    <x v="0"/>
    <x v="0"/>
    <x v="0"/>
    <d v="2026-01-05T00:00:00"/>
    <n v="2"/>
    <n v="432000"/>
    <n v="466000"/>
    <n v="0"/>
    <n v="432000"/>
    <n v="466000"/>
    <n v="0"/>
    <n v="3"/>
  </r>
  <r>
    <s v="10/12/2025"/>
    <s v="2025-8206"/>
    <s v="Higher Education Awards"/>
    <s v="Qiniso Mavuso"/>
    <s v="mavusoqiniso11@gmail.com"/>
    <s v="Submitted"/>
    <s v="Under Review"/>
    <x v="2"/>
    <x v="0"/>
    <x v="0"/>
    <x v="0"/>
    <s v="CB"/>
    <s v="Complete"/>
    <s v="Completed"/>
    <x v="0"/>
    <s v="University of Cape Town"/>
    <s v="Mathematics"/>
    <s v="Topic in Topological Data Analysis (TDA)"/>
    <s v="Edzai"/>
    <s v="Nora"/>
    <s v="Edzai Zvobwo"/>
    <s v="Nora Alexeeva"/>
    <n v="53.571428571428569"/>
    <n v="57.142857142857139"/>
    <n v="55.357142857142854"/>
    <n v="2"/>
    <n v="3"/>
    <n v="5"/>
    <x v="0"/>
    <x v="0"/>
    <x v="0"/>
    <d v="2026-02-09T00:00:00"/>
    <n v="3"/>
    <n v="205000"/>
    <n v="205000"/>
    <n v="205000"/>
    <n v="205000"/>
    <n v="205000"/>
    <n v="205000"/>
    <n v="2"/>
  </r>
  <r>
    <s v="10/12/2025"/>
    <s v="2025-9420"/>
    <s v="Higher Education Awards"/>
    <s v="Anelisiwe Qetuka"/>
    <s v="qetukaanelisiwe@gmail.com"/>
    <s v="Submitted"/>
    <s v="Under Review"/>
    <x v="0"/>
    <x v="0"/>
    <x v="1"/>
    <x v="0"/>
    <s v="CB"/>
    <s v="Complete"/>
    <s v="Completed"/>
    <x v="4"/>
    <s v="University of the Witwatersrand"/>
    <s v="Masters of Science (MSc) in Epidemiology"/>
    <s v="Mental health experiences of young Xhosa men undergoing traditional male circumcision (ulwaluko) in South Africa"/>
    <s v="Nicola"/>
    <s v="Riffat"/>
    <s v="Nicola Christofides"/>
    <s v="Riffat Munir"/>
    <n v="96.428571428571431"/>
    <n v="92.857142857142861"/>
    <n v="94.642857142857139"/>
    <n v="4"/>
    <n v="4"/>
    <n v="8"/>
    <x v="1"/>
    <x v="1"/>
    <x v="0"/>
    <d v="2026-01-12T00:00:00"/>
    <n v="2"/>
    <n v="231000"/>
    <n v="148000"/>
    <n v="0"/>
    <n v="231000"/>
    <n v="148000"/>
    <n v="0"/>
    <n v="3"/>
  </r>
  <r>
    <s v="10/12/2025"/>
    <s v="2025-9307"/>
    <s v="Higher Education Awards"/>
    <s v="Rirhandzu Chantel Nukeri"/>
    <s v="Chantelnukeri@gmail.com"/>
    <s v="Submitted"/>
    <s v="Under Review"/>
    <x v="0"/>
    <x v="0"/>
    <x v="1"/>
    <x v="0"/>
    <s v="CB"/>
    <s v="Complete"/>
    <s v="Completed"/>
    <x v="8"/>
    <s v="University of the free state"/>
    <s v="Master of Laws specializing in Constitutional law and philosophy of law"/>
    <s v="The disposal of foetal matter born before viability period: A legal and ethical analysis"/>
    <s v="Carolina"/>
    <s v="Danie"/>
    <s v="Carolina Meyer"/>
    <s v="Danie Visser"/>
    <n v="53.571428571428569"/>
    <n v="42.857142857142854"/>
    <n v="48.214285714285708"/>
    <n v="2"/>
    <n v="1"/>
    <n v="3"/>
    <x v="0"/>
    <x v="0"/>
    <x v="0"/>
    <d v="2025-08-11T00:00:00"/>
    <n v="1"/>
    <n v="122490"/>
    <n v="0"/>
    <n v="0"/>
    <n v="122490"/>
    <n v="0"/>
    <n v="0"/>
    <n v="3"/>
  </r>
  <r>
    <s v="10/12/2025"/>
    <s v="2025-9483"/>
    <s v="Higher Education Awards"/>
    <s v="Rudzani Mashau"/>
    <s v="Rudzanim@nicd.ac.za"/>
    <s v="Submitted"/>
    <s v="Under Review"/>
    <x v="2"/>
    <x v="0"/>
    <x v="1"/>
    <x v="0"/>
    <s v="CB"/>
    <s v="Complete"/>
    <s v="Completed"/>
    <x v="4"/>
    <s v="University of Witswatersrand"/>
    <s v="Doctor Of Philosophy (PhD)"/>
    <s v="Epidemiology of bacterial and fungal invasive infections in neonates in South Africa"/>
    <s v="Gill"/>
    <s v="Moses"/>
    <s v="Gill Nelson"/>
    <s v="Moses Alobo"/>
    <n v="89.285714285714292"/>
    <n v="89.285714285714292"/>
    <n v="89.285714285714292"/>
    <n v="4"/>
    <n v="4"/>
    <n v="8"/>
    <x v="1"/>
    <x v="1"/>
    <x v="0"/>
    <d v="2026-01-01T00:00:00"/>
    <n v="2"/>
    <n v="225000"/>
    <n v="105000"/>
    <n v="0"/>
    <n v="225000"/>
    <n v="105000"/>
    <n v="0"/>
    <n v="3"/>
  </r>
  <r>
    <s v="10/12/2025"/>
    <s v="2025-9927"/>
    <s v="Higher Education Awards"/>
    <s v="Lorraine Thandiwe Matshazi"/>
    <s v="thandiwelm92@gmail.com"/>
    <s v="Submitted"/>
    <s v="Under Review"/>
    <x v="2"/>
    <x v="0"/>
    <x v="1"/>
    <x v="0"/>
    <s v="CB"/>
    <s v="Complete"/>
    <s v="Completed"/>
    <x v="6"/>
    <s v="University of Johannesburg"/>
    <s v="Doctorate"/>
    <s v="The Silent Stakeholder: Examining the Unintended Consequences of Gender Equality Policies on Men in South Africa and the Case for Inclusive Reform"/>
    <s v="Badri"/>
    <s v="Johann"/>
    <s v="Badri Zolfaghari"/>
    <s v="Johan Hattingh"/>
    <n v="96.428571428571431"/>
    <n v="82.142857142857139"/>
    <n v="89.285714285714278"/>
    <n v="5"/>
    <n v="4"/>
    <n v="9"/>
    <x v="1"/>
    <x v="1"/>
    <x v="0"/>
    <d v="2026-01-01T00:00:00"/>
    <n v="3"/>
    <n v="240000"/>
    <n v="550000"/>
    <n v="330000"/>
    <n v="240000"/>
    <n v="350000"/>
    <n v="330000"/>
    <n v="2"/>
  </r>
  <r>
    <s v="10/12/2025"/>
    <s v="2025-9649"/>
    <s v="Higher Education Awards"/>
    <s v="Sankwetea Prudent Mokgokong"/>
    <s v="sankwetea@gmail.com"/>
    <s v="Submitted"/>
    <s v="Under Review"/>
    <x v="2"/>
    <x v="0"/>
    <x v="1"/>
    <x v="0"/>
    <s v="CB"/>
    <s v="Complete"/>
    <s v="Completed"/>
    <x v="3"/>
    <s v="North-West University"/>
    <s v="Doctoral"/>
    <s v="Antibiotic resistance in communal and commercial farms"/>
    <s v="Shanuska"/>
    <s v="Markus"/>
    <s v="Markus Wilken"/>
    <s v="Sanushka Naidoo"/>
    <n v="71.428571428571431"/>
    <n v="78.571428571428569"/>
    <n v="75"/>
    <n v="4"/>
    <n v="2"/>
    <n v="6"/>
    <x v="0"/>
    <x v="0"/>
    <x v="0"/>
    <d v="2026-01-05T00:00:00"/>
    <n v="3"/>
    <n v="175112"/>
    <n v="137623.20000000001"/>
    <n v="106385.52"/>
    <n v="175112"/>
    <n v="137623.20000000001"/>
    <n v="106385.52"/>
    <n v="3"/>
  </r>
  <r>
    <s v="10/12/2025"/>
    <s v="2025-8903"/>
    <s v="Higher Education Awards"/>
    <s v="Willem Hendrik Boshoff"/>
    <s v="willembshff763@gmail.com"/>
    <s v="Submitted"/>
    <s v="Under Review"/>
    <x v="2"/>
    <x v="5"/>
    <x v="0"/>
    <x v="0"/>
    <s v="CB"/>
    <s v="Complete "/>
    <s v="Completed"/>
    <x v="3"/>
    <s v="University of Pretoria"/>
    <s v="PhD Medicinal Plant Science"/>
    <s v="Chemical Ecology, Psychoactive Plants"/>
    <s v="Almuth"/>
    <s v="Neriman"/>
    <s v="Almuth Hammerbacher"/>
    <s v="Neriman Yilmaz"/>
    <n v="82.142857142857139"/>
    <n v="96.428571428571431"/>
    <n v="89.285714285714278"/>
    <n v="4"/>
    <n v="5"/>
    <n v="9"/>
    <x v="1"/>
    <x v="1"/>
    <x v="0"/>
    <d v="2026-01-01T00:00:00"/>
    <n v="3"/>
    <n v="100000"/>
    <n v="100000"/>
    <n v="100000"/>
    <n v="100000"/>
    <n v="100000"/>
    <n v="100000"/>
    <n v="3"/>
  </r>
  <r>
    <s v="10/12/2025"/>
    <s v="2025-8584"/>
    <s v="Higher Education Awards"/>
    <s v="Enrike Groenewald"/>
    <s v="enrikegroenewald@gmail.com"/>
    <s v="Submitted"/>
    <s v="Under Review"/>
    <x v="0"/>
    <x v="1"/>
    <x v="1"/>
    <x v="0"/>
    <s v="CB"/>
    <s v="Complete"/>
    <s v="Completed"/>
    <x v="7"/>
    <s v="Stellenbosch University"/>
    <s v="MA Visual Arts, specialising in Jewellery Design"/>
    <s v="Investigating the abject embodiment of insects through Contemporary Jewellery"/>
    <s v="Janine"/>
    <s v="Maureen"/>
    <s v="Janine Allen-Spies"/>
    <s v="Maureen De Jager"/>
    <n v="97.222222222222214"/>
    <n v="77.777777777777786"/>
    <n v="87.5"/>
    <n v="5"/>
    <n v="4"/>
    <n v="9"/>
    <x v="1"/>
    <x v="1"/>
    <x v="2"/>
    <d v="2026-02-09T00:00:00"/>
    <n v="1"/>
    <n v="197518"/>
    <n v="0"/>
    <n v="0"/>
    <n v="197518"/>
    <n v="0"/>
    <n v="0"/>
    <n v="3"/>
  </r>
  <r>
    <s v="10/12/2025"/>
    <s v="2025-9832"/>
    <s v="Higher Education Awards"/>
    <s v="Sbonakaliso Zwane"/>
    <s v="sbonakalisomsizeni@gmail.com"/>
    <s v="Submitted"/>
    <s v="Under Review"/>
    <x v="2"/>
    <x v="0"/>
    <x v="0"/>
    <x v="0"/>
    <s v="CB"/>
    <s v="Complete"/>
    <s v="Completed"/>
    <x v="3"/>
    <s v="University of KwaZulu Natal"/>
    <s v="Soil Science"/>
    <s v="Soil organic carbon, phosphorus and other quality parameters as affected  sugarcane harvest practices under contrasting conditions"/>
    <s v="Almuth"/>
    <s v="Neriman"/>
    <s v="Almuth Hammerbacher"/>
    <s v="Neriman Yilmaz"/>
    <n v="71.428571428571431"/>
    <n v="75"/>
    <n v="73.214285714285722"/>
    <n v="3"/>
    <n v="3"/>
    <n v="6"/>
    <x v="0"/>
    <x v="0"/>
    <x v="0"/>
    <d v="2026-01-01T00:00:00"/>
    <n v="1"/>
    <n v="82090"/>
    <n v="0"/>
    <n v="0"/>
    <n v="82090"/>
    <n v="0"/>
    <n v="0"/>
    <n v="3"/>
  </r>
  <r>
    <s v="10/12/2025"/>
    <s v="2025-9295"/>
    <s v="Higher Education Awards"/>
    <s v="Akholiwe Lawrance Ndevu"/>
    <s v="23791950@sun.ac.za"/>
    <s v="Submitted"/>
    <s v="Under Review"/>
    <x v="0"/>
    <x v="0"/>
    <x v="0"/>
    <x v="0"/>
    <s v="CB"/>
    <s v="Complete"/>
    <s v="Completed"/>
    <x v="6"/>
    <s v="Stellenbosch University"/>
    <s v="MPhil (Violent Histories and Repair)"/>
    <s v="Applied Ethics and Bioethics"/>
    <s v="David"/>
    <s v="Oliver"/>
    <s v="David Medalie"/>
    <s v="Oliver Nyambi"/>
    <n v="67.857142857142861"/>
    <n v="71.428571428571431"/>
    <n v="69.642857142857139"/>
    <n v="3"/>
    <n v="2"/>
    <n v="5"/>
    <x v="0"/>
    <x v="0"/>
    <x v="0"/>
    <d v="2026-02-14T00:00:00"/>
    <n v="2"/>
    <n v="150000"/>
    <n v="150000"/>
    <n v="0"/>
    <n v="150000"/>
    <n v="150000"/>
    <n v="0"/>
    <n v="2"/>
  </r>
  <r>
    <s v="10/12/2025"/>
    <s v="2025-9883"/>
    <s v="Higher Education Awards"/>
    <s v="Arnold Mugwagwa"/>
    <s v="arnoldmugwagwa@gmail.com"/>
    <s v="Submitted"/>
    <s v="Under Review"/>
    <x v="2"/>
    <x v="0"/>
    <x v="0"/>
    <x v="0"/>
    <s v="CB"/>
    <s v="Complete"/>
    <s v="Completed"/>
    <x v="1"/>
    <s v="University of Johannesburg"/>
    <s v="Doctor of Philosophy in Political Studies"/>
    <s v="Peacebuilding Politics: A Participatory Action Research evaluating and examining Approaches to Address the Politicisation of Identity, manipulative politics,  Ethno-Political, and Sectarian Divisions in Africa: Case Study of Zimbabwe"/>
    <s v="David"/>
    <s v="Chimwemwe"/>
    <s v="Chimwemwe Phiri"/>
    <s v="David Medalie"/>
    <n v="67.857142857142861"/>
    <n v="75"/>
    <n v="71.428571428571431"/>
    <n v="3"/>
    <n v="4"/>
    <n v="7"/>
    <x v="0"/>
    <x v="0"/>
    <x v="0"/>
    <d v="2026-02-01T00:00:00"/>
    <n v="3"/>
    <n v="198000"/>
    <n v="215000"/>
    <n v="250000"/>
    <n v="198000"/>
    <n v="215000"/>
    <n v="250000"/>
    <n v="2"/>
  </r>
  <r>
    <s v="10/12/2025"/>
    <s v="2025-9873"/>
    <s v="Higher Education Awards"/>
    <s v="Thaboluhle Mkwananzi"/>
    <s v="MKWTHA036@myuct.ac.za"/>
    <s v="Submitted"/>
    <s v="Under Review"/>
    <x v="2"/>
    <x v="0"/>
    <x v="1"/>
    <x v="0"/>
    <s v="CB"/>
    <s v="Complete"/>
    <s v="Completed"/>
    <x v="1"/>
    <s v="University of Cape Town"/>
    <s v="Gender Studies"/>
    <s v="Stripping Back the Gaze: Plus Size Black Burlesque as a Site of Radical Visibility"/>
    <s v="Chimwemwe"/>
    <s v="Dina"/>
    <s v="Chimwemwe Phiri"/>
    <s v="Dina Ligaga"/>
    <n v="60.714285714285708"/>
    <n v="89.285714285714292"/>
    <n v="75"/>
    <n v="2"/>
    <n v="4"/>
    <n v="6"/>
    <x v="0"/>
    <x v="0"/>
    <x v="0"/>
    <d v="2026-01-26T00:00:00"/>
    <n v="3"/>
    <n v="171856"/>
    <n v="171856"/>
    <n v="171856"/>
    <n v="171856"/>
    <n v="171856"/>
    <n v="171856"/>
    <n v="3"/>
  </r>
  <r>
    <s v="10/12/2025"/>
    <s v="2025-8738"/>
    <s v="Higher Education Awards"/>
    <s v="Sage Naidoo"/>
    <s v="sage.k.naidoo@gmail.com"/>
    <s v="Submitted"/>
    <s v="Under Review"/>
    <x v="2"/>
    <x v="4"/>
    <x v="0"/>
    <x v="0"/>
    <s v="CB"/>
    <s v="Complete"/>
    <s v="Completed"/>
    <x v="3"/>
    <s v="University of the Witwatersrand"/>
    <s v="PhD in Ecology and Biodiversity"/>
    <s v="Ecological, social, and economic values of nature"/>
    <s v="Shanuska"/>
    <s v="Markus"/>
    <s v="Markus Wilken"/>
    <s v="Sanushka Naidoo"/>
    <n v="78.571428571428569"/>
    <n v="85.714285714285708"/>
    <n v="82.142857142857139"/>
    <n v="4"/>
    <n v="4"/>
    <n v="8"/>
    <x v="1"/>
    <x v="1"/>
    <x v="0"/>
    <d v="2025-04-11T00:00:00"/>
    <n v="2"/>
    <n v="128000"/>
    <n v="128000"/>
    <n v="0"/>
    <n v="128000"/>
    <n v="128000"/>
    <n v="0"/>
    <n v="3"/>
  </r>
  <r>
    <s v="10/12/2025"/>
    <s v="2025-9535"/>
    <s v="Higher Education Awards"/>
    <s v="Zahn Stanvliet"/>
    <s v="zstanvliet@sun.ac.za"/>
    <s v="Submitted"/>
    <s v="Under Review"/>
    <x v="2"/>
    <x v="1"/>
    <x v="1"/>
    <x v="0"/>
    <s v="CB"/>
    <s v="Complete"/>
    <s v="Completed"/>
    <x v="0"/>
    <s v="Stellenbosch University"/>
    <s v="PhD Polymer Science"/>
    <s v="In-depth characterisation of polymer-based nanostructures using scattering techniques"/>
    <s v="Abdul"/>
    <s v="Matthew"/>
    <s v="Abdul Mahomed"/>
    <s v="Mathew Moodley"/>
    <n v="78.571428571428569"/>
    <n v="64.285714285714292"/>
    <n v="71.428571428571431"/>
    <n v="4"/>
    <n v="3"/>
    <n v="7"/>
    <x v="0"/>
    <x v="0"/>
    <x v="0"/>
    <d v="2023-02-01T00:00:00"/>
    <n v="1"/>
    <n v="199000"/>
    <n v="0"/>
    <n v="0"/>
    <n v="199000"/>
    <n v="0"/>
    <n v="0"/>
    <n v="3"/>
  </r>
  <r>
    <s v="10/12/2025"/>
    <s v="2025-8466"/>
    <s v="Higher Education Awards"/>
    <s v="John William Robert Davids"/>
    <s v="john.davids@uct.ac.za"/>
    <s v="Submitted"/>
    <s v="Under Review"/>
    <x v="2"/>
    <x v="2"/>
    <x v="0"/>
    <x v="0"/>
    <s v="CB"/>
    <s v="Complete"/>
    <s v="Completed"/>
    <x v="1"/>
    <s v="University of Cape Town"/>
    <s v="History"/>
    <s v="Documenting and archiving the history of Black African community choirs on the Cape Flats, 1980 - 2010"/>
    <s v="Chimwemwe"/>
    <s v="Dina"/>
    <s v="Chimwemwe Phiri"/>
    <s v="Dina Ligaga"/>
    <n v="67.857142857142861"/>
    <n v="92.857142857142861"/>
    <n v="80.357142857142861"/>
    <n v="3"/>
    <n v="5"/>
    <n v="8"/>
    <x v="1"/>
    <x v="1"/>
    <x v="0"/>
    <d v="2026-02-01T00:00:00"/>
    <n v="3"/>
    <n v="60073"/>
    <n v="58570"/>
    <n v="54070"/>
    <n v="60073"/>
    <n v="58570"/>
    <n v="54070"/>
    <n v="3"/>
  </r>
  <r>
    <s v="10/12/2025"/>
    <s v="2025-9796"/>
    <s v="Higher Education Awards"/>
    <s v="Megan Collings"/>
    <s v="megancollings@gmail.com"/>
    <s v="Submitted"/>
    <s v="Under Review"/>
    <x v="0"/>
    <x v="1"/>
    <x v="1"/>
    <x v="0"/>
    <s v="CB"/>
    <s v="Complete"/>
    <s v="Completed"/>
    <x v="1"/>
    <s v="University of Cape Town"/>
    <s v="Masters in Research Psychology"/>
    <s v="Exploring Platonic Intimacy Among Queer Men"/>
    <s v="Puleng"/>
    <s v="Wahbie"/>
    <s v="Puleng Segalo"/>
    <s v="Wahbie Long"/>
    <n v="89.285714285714292"/>
    <n v="57.142857142857139"/>
    <n v="73.214285714285722"/>
    <n v="5"/>
    <n v="3"/>
    <n v="8"/>
    <x v="0"/>
    <x v="0"/>
    <x v="0"/>
    <d v="2025-02-18T00:00:00"/>
    <n v="1"/>
    <n v="120228"/>
    <n v="0"/>
    <n v="0"/>
    <n v="120228"/>
    <n v="0"/>
    <n v="0"/>
    <n v="3"/>
  </r>
  <r>
    <s v="10/12/2025"/>
    <s v="2025-9562"/>
    <s v="Higher Education Awards"/>
    <s v="Olivia Jones"/>
    <s v="oliviajones@sun.ac.za"/>
    <s v="Submitted"/>
    <s v="Under Review"/>
    <x v="2"/>
    <x v="1"/>
    <x v="1"/>
    <x v="1"/>
    <s v="CB"/>
    <s v="Complete"/>
    <s v="Completed"/>
    <x v="3"/>
    <s v="Adelaide University"/>
    <s v="Doctor of Philosophy in Biological Sciences"/>
    <s v="Disentangling large feral herbivore impacts from interacting drivers in arid Central Australia: comparing ecological function to natives, and extinct megafauna"/>
    <s v="Chenaimoyo"/>
    <s v="Francesca"/>
    <s v="Chenaimoyo Katiyatiya"/>
    <s v="Francesca Parrini"/>
    <n v="93.75"/>
    <n v="93.75"/>
    <n v="93.75"/>
    <n v="5"/>
    <n v="5"/>
    <n v="10"/>
    <x v="1"/>
    <x v="1"/>
    <x v="2"/>
    <d v="2026-01-01T00:00:00"/>
    <n v="3"/>
    <n v="1209679.4006000001"/>
    <n v="1297721.2003547"/>
    <n v="1273621.1742118141"/>
    <n v="750000"/>
    <n v="750000"/>
    <n v="750000"/>
    <n v="3"/>
  </r>
  <r>
    <s v="10/12/2025"/>
    <s v="2025-9896"/>
    <s v="Higher Education Awards"/>
    <s v="Siyabonga Mahlangu"/>
    <s v="sphephilesiyabonga8@gmail.com"/>
    <s v="Submitted"/>
    <s v="Under Review"/>
    <x v="0"/>
    <x v="0"/>
    <x v="0"/>
    <x v="0"/>
    <s v="CB"/>
    <s v="Complete "/>
    <s v="Completed"/>
    <x v="3"/>
    <s v="Rhodes University"/>
    <s v="Msc Environmental Sciences"/>
    <s v="Soil biogeochemistry"/>
    <s v="Maryna"/>
    <s v="Romano"/>
    <s v="Maryna de Wit"/>
    <s v="Romano Lottering"/>
    <n v="67.857142857142861"/>
    <n v="71.428571428571431"/>
    <n v="69.642857142857139"/>
    <n v="3"/>
    <n v="3"/>
    <n v="6"/>
    <x v="0"/>
    <x v="0"/>
    <x v="0"/>
    <d v="2025-01-01T00:00:00"/>
    <n v="2"/>
    <n v="167000"/>
    <n v="167000"/>
    <n v="0"/>
    <n v="167000"/>
    <n v="167000"/>
    <n v="0"/>
    <n v="3"/>
  </r>
  <r>
    <s v="10/12/2025"/>
    <s v="2025-8388"/>
    <s v="Higher Education Awards"/>
    <s v="Jordan Bougardt"/>
    <s v="jordan.bougardt@gmail.com"/>
    <s v="Submitted"/>
    <s v="Under Review"/>
    <x v="2"/>
    <x v="1"/>
    <x v="0"/>
    <x v="0"/>
    <s v="CB"/>
    <s v="Complete"/>
    <s v="Completed"/>
    <x v="5"/>
    <s v="University of Cape Town (UCT)"/>
    <s v="PhD"/>
    <s v="Mechanical Engineering"/>
    <s v="Lesedi"/>
    <s v="Pieter"/>
    <s v="Lesedi Masisi"/>
    <s v="Pieter Pistorius"/>
    <n v="85.714285714285708"/>
    <n v="82.142857142857139"/>
    <n v="83.928571428571416"/>
    <n v="4"/>
    <n v="4"/>
    <n v="8"/>
    <x v="1"/>
    <x v="1"/>
    <x v="1"/>
    <d v="2026-01-15T00:00:00"/>
    <n v="2"/>
    <n v="275000"/>
    <n v="275000"/>
    <n v="0"/>
    <n v="275000"/>
    <n v="275000"/>
    <n v="0"/>
    <n v="3"/>
  </r>
  <r>
    <s v="10/12/2025"/>
    <s v="2025-9588"/>
    <s v="Higher Education Awards"/>
    <s v="Skye de Pontes"/>
    <s v="skyevera58@gmail.com"/>
    <s v="Submitted"/>
    <s v="Under Review"/>
    <x v="0"/>
    <x v="1"/>
    <x v="1"/>
    <x v="0"/>
    <s v="CB"/>
    <s v="Complete"/>
    <s v="Completed"/>
    <x v="4"/>
    <s v="University of Cape Town"/>
    <s v="MPhil in Behavioural Medicine"/>
    <s v="Exploring Willingness and Perspectives on Integrative HIV Services in Barbershops: A Mixed-Methods Study"/>
    <s v="Nicola"/>
    <s v="Riffat"/>
    <s v="Nicola Christofides"/>
    <s v="Riffat Munir"/>
    <n v="67.857142857142861"/>
    <n v="82.142857142857139"/>
    <n v="75"/>
    <n v="3"/>
    <n v="3"/>
    <n v="6"/>
    <x v="0"/>
    <x v="0"/>
    <x v="0"/>
    <d v="2026-01-01T00:00:00"/>
    <n v="1"/>
    <n v="258800"/>
    <n v="0"/>
    <n v="0"/>
    <n v="258800"/>
    <n v="0"/>
    <n v="0"/>
    <n v="3"/>
  </r>
  <r>
    <s v="10/12/2025"/>
    <s v="2025-8389"/>
    <s v="Higher Education Awards"/>
    <s v="Graham Maseli"/>
    <s v="gtmaseli@gmail.com"/>
    <s v="Submitted"/>
    <s v="Under Review"/>
    <x v="0"/>
    <x v="0"/>
    <x v="0"/>
    <x v="0"/>
    <s v="CB"/>
    <s v="Complete"/>
    <s v="Completed"/>
    <x v="2"/>
    <s v="Stellenbosch Business School / Stellenbosch University"/>
    <s v="MPhil (Development Finance)"/>
    <s v="Development Finance"/>
    <s v="Helena"/>
    <s v="Ekaete"/>
    <s v="Ekaete Benedict"/>
    <s v="Helena Barnard"/>
    <n v="67.857142857142861"/>
    <n v="46.428571428571431"/>
    <n v="57.142857142857146"/>
    <n v="2"/>
    <n v="2"/>
    <n v="4"/>
    <x v="0"/>
    <x v="0"/>
    <x v="0"/>
    <d v="2026-02-01T00:00:00"/>
    <n v="2"/>
    <n v="90000"/>
    <n v="30000"/>
    <n v="0"/>
    <n v="90000"/>
    <n v="30000"/>
    <n v="0"/>
    <n v="2"/>
  </r>
  <r>
    <s v="10/12/2025"/>
    <s v="2025-8246"/>
    <s v="Higher Education Awards"/>
    <s v="Parthiban Pandian"/>
    <s v="dr.parthi2009@gmail.com"/>
    <s v="Submitted"/>
    <s v="Under Review"/>
    <x v="1"/>
    <x v="4"/>
    <x v="0"/>
    <x v="0"/>
    <s v="CB"/>
    <s v="Complete"/>
    <s v="Completed"/>
    <x v="3"/>
    <s v="University of the Witwatersrand, Johannesburg, South Africa"/>
    <s v="Environmental Science – Molecular Cell and Biology"/>
    <s v="From Liability to Asset: Hybrid Enzymatic–Membrane Pathways for Acid Mine Drainage Treatment and Mineral Recovery in South Africa"/>
    <s v="Maryna"/>
    <s v="Romano"/>
    <s v="Maryna de Wit"/>
    <s v="Romano Lottering"/>
    <n v="94.444444444444443"/>
    <n v="69.444444444444443"/>
    <n v="81.944444444444443"/>
    <n v="5"/>
    <n v="3"/>
    <n v="8"/>
    <x v="1"/>
    <x v="1"/>
    <x v="0"/>
    <d v="2026-01-01T00:00:00"/>
    <n v="2"/>
    <n v="480000"/>
    <n v="432000"/>
    <n v="0"/>
    <n v="480000"/>
    <n v="432000"/>
    <n v="0"/>
    <n v="3"/>
  </r>
  <r>
    <s v="10/12/2025"/>
    <s v="2025-8807"/>
    <s v="Higher Education Awards"/>
    <s v="Lindokuhle Biyela"/>
    <s v="lindo.biyela@tuks.co.za"/>
    <s v="Submitted"/>
    <s v="Under Review"/>
    <x v="2"/>
    <x v="0"/>
    <x v="2"/>
    <x v="0"/>
    <s v="CB"/>
    <s v="Complete"/>
    <s v="Completed"/>
    <x v="3"/>
    <s v="University of Pretoria"/>
    <s v="PhD Microbiology"/>
    <s v="Communication and interactions in plant pathogenic bacteria mediated by extracellular vesicles"/>
    <s v="Diederik"/>
    <s v="Sanushka"/>
    <s v="Diederik Opperman"/>
    <s v="Sanushka Naidoo"/>
    <n v="67.857142857142861"/>
    <n v="60.714285714285708"/>
    <n v="64.285714285714278"/>
    <n v="2"/>
    <n v="3"/>
    <n v="5"/>
    <x v="0"/>
    <x v="0"/>
    <x v="0"/>
    <d v="2026-02-09T00:00:00"/>
    <n v="3"/>
    <n v="170000"/>
    <n v="189000"/>
    <n v="200000"/>
    <n v="170000"/>
    <n v="189000"/>
    <n v="200000"/>
    <n v="3"/>
  </r>
  <r>
    <s v="10/12/2025"/>
    <s v="2025-8772"/>
    <s v="Higher Education Awards"/>
    <s v="Sarah Frances Summers"/>
    <s v="soema.summers@gmail.com"/>
    <s v="Submitted"/>
    <s v="Under Review"/>
    <x v="2"/>
    <x v="2"/>
    <x v="1"/>
    <x v="0"/>
    <s v="CB"/>
    <s v="Complete"/>
    <s v="Completed"/>
    <x v="1"/>
    <s v="University of the Western Cape"/>
    <s v="Philosophy"/>
    <s v="Subaltern Futurisms: Cosmic Fantasy Fields of Mutual Life"/>
    <s v="David"/>
    <s v="Chimwemwe"/>
    <s v="Chimwemwe Phiri"/>
    <s v="David Medalie"/>
    <n v="67.857142857142861"/>
    <n v="67.857142857142861"/>
    <n v="67.857142857142861"/>
    <n v="3"/>
    <n v="3"/>
    <n v="6"/>
    <x v="0"/>
    <x v="0"/>
    <x v="0"/>
    <d v="2026-02-09T00:00:00"/>
    <n v="3"/>
    <n v="434000"/>
    <n v="431800"/>
    <n v="475480"/>
    <n v="434000"/>
    <n v="431800"/>
    <n v="475480"/>
    <n v="4"/>
  </r>
  <r>
    <s v="10/12/2025"/>
    <s v="2025-8869"/>
    <s v="Higher Education Awards"/>
    <s v="Kiera Hürlimann"/>
    <s v="HRLKIE001@myuct.ac.za"/>
    <s v="Submitted"/>
    <s v="Under Review"/>
    <x v="0"/>
    <x v="1"/>
    <x v="1"/>
    <x v="0"/>
    <s v="CB"/>
    <s v="Complete"/>
    <s v="Completed"/>
    <x v="4"/>
    <s v="University of Cape Town"/>
    <s v="Master's in Medical Science specialising in Medical Cell Biology"/>
    <s v="Cancer biology"/>
    <s v="Rupal"/>
    <s v="Shaheen"/>
    <s v="Rupal Jival"/>
    <s v="Shaheen Mowla"/>
    <n v="92.857142857142861"/>
    <n v="92.857142857142861"/>
    <n v="92.857142857142861"/>
    <n v="5"/>
    <n v="5"/>
    <n v="10"/>
    <x v="1"/>
    <x v="1"/>
    <x v="1"/>
    <d v="2025-02-10T00:00:00"/>
    <n v="1"/>
    <n v="253530"/>
    <n v="0"/>
    <n v="0"/>
    <n v="250000"/>
    <n v="0"/>
    <n v="0"/>
    <n v="3"/>
  </r>
  <r>
    <s v="10/12/2025"/>
    <s v="2025-8523"/>
    <s v="Higher Education Awards"/>
    <s v="Pieter de Wet"/>
    <s v="pieter.dewet@tuks.co.za"/>
    <s v="Submitted"/>
    <s v="Under Review"/>
    <x v="2"/>
    <x v="1"/>
    <x v="0"/>
    <x v="0"/>
    <s v="CB"/>
    <s v="Complete"/>
    <s v="Completed"/>
    <x v="4"/>
    <s v="University of Pretoria"/>
    <s v="PhD Anatomy"/>
    <s v="Forensic Anthropology - Saw Mark Analysis"/>
    <s v="Nicola"/>
    <s v="Riffat"/>
    <s v="Nicola Christofides"/>
    <s v="Riffat Munir"/>
    <n v="75"/>
    <n v="89.285714285714292"/>
    <n v="82.142857142857139"/>
    <n v="2"/>
    <n v="4"/>
    <n v="6"/>
    <x v="0"/>
    <x v="0"/>
    <x v="0"/>
    <d v="2025-02-02T00:00:00"/>
    <n v="2"/>
    <n v="134900"/>
    <n v="134700"/>
    <n v="0"/>
    <n v="134900"/>
    <n v="134700"/>
    <n v="0"/>
    <n v="3"/>
  </r>
  <r>
    <s v="10/12/2025"/>
    <s v="2025-9753"/>
    <s v="Higher Education Awards"/>
    <s v="Tafara Makunike"/>
    <s v="makunike52@gmail.com"/>
    <s v="Submitted"/>
    <s v="Under Review"/>
    <x v="0"/>
    <x v="0"/>
    <x v="1"/>
    <x v="0"/>
    <s v="CB"/>
    <s v="Complete"/>
    <s v="Completed"/>
    <x v="2"/>
    <s v="Witwatersrand  University"/>
    <s v="Masters of Management"/>
    <s v="Development and Economics"/>
    <s v="Helena"/>
    <s v="Ekaete"/>
    <s v="Ekaete Benedict"/>
    <s v="Helena Barnard"/>
    <n v="89.285714285714292"/>
    <n v="85.714285714285708"/>
    <n v="87.5"/>
    <n v="5"/>
    <n v="4"/>
    <n v="9"/>
    <x v="1"/>
    <x v="1"/>
    <x v="0"/>
    <d v="2026-02-02T00:00:00"/>
    <n v="1"/>
    <n v="70476"/>
    <n v="0"/>
    <n v="0"/>
    <n v="70476"/>
    <n v="0"/>
    <n v="0"/>
    <n v="3"/>
  </r>
  <r>
    <s v="10/12/2025"/>
    <s v="2025-8494"/>
    <s v="Higher Education Awards"/>
    <s v="Charl Johan Broekman"/>
    <s v="charlbroekman11@gmail.com"/>
    <s v="Submitted"/>
    <s v="Under Review"/>
    <x v="2"/>
    <x v="1"/>
    <x v="0"/>
    <x v="0"/>
    <s v="CB"/>
    <s v="Complete"/>
    <s v="Completed"/>
    <x v="3"/>
    <s v="University of Pretoria"/>
    <s v=""/>
    <s v="Earth Observation"/>
    <s v="Andrea"/>
    <s v="Themba"/>
    <s v="Andrea Fuller"/>
    <s v="Themba Mahlaba"/>
    <n v="60.714285714285708"/>
    <n v="71.428571428571431"/>
    <n v="66.071428571428569"/>
    <n v="3"/>
    <n v="3"/>
    <n v="6"/>
    <x v="0"/>
    <x v="0"/>
    <x v="0"/>
    <d v="2026-01-01T00:00:00"/>
    <n v="3"/>
    <n v="300000"/>
    <n v="300000"/>
    <n v="315200"/>
    <n v="300000"/>
    <n v="300000"/>
    <n v="315200"/>
    <n v="3"/>
  </r>
  <r>
    <s v="10/12/2025"/>
    <s v="2025-8357"/>
    <s v="Higher Education Awards"/>
    <s v="NGOM NGOM Justice Tresor"/>
    <s v="justicengom@gmail.com"/>
    <s v="Submitted"/>
    <s v="Under Review"/>
    <x v="1"/>
    <x v="0"/>
    <x v="0"/>
    <x v="0"/>
    <s v="CB"/>
    <s v="Complete"/>
    <s v="Completed"/>
    <x v="4"/>
    <s v="Division of Molecular Biology and Human Genetics, Faculty of Medicine and Health Sciences, Stellenbosch University"/>
    <s v="Genomic epidemiology and surveillance (Public Health)"/>
    <s v="The impact of strategic changes in drug-resistant TB diagnostic algorithms and Treatment regimens on the pathogen in Western Cape Province over a 15-year period"/>
    <s v="Gill"/>
    <s v="Moses"/>
    <s v="Gill Nelson"/>
    <s v="Moses Alobo"/>
    <n v="91.666666666666657"/>
    <n v="91.666666666666657"/>
    <n v="91.666666666666657"/>
    <n v="5"/>
    <n v="5"/>
    <n v="10"/>
    <x v="1"/>
    <x v="1"/>
    <x v="1"/>
    <d v="2026-01-05T00:00:00"/>
    <n v="2"/>
    <n v="380000"/>
    <n v="380000"/>
    <n v="0"/>
    <n v="380000"/>
    <n v="380000"/>
    <n v="0"/>
    <n v="3"/>
  </r>
  <r>
    <s v="10/12/2025"/>
    <s v="2025-9584"/>
    <s v="Higher Education Awards"/>
    <s v="Zifikile Mose"/>
    <s v="mosezifikile@gmail.com"/>
    <s v="Submitted"/>
    <s v="Under Review"/>
    <x v="0"/>
    <x v="0"/>
    <x v="1"/>
    <x v="0"/>
    <s v="CB"/>
    <s v="Complete"/>
    <s v="Completed"/>
    <x v="4"/>
    <s v="University of Cape Town"/>
    <s v="MSc (Medicine) in Biological Anthropology"/>
    <s v="Forensic Anthropology - Stature estimation in South African populations"/>
    <s v="Nicola"/>
    <s v="Riffat"/>
    <s v="Nicola Christofides"/>
    <s v="Riffat Munir"/>
    <n v="71.428571428571431"/>
    <n v="78.571428571428569"/>
    <n v="75"/>
    <n v="2"/>
    <n v="3"/>
    <n v="5"/>
    <x v="0"/>
    <x v="0"/>
    <x v="0"/>
    <d v="2026-01-05T00:00:00"/>
    <n v="2"/>
    <n v="218630"/>
    <n v="208630"/>
    <n v="0"/>
    <n v="218630"/>
    <n v="208630"/>
    <n v="0"/>
    <n v="3"/>
  </r>
  <r>
    <s v="10/12/2025"/>
    <s v="2025-8694"/>
    <s v="Higher Education Awards"/>
    <s v="Rubina Razack"/>
    <s v="rubina@sun.ac.za"/>
    <s v="Submitted"/>
    <s v="Under Review"/>
    <x v="2"/>
    <x v="4"/>
    <x v="1"/>
    <x v="1"/>
    <s v="CB"/>
    <s v="Complete "/>
    <s v="Completed"/>
    <x v="4"/>
    <s v="Joint agreement between Leiden University Medical Centre and Stellenbosch University"/>
    <s v="PhD"/>
    <s v="Transforming EC Diagnosis in South Africa: Genomic, Economic, and AI Perspectives"/>
    <s v="Nicola"/>
    <s v="Riffat"/>
    <s v="Nicola Christofides"/>
    <s v="Riffat Munir"/>
    <n v="100"/>
    <n v="90.625"/>
    <n v="95.3125"/>
    <n v="4"/>
    <n v="4"/>
    <n v="8"/>
    <x v="1"/>
    <x v="1"/>
    <x v="0"/>
    <d v="2026-06-01T00:00:00"/>
    <n v="2"/>
    <n v="830212.5"/>
    <n v="59150"/>
    <n v="0"/>
    <n v="750000"/>
    <n v="59150"/>
    <n v="0"/>
    <n v="2"/>
  </r>
  <r>
    <s v="10/12/2025"/>
    <s v="2025-8696"/>
    <s v="Higher Education Awards"/>
    <s v="Darlington Ashiegbu"/>
    <s v="darlingtonashiegbu1985@yahoo.com"/>
    <s v="Submitted"/>
    <s v="Under Review"/>
    <x v="1"/>
    <x v="0"/>
    <x v="0"/>
    <x v="0"/>
    <s v="CB"/>
    <s v="Complete"/>
    <s v="Completed"/>
    <x v="5"/>
    <s v="University of Witwatersrand"/>
    <s v="Postdoctoral Fellowship"/>
    <s v="Multifunctional 3D-Printed Electrodes for Integrated Wastewater Detoxification, Green Hydrogen Production, and Energy Storage via Supercapacitors"/>
    <s v="Lesedi"/>
    <s v="Pieter"/>
    <s v="Lesedi Masisi"/>
    <s v="Pieter Pistorius"/>
    <n v="77.777777777777786"/>
    <n v="77.777777777777786"/>
    <n v="77.777777777777786"/>
    <n v="2"/>
    <n v="3"/>
    <n v="5"/>
    <x v="0"/>
    <x v="0"/>
    <x v="0"/>
    <d v="2026-01-01T00:00:00"/>
    <n v="2"/>
    <n v="440000"/>
    <n v="460000"/>
    <n v="0"/>
    <n v="440000"/>
    <n v="460000"/>
    <n v="0"/>
    <n v="3"/>
  </r>
  <r>
    <s v="10/12/2025"/>
    <s v="2025-8349"/>
    <s v="Higher Education Awards"/>
    <s v="Professor Zodwa Dlamini"/>
    <s v="Zodwa.Dlamini@up.ac.za"/>
    <s v="Submitted"/>
    <s v="Under Review"/>
    <x v="3"/>
    <x v="0"/>
    <x v="1"/>
    <x v="1"/>
    <s v="CB"/>
    <s v="Complete, no ID"/>
    <s v="Completed"/>
    <x v="4"/>
    <s v="Columbia University, New York, USA"/>
    <s v="Integrated Cancer Control in Africa"/>
    <s v="Contextualizing Precision Health Equity: Integrating Genomics, Exposomics, and Social Determinants in African Cancer Control"/>
    <s v="Rupal"/>
    <s v="Shaheen"/>
    <s v="Rupal Jival"/>
    <s v="Shaheen Mowla"/>
    <n v="87.5"/>
    <n v="77.5"/>
    <n v="82.5"/>
    <n v="5"/>
    <n v="5"/>
    <n v="10"/>
    <x v="1"/>
    <x v="1"/>
    <x v="1"/>
    <d v="2026-01-01T00:00:00"/>
    <n v="1"/>
    <n v="2306113.14"/>
    <n v="0"/>
    <n v="0"/>
    <n v="750000"/>
    <n v="0"/>
    <n v="0"/>
    <n v="3"/>
  </r>
  <r>
    <s v="10/12/2025"/>
    <s v="2025-8547"/>
    <s v="Higher Education Awards"/>
    <s v="KUTLO MABATI"/>
    <s v="kutlokevin3@gmail.com"/>
    <s v="Submitted"/>
    <s v="Under Review"/>
    <x v="0"/>
    <x v="0"/>
    <x v="0"/>
    <x v="0"/>
    <s v="CB"/>
    <s v="Complete"/>
    <s v="Completed"/>
    <x v="4"/>
    <s v="University of the Witwatersrand"/>
    <s v="Masters of medicine in Biokinetics"/>
    <s v="Free-living sedentary behaviour, physical activity and sleep and cardiometabolic risk factors in adults at Moremela village."/>
    <s v="Jaya"/>
    <s v="Mary"/>
    <s v="Jaya George"/>
    <s v="Mary Kawonga"/>
    <n v="64.285714285714292"/>
    <n v="71.428571428571431"/>
    <n v="67.857142857142861"/>
    <n v="2"/>
    <n v="4"/>
    <n v="6"/>
    <x v="0"/>
    <x v="0"/>
    <x v="0"/>
    <d v="2026-01-01T00:00:00"/>
    <n v="1"/>
    <n v="61659.49"/>
    <n v="0"/>
    <n v="0"/>
    <n v="61659.49"/>
    <n v="0"/>
    <n v="0"/>
    <n v="4"/>
  </r>
  <r>
    <s v="10/12/2025"/>
    <s v="2025-9495"/>
    <s v="Higher Education Awards"/>
    <s v="Boitumelo Sebiloane"/>
    <s v="boitumlo.sebiloane@gmail.com"/>
    <s v="Submitted"/>
    <s v="Under Review"/>
    <x v="0"/>
    <x v="0"/>
    <x v="1"/>
    <x v="0"/>
    <s v="CB"/>
    <s v="Complete"/>
    <s v="Completed"/>
    <x v="1"/>
    <s v="University of the Witwatersrand"/>
    <s v="Master in Arts in Community-Based Counselling Psychology"/>
    <s v="Exploring and understanding the discrimination and stigma experienced by people living wiExploring and understanding the stigma and discrimination experienced by individuals with mental illness and their families in South African black communities."/>
    <s v="Puleng"/>
    <s v="Wahbie"/>
    <s v="Puleng Segalo"/>
    <s v="Wahbie Long"/>
    <n v="50"/>
    <n v="64.285714285714292"/>
    <n v="57.142857142857146"/>
    <n v="2"/>
    <n v="2"/>
    <n v="4"/>
    <x v="0"/>
    <x v="0"/>
    <x v="0"/>
    <d v="2026-01-19T00:00:00"/>
    <n v="1"/>
    <n v="150000"/>
    <n v="0"/>
    <n v="0"/>
    <n v="150000"/>
    <n v="0"/>
    <n v="0"/>
    <n v="3"/>
  </r>
  <r>
    <s v="10/12/2025"/>
    <s v="2025-8894"/>
    <s v="Higher Education Awards"/>
    <s v="Ntsako Khosa"/>
    <s v="KHSNSA001@myuct.ac.za"/>
    <s v="Submitted"/>
    <s v="Under Review"/>
    <x v="2"/>
    <x v="0"/>
    <x v="0"/>
    <x v="0"/>
    <s v="CB"/>
    <s v="Complete"/>
    <s v="Completed"/>
    <x v="8"/>
    <s v="University of Cape Town"/>
    <s v="Constitutional Law"/>
    <s v="The Basic Structure of the Constitution: Restrictions on Constitutional Amendments."/>
    <s v="Carolina"/>
    <s v="Danie"/>
    <s v="Carolina Meyer"/>
    <s v="Danie Visser"/>
    <n v="71.428571428571431"/>
    <n v="67.857142857142861"/>
    <n v="69.642857142857139"/>
    <n v="3"/>
    <n v="2"/>
    <n v="5"/>
    <x v="0"/>
    <x v="0"/>
    <x v="0"/>
    <d v="2026-01-01T00:00:00"/>
    <n v="3"/>
    <n v="315000"/>
    <n v="315000"/>
    <n v="315000"/>
    <n v="315000"/>
    <n v="315000"/>
    <n v="315000"/>
    <n v="2"/>
  </r>
  <r>
    <s v="10/12/2025"/>
    <s v="2025-9907"/>
    <s v="Higher Education Awards"/>
    <s v="Craig Lucas"/>
    <s v="4116564@myuwc.ac.za"/>
    <s v="Submitted"/>
    <s v="Under Review"/>
    <x v="2"/>
    <x v="2"/>
    <x v="0"/>
    <x v="0"/>
    <s v="CB"/>
    <s v="Complete"/>
    <s v="Completed"/>
    <x v="6"/>
    <s v="The University of the Western Cape"/>
    <s v="PhD Development Studies"/>
    <s v="Early Childhood Development Policy Research"/>
    <s v="Badri"/>
    <s v="Johann"/>
    <s v="Badri Zolfaghari"/>
    <s v="Johan Hattingh"/>
    <n v="100"/>
    <n v="89.285714285714292"/>
    <n v="94.642857142857139"/>
    <n v="5"/>
    <n v="5"/>
    <n v="10"/>
    <x v="1"/>
    <x v="1"/>
    <x v="1"/>
    <d v="2026-02-01T00:00:00"/>
    <n v="3"/>
    <n v="79045"/>
    <n v="160845"/>
    <n v="105145"/>
    <n v="80000"/>
    <n v="161000"/>
    <n v="106000"/>
    <n v="3"/>
  </r>
  <r>
    <s v="10/12/2025"/>
    <s v="2025-8463"/>
    <s v="Higher Education Awards"/>
    <s v="Tendani Matamela"/>
    <s v="matamelatendani0202@gmail.com"/>
    <s v="Submitted"/>
    <s v="Under Review"/>
    <x v="2"/>
    <x v="0"/>
    <x v="1"/>
    <x v="0"/>
    <s v="CB"/>
    <s v="Complete"/>
    <s v="Completed"/>
    <x v="3"/>
    <s v="Stellenbosch University"/>
    <s v="Microbiology"/>
    <s v="Investigation of microbial composition and their metabolic roles on biogeochemical processes in the Southern Ocean"/>
    <s v="Diederik"/>
    <s v="Sanushka"/>
    <s v="Diederik Opperman"/>
    <s v="Sanushka Naidoo"/>
    <n v="71.428571428571431"/>
    <n v="78.571428571428569"/>
    <n v="75"/>
    <n v="3"/>
    <n v="4"/>
    <n v="7"/>
    <x v="0"/>
    <x v="0"/>
    <x v="0"/>
    <d v="2026-01-15T00:00:00"/>
    <n v="3"/>
    <n v="242819"/>
    <n v="244288"/>
    <n v="243592"/>
    <n v="242819"/>
    <n v="244288"/>
    <n v="243592"/>
    <n v="4"/>
  </r>
  <r>
    <s v="10/12/2025"/>
    <s v="2025-9540"/>
    <s v="Higher Education Awards"/>
    <s v="Babalwa Nontiya"/>
    <s v="nontiyababalwa@gmail.com"/>
    <s v="Submitted"/>
    <s v="Under Review"/>
    <x v="0"/>
    <x v="0"/>
    <x v="1"/>
    <x v="0"/>
    <s v="CB"/>
    <s v="Complete"/>
    <s v="Completed"/>
    <x v="1"/>
    <s v="University of Fort Hare"/>
    <s v="Masters in History"/>
    <s v="The Political Division in the Black African Cape Electorate: A study between two rival newspapers, Imvo Zabantsundu and Izwi Labantu, 1890-1909."/>
    <s v="Annie"/>
    <s v="Brian"/>
    <s v="Annie Devenish"/>
    <s v="Brian Sibanda"/>
    <n v="71.428571428571431"/>
    <n v="71.428571428571431"/>
    <n v="71.428571428571431"/>
    <n v="4"/>
    <n v="5"/>
    <n v="9"/>
    <x v="0"/>
    <x v="0"/>
    <x v="0"/>
    <d v="2026-01-20T00:00:00"/>
    <n v="1"/>
    <n v="60000"/>
    <n v="0"/>
    <n v="0"/>
    <n v="60000"/>
    <n v="0"/>
    <n v="0"/>
    <n v="2"/>
  </r>
  <r>
    <s v="10/12/2025"/>
    <s v="2025-9837"/>
    <s v="Higher Education Awards"/>
    <s v="ANDIMA MARIA KULA"/>
    <s v="andimamariak@gmail.com"/>
    <s v="Submitted"/>
    <s v="Under Review"/>
    <x v="0"/>
    <x v="0"/>
    <x v="1"/>
    <x v="0"/>
    <s v="CB"/>
    <s v="Complete"/>
    <s v="Completed"/>
    <x v="1"/>
    <s v="UNIVERSITY OF THE WITWATERSRAND"/>
    <s v=""/>
    <s v="Dance meet Policy Exploring Policy Implementation for the Cultural Management of Dance Therapy in Higher Education Institutions in Johannesburg, South Africa"/>
    <s v="Annie"/>
    <s v="Brian"/>
    <s v="Annie Devenish"/>
    <s v="Brian Sibanda"/>
    <n v="78.571428571428569"/>
    <n v="67.857142857142861"/>
    <n v="73.214285714285722"/>
    <n v="3"/>
    <n v="3"/>
    <n v="6"/>
    <x v="0"/>
    <x v="0"/>
    <x v="0"/>
    <d v="2026-01-05T00:00:00"/>
    <n v="2"/>
    <n v="262033"/>
    <n v="255033"/>
    <n v="0"/>
    <n v="262033"/>
    <n v="255033"/>
    <n v="0"/>
    <n v="2"/>
  </r>
  <r>
    <s v="10/12/2025"/>
    <s v="2025-8703"/>
    <s v="Higher Education Awards"/>
    <s v="Matsatsi Jerminah Teffu"/>
    <s v="jerminahteffu@gmail.com"/>
    <s v="Submitted"/>
    <s v="Under Review"/>
    <x v="0"/>
    <x v="0"/>
    <x v="1"/>
    <x v="0"/>
    <s v="CB"/>
    <s v="Complete"/>
    <s v="Completed"/>
    <x v="5"/>
    <s v="University of Pretoria"/>
    <s v="Master of Town and Regional Planning"/>
    <s v="Traditional Land, Spatial Inequality, and Sustainable Development: Rethinking Planning Approaches in Rural South Africa"/>
    <s v="Finzi"/>
    <s v="Carin"/>
    <s v="Carin Brown"/>
    <s v="Finzi Saidi"/>
    <n v="67.857142857142861"/>
    <n v="85.714285714285708"/>
    <n v="76.785714285714278"/>
    <n v="3"/>
    <n v="5"/>
    <n v="8"/>
    <x v="1"/>
    <x v="0"/>
    <x v="0"/>
    <d v="2026-01-05T00:00:00"/>
    <n v="2"/>
    <n v="75150"/>
    <n v="93150"/>
    <n v="0"/>
    <n v="75150"/>
    <n v="93150"/>
    <n v="0"/>
    <n v="3"/>
  </r>
  <r>
    <s v="10/12/2025"/>
    <s v="2025-9854"/>
    <s v="Higher Education Awards"/>
    <s v="Monica Shekunyenge"/>
    <s v="moshekunyenge@gmail.com"/>
    <s v="Submitted"/>
    <s v="Under Review"/>
    <x v="0"/>
    <x v="0"/>
    <x v="1"/>
    <x v="0"/>
    <s v="CB"/>
    <s v="Complete"/>
    <s v="Completed"/>
    <x v="3"/>
    <s v="University of The Witwatersrand"/>
    <s v="Msc Geophysics"/>
    <s v="Seismic and Resistivity Analysis for Hydrocarbon Prospectivity in the Offshore Bredasdorp Basin"/>
    <s v="Martin Clark"/>
    <s v="Sindiso"/>
    <s v="Martin Clark"/>
    <s v="Sindiso Chamane"/>
    <n v="75"/>
    <n v="67.857142857142861"/>
    <n v="71.428571428571431"/>
    <n v="3"/>
    <n v="3"/>
    <n v="6"/>
    <x v="0"/>
    <x v="0"/>
    <x v="0"/>
    <d v="2026-02-02T00:00:00"/>
    <n v="2"/>
    <n v="181676.26"/>
    <n v="150920.9"/>
    <n v="0"/>
    <n v="181676.26"/>
    <n v="150920.9"/>
    <n v="0"/>
    <n v="2"/>
  </r>
  <r>
    <s v="10/12/2025"/>
    <s v="2025-8844"/>
    <s v="Higher Education Awards"/>
    <s v="Shahen Ramnath"/>
    <s v="shahenr003@gmail.com"/>
    <s v="Submitted"/>
    <s v="Under Review"/>
    <x v="2"/>
    <x v="4"/>
    <x v="0"/>
    <x v="0"/>
    <s v="CB"/>
    <s v="Complete"/>
    <s v="Completed"/>
    <x v="3"/>
    <s v="UNISA"/>
    <s v="Computer science"/>
    <s v="Mitigate African Ocean environmental sustainability using advanced learning"/>
    <s v="Maryna"/>
    <s v="Romano"/>
    <s v="Maryna de Wit"/>
    <s v="Romano Lottering"/>
    <n v="67.857142857142861"/>
    <n v="42.857142857142854"/>
    <n v="55.357142857142861"/>
    <n v="2"/>
    <n v="1"/>
    <n v="3"/>
    <x v="0"/>
    <x v="0"/>
    <x v="0"/>
    <d v="2026-02-02T00:00:00"/>
    <n v="2"/>
    <n v="381200"/>
    <n v="340500"/>
    <n v="0"/>
    <n v="381200"/>
    <n v="340500"/>
    <n v="0"/>
    <n v="3"/>
  </r>
  <r>
    <s v="10/12/2025"/>
    <s v="2025-8326"/>
    <s v="Higher Education Awards"/>
    <s v="Kundai Gwembere"/>
    <s v="kundiegwembere@gmail.com"/>
    <s v="Submitted"/>
    <s v="Under Review"/>
    <x v="0"/>
    <x v="0"/>
    <x v="1"/>
    <x v="0"/>
    <s v="CB"/>
    <s v="Complete"/>
    <s v="Completed"/>
    <x v="4"/>
    <s v="University of Witwatersrand"/>
    <s v="Masters"/>
    <s v="Masters in Epidemiology and Biostatistics"/>
    <s v="Gill"/>
    <s v="Moses"/>
    <s v="Gill Nelson"/>
    <s v="Moses Alobo"/>
    <n v="67.857142857142861"/>
    <n v="67.857142857142861"/>
    <n v="67.857142857142861"/>
    <n v="3"/>
    <n v="3"/>
    <n v="6"/>
    <x v="0"/>
    <x v="0"/>
    <x v="0"/>
    <d v="2026-01-26T00:00:00"/>
    <n v="2"/>
    <n v="204000"/>
    <n v="116000"/>
    <n v="0"/>
    <n v="204000"/>
    <n v="116000"/>
    <n v="0"/>
    <n v="3"/>
  </r>
  <r>
    <s v="10/12/2025"/>
    <s v="2025-9755"/>
    <s v="Higher Education Awards"/>
    <s v="Thamizhthendral Dhanasekaran"/>
    <s v="thamizhthendral12@gmail.com"/>
    <s v="Submitted"/>
    <s v="Under Review"/>
    <x v="2"/>
    <x v="4"/>
    <x v="1"/>
    <x v="0"/>
    <s v="CB"/>
    <s v="Complete Candidate uploaded letters directly"/>
    <s v="Completed"/>
    <x v="4"/>
    <s v="University of the Witwatersrand"/>
    <s v="School of Molecular and Cell Biology"/>
    <s v="Targeting colorectal cancer using transition metals Co- and Ni-doped CuO nanoparticles obtained by chemical and green synthesis methods using extract from Colombian oregano (Plectranthus amboinicus) and holy basil (Ocimum tenuiflorum)"/>
    <s v="Rupal"/>
    <s v="Shaheen"/>
    <s v="Rupal Jival"/>
    <s v="Shaheen Mowla"/>
    <n v="67.857142857142861"/>
    <n v="75"/>
    <n v="71.428571428571431"/>
    <n v="1"/>
    <n v="2"/>
    <n v="3"/>
    <x v="0"/>
    <x v="0"/>
    <x v="0"/>
    <d v="2025-01-01T00:00:00"/>
    <n v="3"/>
    <n v="299000"/>
    <n v="299000"/>
    <n v="289000"/>
    <n v="299000"/>
    <n v="299000"/>
    <n v="289000"/>
    <n v="3"/>
  </r>
  <r>
    <s v="10/12/2025"/>
    <s v="2025-9380"/>
    <s v="Higher Education Awards"/>
    <s v="Sivuyile Pharela"/>
    <s v="sivuyilepharela@gmail.com"/>
    <s v="Submitted"/>
    <s v="Under Review"/>
    <x v="0"/>
    <x v="0"/>
    <x v="0"/>
    <x v="0"/>
    <s v="CB"/>
    <s v="Complete"/>
    <s v="Completed"/>
    <x v="1"/>
    <s v="University of Cape Town"/>
    <s v="Anthropology"/>
    <s v="Digital Identity of a deceased individual on Social Media"/>
    <s v="Chimwemwe"/>
    <s v="Dina"/>
    <s v="Chimwemwe Phiri"/>
    <s v="Dina Ligaga"/>
    <n v="67.857142857142861"/>
    <n v="71.428571428571431"/>
    <n v="69.642857142857139"/>
    <n v="3"/>
    <n v="3"/>
    <n v="6"/>
    <x v="0"/>
    <x v="0"/>
    <x v="0"/>
    <d v="2026-01-12T00:00:00"/>
    <n v="2"/>
    <n v="106775"/>
    <n v="141010"/>
    <n v="0"/>
    <n v="106775"/>
    <n v="141010"/>
    <n v="0"/>
    <n v="3"/>
  </r>
  <r>
    <s v="10/12/2025"/>
    <s v="2025-9707"/>
    <s v="Higher Education Awards"/>
    <s v="Oluwaseyi Samuel Olanrewaju"/>
    <s v="olusam777@gmail.com"/>
    <s v="Submitted"/>
    <s v="Under Review"/>
    <x v="1"/>
    <x v="0"/>
    <x v="0"/>
    <x v="0"/>
    <s v="CB"/>
    <s v="Complete"/>
    <s v="Completed"/>
    <x v="3"/>
    <s v="North-West University, Potchefstroom"/>
    <s v="Postdoctoral study"/>
    <s v="Engineering microbial consortia for antibiotic degradation and crop protection in South African agriculture"/>
    <s v="Maryna"/>
    <s v="Romano"/>
    <s v="Maryna de Wit"/>
    <s v="Romano Lottering"/>
    <n v="88.888888888888886"/>
    <n v="97.222222222222214"/>
    <n v="93.055555555555543"/>
    <n v="4"/>
    <n v="5"/>
    <n v="9"/>
    <x v="1"/>
    <x v="1"/>
    <x v="1"/>
    <d v="2026-01-12T00:00:00"/>
    <n v="2"/>
    <n v="420000"/>
    <n v="420000"/>
    <n v="0"/>
    <n v="420000"/>
    <n v="420000"/>
    <n v="0"/>
    <n v="3"/>
  </r>
  <r>
    <s v="10/12/2025"/>
    <s v="2025-8487"/>
    <s v="Higher Education Awards"/>
    <s v="Johannes van der Walt"/>
    <s v="walliescycle@gmail.com"/>
    <s v="Submitted"/>
    <s v="Under Review"/>
    <x v="0"/>
    <x v="1"/>
    <x v="0"/>
    <x v="0"/>
    <s v="CB"/>
    <s v="Complete"/>
    <s v="Completed"/>
    <x v="3"/>
    <s v="University of Stellenbosch"/>
    <s v="Bushveld Complex Drilling Project Phase 3 depth-specific groundwater sampling for water quality, stable water isotopes and radiogenic samples to determine age of groundwater."/>
    <s v="Hydrogeology"/>
    <s v="Shanuska"/>
    <s v="Markus"/>
    <s v="Markus Wilken"/>
    <s v="Sanushka Naidoo"/>
    <n v="75"/>
    <n v="71.428571428571431"/>
    <n v="73.214285714285722"/>
    <n v="2"/>
    <n v="3"/>
    <n v="5"/>
    <x v="0"/>
    <x v="0"/>
    <x v="0"/>
    <d v="2026-01-01T00:00:00"/>
    <n v="2"/>
    <n v="161000"/>
    <n v="161000"/>
    <n v="0"/>
    <n v="161000"/>
    <n v="161000"/>
    <n v="0"/>
    <n v="3"/>
  </r>
  <r>
    <s v="10/12/2025"/>
    <s v="2025-9729"/>
    <s v="Higher Education Awards"/>
    <s v="Thabo Matshoba"/>
    <s v="mtstha085@myuct.ac.za"/>
    <s v="Submitted"/>
    <s v="Under Review"/>
    <x v="1"/>
    <x v="0"/>
    <x v="0"/>
    <x v="0"/>
    <s v="CB"/>
    <s v="Complete"/>
    <s v="Completed"/>
    <x v="4"/>
    <s v="University of Cape Town"/>
    <s v="Chemical Biology"/>
    <s v="Immune and microbiome profiling of pancreatic cancer tumors."/>
    <s v="Jaya"/>
    <s v="Mary"/>
    <s v="Jaya George"/>
    <s v="Mary Kawonga"/>
    <n v="77.777777777777786"/>
    <n v="63.888888888888886"/>
    <n v="70.833333333333343"/>
    <n v="4"/>
    <n v="3"/>
    <n v="7"/>
    <x v="0"/>
    <x v="0"/>
    <x v="0"/>
    <d v="2026-03-02T00:00:00"/>
    <n v="2"/>
    <n v="216000"/>
    <n v="216000"/>
    <n v="0"/>
    <n v="216000"/>
    <n v="216000"/>
    <n v="0"/>
    <n v="3"/>
  </r>
  <r>
    <s v="10/12/2025"/>
    <s v="2025-9844"/>
    <s v="Higher Education Awards"/>
    <s v="Khona Maziya"/>
    <s v="sibusisiwe.maziya@gmail.com"/>
    <s v="Submitted"/>
    <s v="Under Review"/>
    <x v="1"/>
    <x v="0"/>
    <x v="1"/>
    <x v="0"/>
    <s v="CB"/>
    <s v="Complete"/>
    <s v="Completed"/>
    <x v="0"/>
    <s v="University of Witwatersrand"/>
    <s v="Postdoctoral research"/>
    <s v="Modification of Cellulose Nanocrystals Derived from Cannabis sativa Fibers for Enhanced Removal of dyes/salts."/>
    <s v="Nabanita "/>
    <s v="Matthew"/>
    <s v="Mathew Moodley"/>
    <s v="Nabanita Chatterjee"/>
    <n v="86.111111111111114"/>
    <n v="80.555555555555557"/>
    <n v="83.333333333333343"/>
    <n v="5"/>
    <n v="4"/>
    <n v="9"/>
    <x v="1"/>
    <x v="1"/>
    <x v="0"/>
    <d v="2026-01-01T00:00:00"/>
    <n v="2"/>
    <n v="350000"/>
    <n v="350000"/>
    <n v="0"/>
    <n v="350000"/>
    <n v="350000"/>
    <n v="0"/>
    <n v="2"/>
  </r>
  <r>
    <s v="10/12/2025"/>
    <s v="2025-8591"/>
    <s v="Higher Education Awards"/>
    <s v="Katharine Khoury"/>
    <s v="katharinekhoury@gmail.com"/>
    <s v="Submitted"/>
    <s v="Under Review"/>
    <x v="2"/>
    <x v="1"/>
    <x v="1"/>
    <x v="0"/>
    <s v="CB"/>
    <s v="Complete"/>
    <s v="Completed"/>
    <x v="3"/>
    <s v="Rhodes University"/>
    <s v=""/>
    <s v="Evolutionary Ecology in the Cape Floristic Region of South Africa"/>
    <s v="Cobus"/>
    <s v="Michelle"/>
    <s v="Cobus Meyer Visagie"/>
    <s v="Michelle Greve"/>
    <n v="85.714285714285708"/>
    <n v="89.285714285714292"/>
    <n v="87.5"/>
    <n v="5"/>
    <n v="4"/>
    <n v="9"/>
    <x v="1"/>
    <x v="1"/>
    <x v="0"/>
    <d v="2026-01-15T00:00:00"/>
    <n v="3"/>
    <n v="238618.7"/>
    <n v="252219.64"/>
    <n v="266788.62"/>
    <n v="238618.7"/>
    <n v="252219.64"/>
    <n v="266788.62"/>
    <n v="3"/>
  </r>
  <r>
    <s v="10/12/2025"/>
    <s v="2025-9779"/>
    <s v="Higher Education Awards"/>
    <s v="Sandra Bhaiwa"/>
    <s v="chitavasandra@gmail.com"/>
    <s v="Submitted"/>
    <s v="Under Review"/>
    <x v="2"/>
    <x v="0"/>
    <x v="1"/>
    <x v="0"/>
    <s v="CB"/>
    <s v="Complete"/>
    <s v="Completed"/>
    <x v="3"/>
    <s v="University of the Free State"/>
    <s v="Natural and Agricultural Sciences"/>
    <s v="Implications of Climate Change on Agricultural Productivity"/>
    <s v="Martin Clark"/>
    <s v="Sindiso"/>
    <s v="Martin Clark"/>
    <s v="Sindiso Chamane"/>
    <n v="75"/>
    <n v="75"/>
    <n v="75"/>
    <n v="1"/>
    <n v="3"/>
    <n v="4"/>
    <x v="0"/>
    <x v="0"/>
    <x v="0"/>
    <d v="2026-01-03T00:00:00"/>
    <n v="3"/>
    <n v="1008000"/>
    <n v="1008000"/>
    <n v="1168000"/>
    <n v="1008000"/>
    <n v="1008000"/>
    <n v="1168000"/>
    <n v="4"/>
  </r>
  <r>
    <s v="10/12/2025"/>
    <s v="2025-9395"/>
    <s v="Higher Education Awards"/>
    <s v="Precious Maenzanise"/>
    <s v="precious.maenzanise@uct.ac.za"/>
    <s v="Submitted"/>
    <s v="Under Review"/>
    <x v="1"/>
    <x v="0"/>
    <x v="1"/>
    <x v="0"/>
    <s v="CB"/>
    <s v="Complete"/>
    <s v="Completed"/>
    <x v="3"/>
    <s v="University of Cape Town"/>
    <s v="Archaeology"/>
    <s v="Geochemical provenance of Korannaberg quartzite at the Tswalu Kalahari Reserve: Insights into landscape use from the Earlier to Middle Stone Age in the southern Kalahari, Northern Cape, South Africa"/>
    <s v="Martin Clark"/>
    <s v="Sindiso"/>
    <s v="Martin Clark"/>
    <s v="Sindiso Chamane"/>
    <n v="75"/>
    <n v="80.555555555555557"/>
    <n v="77.777777777777771"/>
    <n v="4"/>
    <n v="4"/>
    <n v="8"/>
    <x v="1"/>
    <x v="0"/>
    <x v="0"/>
    <d v="2026-01-01T00:00:00"/>
    <n v="2"/>
    <n v="500000"/>
    <n v="500000"/>
    <n v="0"/>
    <n v="500000"/>
    <n v="500000"/>
    <n v="0"/>
    <n v="3"/>
  </r>
  <r>
    <s v="10/12/2025"/>
    <s v="2025-9791"/>
    <s v="Higher Education Awards"/>
    <s v="Nomcebo Shongwe"/>
    <s v="Nomceboshongwe0105@gmail.com"/>
    <s v="Submitted"/>
    <s v="Under Review"/>
    <x v="2"/>
    <x v="0"/>
    <x v="1"/>
    <x v="0"/>
    <s v="CB"/>
    <s v="Complete"/>
    <s v="Completed"/>
    <x v="6"/>
    <s v="University of Witwatersrand"/>
    <s v="Doctor of Philosophy in Development Studies"/>
    <s v="The Economic Impact of Evolving Skills Demands in South Africa'sEnergy and Water Sector Amid the Transition to Sustainable and Inclusive Development"/>
    <s v="Badri"/>
    <s v="Johann"/>
    <s v="Badri Zolfaghari"/>
    <s v="Johan Hattingh"/>
    <n v="92.857142857142861"/>
    <n v="78.571428571428569"/>
    <n v="85.714285714285722"/>
    <n v="5"/>
    <n v="4"/>
    <n v="9"/>
    <x v="1"/>
    <x v="1"/>
    <x v="0"/>
    <d v="2026-02-09T00:00:00"/>
    <n v="3"/>
    <n v="174128"/>
    <n v="32780"/>
    <n v="32780"/>
    <n v="174128"/>
    <n v="32780"/>
    <n v="32780"/>
    <n v="3"/>
  </r>
  <r>
    <s v="10/12/2025"/>
    <s v="2025-9713"/>
    <s v="Higher Education Awards"/>
    <s v="Itshephe Malapane"/>
    <s v="nkwanemalapane@gmail.com"/>
    <s v="Submitted"/>
    <s v="Under Review"/>
    <x v="0"/>
    <x v="0"/>
    <x v="1"/>
    <x v="0"/>
    <s v="CB"/>
    <s v="Complete"/>
    <s v="Completed"/>
    <x v="1"/>
    <s v="University of Pretoria"/>
    <s v="Master of Arts in Research Psychology"/>
    <s v="Flourishing and well-being of university students with ADHD in higher education"/>
    <s v="Puleng"/>
    <s v="Wahbie"/>
    <s v="Puleng Segalo"/>
    <s v="Wahbie Long"/>
    <n v="75"/>
    <n v="64.285714285714292"/>
    <n v="69.642857142857139"/>
    <n v="3"/>
    <n v="2"/>
    <n v="5"/>
    <x v="0"/>
    <x v="0"/>
    <x v="0"/>
    <d v="2026-01-05T00:00:00"/>
    <n v="2"/>
    <n v="181600"/>
    <n v="181600"/>
    <n v="0"/>
    <n v="181600"/>
    <n v="181600"/>
    <n v="0"/>
    <n v="3"/>
  </r>
  <r>
    <s v="10/12/2025"/>
    <s v="2025-9260"/>
    <s v="Higher Education Awards"/>
    <s v="Tolu Soogun"/>
    <s v="tolanre2003@gmail.com"/>
    <s v="Submitted"/>
    <s v="Under Review"/>
    <x v="0"/>
    <x v="0"/>
    <x v="0"/>
    <x v="0"/>
    <s v="CB"/>
    <s v="Complete"/>
    <s v="Completed"/>
    <x v="3"/>
    <s v="University of Pretoria"/>
    <s v="Masters"/>
    <s v="Genetics"/>
    <s v="Chenaimoyo"/>
    <s v="Francesca"/>
    <s v="Chenaimoyo Katiyatiya"/>
    <s v="Francesca Parrini"/>
    <n v="60.714285714285708"/>
    <n v="60.714285714285708"/>
    <n v="60.714285714285708"/>
    <n v="2"/>
    <n v="2"/>
    <n v="4"/>
    <x v="0"/>
    <x v="0"/>
    <x v="0"/>
    <d v="2026-01-20T00:00:00"/>
    <n v="1"/>
    <n v="43500"/>
    <n v="0"/>
    <n v="0"/>
    <n v="43500"/>
    <n v="0"/>
    <n v="0"/>
    <n v="2"/>
  </r>
  <r>
    <s v="10/12/2025"/>
    <s v="2025-9345"/>
    <s v="Higher Education Awards"/>
    <s v="Ankit N-A"/>
    <s v="224196173@stu.ukzn.ac.za"/>
    <s v="Submitted"/>
    <s v="Under Review"/>
    <x v="2"/>
    <x v="4"/>
    <x v="0"/>
    <x v="0"/>
    <s v="CB"/>
    <s v="Complete"/>
    <s v="Completed"/>
    <x v="0"/>
    <s v="University Of Kwazulu-Natal- Westville Campus"/>
    <s v="UNIVERSITY-  Doctor of Philosophy (Science)-Medicinal &amp; Organic Chemistry"/>
    <s v="Synthesis &amp; Biological evaluation of anti-tubercular Agents."/>
    <s v="Nabanita "/>
    <s v="Matthew"/>
    <s v="Mathew Moodley"/>
    <s v="Nabanita Chatterjee"/>
    <n v="67.857142857142861"/>
    <n v="67.857142857142861"/>
    <n v="67.857142857142861"/>
    <n v="4"/>
    <n v="3"/>
    <n v="7"/>
    <x v="0"/>
    <x v="0"/>
    <x v="0"/>
    <d v="2026-01-01T00:00:00"/>
    <n v="2"/>
    <n v="124068"/>
    <n v="169163"/>
    <n v="0"/>
    <n v="124068"/>
    <n v="169163"/>
    <n v="0"/>
    <n v="3"/>
  </r>
  <r>
    <s v="10/12/2025"/>
    <s v="2025-9831"/>
    <s v="Higher Education Awards"/>
    <s v="Kwenama Buthelezi"/>
    <s v="kwenamahbuthelezi@gmail.com"/>
    <s v="Submitted"/>
    <s v="Under Review"/>
    <x v="2"/>
    <x v="0"/>
    <x v="0"/>
    <x v="0"/>
    <s v="CB"/>
    <s v="Complete"/>
    <s v="Completed"/>
    <x v="3"/>
    <s v="University of KwaZulu-Natal"/>
    <s v="Soil Science"/>
    <s v="Assessment and Monitoring of Soil Health Parameters in Potato Cultivation using Remote Sensing and Machine Learning Techniques."/>
    <s v="Martin Clark"/>
    <s v="Sindiso"/>
    <s v="Martin Clark"/>
    <s v="Sindiso Chamane"/>
    <n v="75"/>
    <n v="75"/>
    <n v="75"/>
    <n v="2"/>
    <n v="4"/>
    <n v="6"/>
    <x v="0"/>
    <x v="0"/>
    <x v="0"/>
    <d v="2026-01-12T00:00:00"/>
    <n v="3"/>
    <n v="31320"/>
    <n v="14320"/>
    <n v="121320"/>
    <n v="31320"/>
    <n v="14320"/>
    <n v="121320"/>
    <n v="3"/>
  </r>
  <r>
    <s v="10/12/2025"/>
    <s v="2025-9813"/>
    <s v="Higher Education Awards"/>
    <s v="Gerald Chikowore"/>
    <s v="gkchikore@gmail.com"/>
    <s v="Submitted"/>
    <s v="Under Review"/>
    <x v="1"/>
    <x v="0"/>
    <x v="0"/>
    <x v="0"/>
    <s v="CB"/>
    <s v="Complete"/>
    <s v="Completed"/>
    <x v="3"/>
    <s v="Centre for Biological Control , Department of Zoology and Entomology, Rhodes University"/>
    <s v="Post-Doctoral"/>
    <s v="Biological control of Australian Acacia seeds in montane grasslands of Eastern Zimbabwe"/>
    <s v="Martin Clark"/>
    <s v="Sindiso"/>
    <s v="Martin Clark"/>
    <s v="Sindiso Chamane"/>
    <n v="80.555555555555557"/>
    <n v="77.777777777777786"/>
    <n v="79.166666666666671"/>
    <n v="5"/>
    <n v="3"/>
    <n v="8"/>
    <x v="1"/>
    <x v="0"/>
    <x v="0"/>
    <d v="2026-01-01T00:00:00"/>
    <n v="2"/>
    <n v="485912"/>
    <n v="495800"/>
    <n v="0"/>
    <n v="485912"/>
    <n v="495800"/>
    <n v="0"/>
    <n v="4"/>
  </r>
  <r>
    <s v="10/12/2025"/>
    <s v="2025-9328"/>
    <s v="Higher Education Awards"/>
    <s v="Meaka Garland"/>
    <s v="meakagarland@gmail.com"/>
    <s v="Submitted"/>
    <s v="Under Review"/>
    <x v="0"/>
    <x v="1"/>
    <x v="1"/>
    <x v="0"/>
    <s v="CB"/>
    <s v="Complete"/>
    <s v="Completed"/>
    <x v="4"/>
    <s v="University of the Free State"/>
    <s v="MSc Dietetics"/>
    <s v="Determinants of Neonatal Length-For-Age and Body Composition in Neonates born at Universitas Academic Hospital, Bloemfontein, South Africa"/>
    <s v="Nicola"/>
    <s v="Riffat"/>
    <s v="Nicola Christofides"/>
    <s v="Riffat Munir"/>
    <n v="89.285714285714292"/>
    <n v="96.428571428571431"/>
    <n v="92.857142857142861"/>
    <n v="3"/>
    <n v="4"/>
    <n v="7"/>
    <x v="1"/>
    <x v="0"/>
    <x v="0"/>
    <d v="2025-01-01T00:00:00"/>
    <n v="1"/>
    <n v="35969.26"/>
    <n v="0"/>
    <n v="0"/>
    <n v="35969.26"/>
    <n v="0"/>
    <n v="0"/>
    <n v="3"/>
  </r>
  <r>
    <s v="10/12/2025"/>
    <s v="2025-9261"/>
    <s v="Higher Education Awards"/>
    <s v="Rovhofhololwa Malindi"/>
    <s v="rovho18@gmail.com"/>
    <s v="Submitted"/>
    <s v="Under Review"/>
    <x v="0"/>
    <x v="0"/>
    <x v="1"/>
    <x v="0"/>
    <s v="CB"/>
    <s v="Complete"/>
    <s v="Completed"/>
    <x v="4"/>
    <s v="University of the Witwatersrand"/>
    <s v="Master of Science in Epidemiology"/>
    <s v="Epidemiology &amp; Biostatistics"/>
    <s v="Gill"/>
    <s v="Moses"/>
    <s v="Gill Nelson"/>
    <s v="Moses Alobo"/>
    <n v="92.857142857142861"/>
    <n v="92.857142857142861"/>
    <n v="92.857142857142861"/>
    <n v="5"/>
    <n v="5"/>
    <n v="10"/>
    <x v="1"/>
    <x v="1"/>
    <x v="1"/>
    <d v="2026-01-19T00:00:00"/>
    <n v="1"/>
    <n v="147179.1"/>
    <n v="0"/>
    <n v="0"/>
    <n v="148000"/>
    <n v="0"/>
    <n v="0"/>
    <n v="3"/>
  </r>
  <r>
    <s v="10/12/2025"/>
    <s v="2025-8707"/>
    <s v="Higher Education Awards"/>
    <s v="Michael Koning"/>
    <s v="michaelkoning4@gmail.com"/>
    <s v="Submitted"/>
    <s v="Under Review"/>
    <x v="2"/>
    <x v="1"/>
    <x v="0"/>
    <x v="0"/>
    <s v="CB"/>
    <s v="Complete"/>
    <s v="Completed"/>
    <x v="0"/>
    <s v="University of Cape Town"/>
    <s v="Theoretical Physics"/>
    <s v="Color Glass Condensate Correlators: Connecting the JIMWLK and BMS Frameworks"/>
    <s v="Nabanita "/>
    <s v="Matthew"/>
    <s v="Mathew Moodley"/>
    <s v="Nabanita Chatterjee"/>
    <n v="100"/>
    <n v="89.285714285714292"/>
    <n v="94.642857142857139"/>
    <n v="5"/>
    <n v="4"/>
    <n v="9"/>
    <x v="1"/>
    <x v="1"/>
    <x v="1"/>
    <d v="2025-01-13T00:00:00"/>
    <n v="2"/>
    <n v="104860"/>
    <n v="118700"/>
    <n v="0"/>
    <n v="105000"/>
    <n v="119000"/>
    <n v="0"/>
    <n v="3"/>
  </r>
  <r>
    <s v="10/12/2025"/>
    <s v="2025-9218"/>
    <s v="Higher Education Awards"/>
    <s v="Dylan le Roux"/>
    <s v="dylanlr98@gmail.com"/>
    <s v="Submitted"/>
    <s v="Under Review"/>
    <x v="0"/>
    <x v="1"/>
    <x v="0"/>
    <x v="0"/>
    <s v="CB"/>
    <s v="Complete"/>
    <s v="Completed"/>
    <x v="3"/>
    <s v="University of Freestate QwaQwa Campus"/>
    <s v="Zoology"/>
    <s v="Comparative Taxonomy and Phylogeography of Shrews in the Genus Crocidura inMontane Habitats"/>
    <s v="Andrea"/>
    <s v="Themba"/>
    <s v="Andrea Fuller"/>
    <s v="Themba Mahlaba"/>
    <n v="71.428571428571431"/>
    <n v="92.857142857142861"/>
    <n v="82.142857142857139"/>
    <n v="3"/>
    <n v="4"/>
    <n v="7"/>
    <x v="1"/>
    <x v="0"/>
    <x v="0"/>
    <d v="2026-01-01T00:00:00"/>
    <n v="2"/>
    <n v="231200"/>
    <n v="231200"/>
    <n v="0"/>
    <n v="231200"/>
    <n v="231200"/>
    <n v="0"/>
    <n v="3"/>
  </r>
  <r>
    <s v="10/12/2025"/>
    <s v="2025-8559"/>
    <s v="Higher Education Awards"/>
    <s v="JC Schoeman"/>
    <s v="jcschoeman@sun.ac.za"/>
    <s v="Submitted"/>
    <s v="Under Review"/>
    <x v="3"/>
    <x v="1"/>
    <x v="0"/>
    <x v="1"/>
    <s v="CB"/>
    <s v="Complete"/>
    <s v="Completed"/>
    <x v="5"/>
    <s v="Technical University of Munich"/>
    <s v="Robotics and autonomous vehicles"/>
    <s v="A unification of model- and data-based approaches to autonomous driving"/>
    <s v="Lesedi"/>
    <s v="Pieter"/>
    <s v="Lesedi Masisi"/>
    <s v="Pieter Pistorius"/>
    <n v="55.000000000000007"/>
    <n v="60"/>
    <n v="57.5"/>
    <n v="3"/>
    <n v="3"/>
    <n v="6"/>
    <x v="0"/>
    <x v="0"/>
    <x v="0"/>
    <d v="2026-05-01T00:00:00"/>
    <n v="1"/>
    <n v="180000"/>
    <n v="0"/>
    <n v="0"/>
    <n v="180000"/>
    <n v="0"/>
    <n v="0"/>
    <n v="3"/>
  </r>
  <r>
    <s v="10/12/2025"/>
    <s v="2025-8231"/>
    <s v="Higher Education Awards"/>
    <s v="Mphatso Sumani"/>
    <s v="mphasumani@gmail.com"/>
    <s v="Submitted"/>
    <s v="Under Review"/>
    <x v="0"/>
    <x v="0"/>
    <x v="0"/>
    <x v="0"/>
    <s v="CB"/>
    <s v="Complete"/>
    <s v="Completed"/>
    <x v="3"/>
    <s v="University of Pretoria"/>
    <s v="Masters in Sustainable Agriculture"/>
    <s v="Assessing impact of Climate change on Animal Feed availability"/>
    <s v="Andrea"/>
    <s v="Themba"/>
    <s v="Andrea Fuller"/>
    <s v="Themba Mahlaba"/>
    <n v="50"/>
    <n v="57.142857142857139"/>
    <n v="53.571428571428569"/>
    <n v="1"/>
    <n v="3"/>
    <n v="4"/>
    <x v="0"/>
    <x v="0"/>
    <x v="0"/>
    <d v="2026-01-05T00:00:00"/>
    <n v="2"/>
    <n v="195000"/>
    <n v="222000"/>
    <n v="0"/>
    <n v="195000"/>
    <n v="222000"/>
    <n v="0"/>
    <n v="3"/>
  </r>
  <r>
    <s v="10/12/2025"/>
    <s v="2025-9162"/>
    <s v="Higher Education Awards"/>
    <s v="Seipati Gift Aphane"/>
    <s v="aphaneseipati9@gmail.com"/>
    <s v="Submitted"/>
    <s v="Under Review"/>
    <x v="0"/>
    <x v="0"/>
    <x v="1"/>
    <x v="0"/>
    <s v="CB"/>
    <s v="Complete"/>
    <s v="Completed"/>
    <x v="7"/>
    <s v="University of the Witwatersrand"/>
    <s v="Master of Arts by coursework and Research Report (Applied Drama: Theatre in Education, Communities and Social Contexts)"/>
    <s v=" BUILDIN AGENCY: THE CO-CREATIOPN OF FORUM THEATRE MODEL ON ADRESSING, RAICING AWARENESS OF GENDER-BASED VIOLANCE AMONG THE UNIVERSITY OF THE WITWATERSRAND STUDENTS, SOUTH AFRICA. "/>
    <s v="Mwenya"/>
    <s v="Mbongeni"/>
    <s v="Mbongeni Mtshali"/>
    <s v="Mwenya Kabwe"/>
    <n v="60.714285714285708"/>
    <n v="71.428571428571431"/>
    <n v="66.071428571428569"/>
    <n v="2"/>
    <n v="3"/>
    <n v="5"/>
    <x v="0"/>
    <x v="0"/>
    <x v="0"/>
    <d v="2026-01-26T00:00:00"/>
    <n v="1"/>
    <n v="160000"/>
    <n v="0"/>
    <n v="0"/>
    <n v="160000"/>
    <n v="0"/>
    <n v="0"/>
    <n v="2"/>
  </r>
  <r>
    <s v="10/12/2025"/>
    <s v="2025-9073"/>
    <s v="Higher Education Awards"/>
    <s v="Natalie Davidson"/>
    <s v="nataliedavidson2606@gmail.com"/>
    <s v="Submitted"/>
    <s v="Under Review"/>
    <x v="2"/>
    <x v="1"/>
    <x v="1"/>
    <x v="0"/>
    <s v="CB"/>
    <s v="Complete"/>
    <s v="Completed"/>
    <x v="1"/>
    <s v="University of Cape Town"/>
    <s v="PhD in Research Psychology"/>
    <s v="Beyond Presence: navigating involvement and caring amongst adolescent and young fathers in South Africa. What are adolescent and young fathers’ experiences of involvement in the lives of their children? How best can adolescent fathers be supported to become involved in the lives of their children?"/>
    <s v="Puleng"/>
    <s v="Annie"/>
    <s v="Annie Devenish"/>
    <s v="Puleng Segalo"/>
    <n v="92.857142857142861"/>
    <n v="78.571428571428569"/>
    <n v="85.714285714285722"/>
    <n v="3"/>
    <n v="4"/>
    <n v="7"/>
    <x v="1"/>
    <x v="0"/>
    <x v="0"/>
    <d v="2026-02-16T00:00:00"/>
    <n v="3"/>
    <n v="381764.23"/>
    <n v="522461.79"/>
    <n v="522764.23"/>
    <n v="381764.23"/>
    <n v="522461.79"/>
    <n v="522764.23"/>
    <n v="3"/>
  </r>
  <r>
    <s v="10/12/2025"/>
    <s v="2025-8592"/>
    <s v="Higher Education Awards"/>
    <s v="Yonwaba Feni"/>
    <s v="3731108@myuwc.ac.za"/>
    <s v="Submitted"/>
    <s v="Under Review"/>
    <x v="2"/>
    <x v="0"/>
    <x v="0"/>
    <x v="0"/>
    <s v="CB"/>
    <s v="Complete"/>
    <s v="Completed"/>
    <x v="1"/>
    <s v="University of the Western Cape"/>
    <s v="PhD Population Studies"/>
    <s v="Child health and maternal practices in urban South Africa: a multivariate analysis"/>
    <s v="Sam"/>
    <s v="Srila"/>
    <s v="Sam Kariuki"/>
    <s v="Srila Roy"/>
    <n v="71.428571428571431"/>
    <n v="78.571428571428569"/>
    <n v="75"/>
    <n v="3"/>
    <n v="3"/>
    <n v="6"/>
    <x v="0"/>
    <x v="0"/>
    <x v="0"/>
    <d v="2025-03-31T00:00:00"/>
    <n v="2"/>
    <n v="118400"/>
    <n v="110400"/>
    <n v="0"/>
    <n v="118400"/>
    <n v="110400"/>
    <n v="0"/>
    <n v="3"/>
  </r>
  <r>
    <s v="10/12/2025"/>
    <s v="2025-9799"/>
    <s v="Higher Education Awards"/>
    <s v="Keatlegile Mabena"/>
    <s v="Keatlegilemabena@gmail.com"/>
    <s v="Submitted"/>
    <s v="Under Review"/>
    <x v="2"/>
    <x v="0"/>
    <x v="0"/>
    <x v="0"/>
    <s v="CB"/>
    <s v="Complete"/>
    <s v="Completed"/>
    <x v="6"/>
    <s v="University of South Africa"/>
    <s v="PhD Development Studies"/>
    <s v="An examination of the role of a higher education institution in the prevention and management of gender-based violence: A case study of a South African public university"/>
    <s v="Badri"/>
    <s v="Johann"/>
    <s v="Badri Zolfaghari"/>
    <s v="Johan Hattingh"/>
    <n v="89.285714285714292"/>
    <n v="53.571428571428569"/>
    <n v="71.428571428571431"/>
    <n v="5"/>
    <n v="1"/>
    <n v="6"/>
    <x v="0"/>
    <x v="0"/>
    <x v="0"/>
    <d v="2026-01-14T00:00:00"/>
    <n v="2"/>
    <n v="303000"/>
    <n v="327000"/>
    <n v="0"/>
    <n v="303000"/>
    <n v="327000"/>
    <n v="0"/>
    <n v="3"/>
  </r>
  <r>
    <s v="10/12/2025"/>
    <s v="2025-9146"/>
    <s v="Higher Education Awards"/>
    <s v="Vuwani Makuya"/>
    <s v="vuwani.makuya19@gmail.com"/>
    <s v="Submitted"/>
    <s v="Under Review"/>
    <x v="2"/>
    <x v="0"/>
    <x v="1"/>
    <x v="0"/>
    <s v="CB"/>
    <s v="Complete"/>
    <s v="Completed"/>
    <x v="3"/>
    <s v="University of Pretoria"/>
    <s v="PhD in Agronomy"/>
    <s v="Dissertation topic: Climate Change Impact Assessment over Three Major Soybean-Producing Provinces in South Africa"/>
    <s v="Cobus"/>
    <s v="Michelle"/>
    <s v="Cobus Meyer Visagie"/>
    <s v="Michelle Greve"/>
    <n v="75"/>
    <n v="92.857142857142861"/>
    <n v="83.928571428571431"/>
    <n v="3"/>
    <n v="5"/>
    <n v="8"/>
    <x v="1"/>
    <x v="1"/>
    <x v="0"/>
    <d v="2024-08-01T00:00:00"/>
    <n v="2"/>
    <n v="342500"/>
    <n v="349700"/>
    <n v="0"/>
    <n v="342500"/>
    <n v="349700"/>
    <n v="0"/>
    <n v="3"/>
  </r>
  <r>
    <s v="10/12/2025"/>
    <s v="2025-9696"/>
    <s v="Higher Education Awards"/>
    <s v="Lungisani Khubone"/>
    <s v="lkhuboni97@gmail.com"/>
    <s v="Submitted"/>
    <s v="Under Review"/>
    <x v="2"/>
    <x v="0"/>
    <x v="0"/>
    <x v="0"/>
    <s v="CB"/>
    <s v="Complete"/>
    <s v="Completed"/>
    <x v="0"/>
    <s v="University of KwaZulu-Natal"/>
    <s v="PhD in Chemistry"/>
    <s v="Synthesis and biological evaluation of indoline-2,3-diones"/>
    <s v="Nabanita "/>
    <s v="Matthew"/>
    <s v="Mathew Moodley"/>
    <s v="Nabanita Chatterjee"/>
    <n v="57.142857142857139"/>
    <n v="57.142857142857139"/>
    <n v="57.142857142857139"/>
    <n v="2"/>
    <n v="2"/>
    <n v="4"/>
    <x v="0"/>
    <x v="0"/>
    <x v="0"/>
    <d v="2025-09-20T00:00:00"/>
    <n v="3"/>
    <n v="144847"/>
    <n v="144847"/>
    <n v="144847"/>
    <n v="144847"/>
    <n v="144847"/>
    <n v="144847"/>
    <n v="3"/>
  </r>
  <r>
    <s v="10/12/2025"/>
    <s v="2025-9677"/>
    <s v="Higher Education Awards"/>
    <s v="SIYABONGA ZWANE"/>
    <s v="shakirsiyabongazwane@gmail.com"/>
    <s v="Submitted"/>
    <s v="Under Review"/>
    <x v="0"/>
    <x v="0"/>
    <x v="0"/>
    <x v="0"/>
    <s v="CB"/>
    <s v="Complete"/>
    <s v="Completed"/>
    <x v="1"/>
    <s v="1. University of Fort Hare, 2. Stellenbosch University and 3. University of Johannesburg"/>
    <s v="Masters in Philosophy"/>
    <s v="Artificial Intelligence in Digital Banking: A Philosophical Inquiry into Ethics and Inclusive Socio-Economic Transformation in South Africa"/>
    <s v="David"/>
    <s v="Annie"/>
    <s v="Annie Devenish"/>
    <s v="David Medalie"/>
    <n v="82.142857142857139"/>
    <n v="71.428571428571431"/>
    <n v="76.785714285714278"/>
    <n v="5"/>
    <n v="4"/>
    <n v="9"/>
    <x v="1"/>
    <x v="0"/>
    <x v="0"/>
    <d v="2026-01-01T00:00:00"/>
    <n v="2"/>
    <n v="107000"/>
    <n v="114000"/>
    <n v="0"/>
    <n v="107000"/>
    <n v="114000"/>
    <n v="0"/>
    <n v="2"/>
  </r>
  <r>
    <s v="10/12/2025"/>
    <s v="2025-9671"/>
    <s v="Higher Education Awards"/>
    <s v="Peter Lungu"/>
    <s v="peterlungu280@gmail.com"/>
    <s v="Submitted"/>
    <s v="Under Review"/>
    <x v="2"/>
    <x v="0"/>
    <x v="0"/>
    <x v="0"/>
    <s v="CB"/>
    <s v="Complete"/>
    <s v="Completed"/>
    <x v="4"/>
    <s v="University of Cape Town"/>
    <s v="Clinical Sciences and Immunology"/>
    <s v="Host-directed targeting of IFN-y induced long non-coding RNA-917 during Mycobacterium tuberculosis infection"/>
    <s v="Jaya"/>
    <s v="Mary"/>
    <s v="Jaya George"/>
    <s v="Mary Kawonga"/>
    <n v="57.142857142857139"/>
    <n v="78.571428571428569"/>
    <n v="67.857142857142861"/>
    <n v="3"/>
    <n v="3"/>
    <n v="6"/>
    <x v="0"/>
    <x v="0"/>
    <x v="0"/>
    <d v="2026-01-23T00:00:00"/>
    <n v="3"/>
    <n v="-129000"/>
    <n v="-139000"/>
    <n v="-129000"/>
    <n v="-129000"/>
    <n v="-139000"/>
    <n v="-129000"/>
    <n v="3"/>
  </r>
  <r>
    <s v="10/12/2025"/>
    <s v="2025-9028"/>
    <s v="Higher Education Awards"/>
    <s v="Morgan Naidoo"/>
    <s v="naidoo.morgan1@gmail.com"/>
    <s v="Submitted"/>
    <s v="Under Review"/>
    <x v="0"/>
    <x v="2"/>
    <x v="1"/>
    <x v="0"/>
    <s v="CB"/>
    <s v="Complete"/>
    <s v="Completed"/>
    <x v="4"/>
    <s v="University of Cape Town"/>
    <s v="Master of Science in Medicine (by dissertation only)"/>
    <s v="Understanding sleep homeostasis in South African adolescents."/>
    <s v="Jaya"/>
    <s v="Mary"/>
    <s v="Jaya George"/>
    <s v="Mary Kawonga"/>
    <n v="78.571428571428569"/>
    <n v="92.857142857142861"/>
    <n v="85.714285714285722"/>
    <n v="4"/>
    <n v="5"/>
    <n v="9"/>
    <x v="1"/>
    <x v="1"/>
    <x v="0"/>
    <d v="2025-01-06T00:00:00"/>
    <n v="1"/>
    <n v="281000"/>
    <n v="0"/>
    <n v="0"/>
    <n v="250000"/>
    <n v="0"/>
    <n v="0"/>
    <n v="3"/>
  </r>
  <r>
    <s v="10/12/2025"/>
    <s v="2025-9347"/>
    <s v="Higher Education Awards"/>
    <s v="Helena Seebran"/>
    <s v="helenaseebran@gmail.com"/>
    <s v="Submitted"/>
    <s v="Under Review"/>
    <x v="2"/>
    <x v="4"/>
    <x v="1"/>
    <x v="0"/>
    <s v="CB"/>
    <s v="Complete"/>
    <s v="Completed"/>
    <x v="4"/>
    <s v="University of Cape Town"/>
    <s v="Doctorate of Philosophy (PhD) in Biological Anthropology (Upgraded Masters)"/>
    <s v="Assessment of the effect of trauma on the morphometric analysis of the cranium in an adult South African cadaveric sample"/>
    <s v="Jaya"/>
    <s v="Mary"/>
    <s v="Jaya George"/>
    <s v="Mary Kawonga"/>
    <n v="75"/>
    <n v="89.285714285714292"/>
    <n v="82.142857142857139"/>
    <n v="4"/>
    <n v="5"/>
    <n v="9"/>
    <x v="1"/>
    <x v="1"/>
    <x v="0"/>
    <d v="2025-08-05T00:00:00"/>
    <n v="3"/>
    <n v="144130"/>
    <n v="67170"/>
    <n v="69000"/>
    <n v="144130"/>
    <n v="67170"/>
    <n v="69000"/>
    <n v="3"/>
  </r>
  <r>
    <s v="10/12/2025"/>
    <s v="2025-9508"/>
    <s v="Higher Education Awards"/>
    <s v="Ryan Forbes"/>
    <s v="rforbes0502@gmail.com"/>
    <s v="Submitted"/>
    <s v="Under Review"/>
    <x v="2"/>
    <x v="1"/>
    <x v="0"/>
    <x v="0"/>
    <s v="CB"/>
    <s v="Complete"/>
    <s v="Completed"/>
    <x v="3"/>
    <s v="Nelson Mandela University"/>
    <s v="PhD in Zoology"/>
    <s v="Non-invasive assessment of stress, parasite burden, and reproduction in African large carnivores along a gradient of human disturbance"/>
    <s v="Andrea"/>
    <s v="Themba"/>
    <s v="Andrea Fuller"/>
    <s v="Themba Mahlaba"/>
    <n v="85.714285714285708"/>
    <n v="92.857142857142861"/>
    <n v="89.285714285714278"/>
    <n v="4"/>
    <n v="4"/>
    <n v="8"/>
    <x v="1"/>
    <x v="1"/>
    <x v="0"/>
    <d v="2026-01-05T00:00:00"/>
    <n v="3"/>
    <n v="239070"/>
    <n v="269070"/>
    <n v="269070"/>
    <n v="239070"/>
    <n v="269070"/>
    <n v="269070"/>
    <n v="2"/>
  </r>
  <r>
    <s v="10/12/2025"/>
    <s v="2025-8767"/>
    <s v="Higher Education Awards"/>
    <s v="Saarah Mkansi"/>
    <s v="Saarahmkansi@gmail.com"/>
    <s v="Submitted"/>
    <s v="Under Review"/>
    <x v="0"/>
    <x v="0"/>
    <x v="1"/>
    <x v="0"/>
    <s v="CB"/>
    <s v="Complete"/>
    <s v="Completed"/>
    <x v="5"/>
    <s v="University of Cape Town"/>
    <s v="Masters in Architecture"/>
    <s v="Redefining Educational Infrastructure in Disadvantaged Communities"/>
    <s v="Finzi"/>
    <s v="Carin"/>
    <s v="Carin Brown"/>
    <s v="Finzi Saidi"/>
    <n v="82.142857142857139"/>
    <n v="67.857142857142861"/>
    <n v="75"/>
    <n v="4"/>
    <n v="3"/>
    <n v="7"/>
    <x v="0"/>
    <x v="0"/>
    <x v="0"/>
    <d v="2026-01-19T00:00:00"/>
    <n v="1"/>
    <n v="158320"/>
    <n v="0"/>
    <n v="0"/>
    <n v="158320"/>
    <n v="0"/>
    <n v="0"/>
    <n v="3"/>
  </r>
  <r>
    <s v="10/12/2025"/>
    <s v="2025-9452"/>
    <s v="Higher Education Awards"/>
    <s v="Gcobisile Matafeni"/>
    <s v="matafenigcobisile@gmail.com"/>
    <s v="Submitted"/>
    <s v="Under Review"/>
    <x v="2"/>
    <x v="0"/>
    <x v="0"/>
    <x v="0"/>
    <s v="CB"/>
    <s v="Complete"/>
    <s v="Completed"/>
    <x v="0"/>
    <s v="University of the Witwatersrand"/>
    <s v="Doctor of Philosophy"/>
    <s v="Modeling Temporal Influence Recovery in Dynamic Bayesian Networks with Node Failures"/>
    <s v="Clint"/>
    <s v="Daniel"/>
    <s v="Clint van Alten"/>
    <s v="Daniel Ramotsoela"/>
    <n v="71.428571428571431"/>
    <n v="96.428571428571431"/>
    <n v="83.928571428571431"/>
    <n v="3"/>
    <n v="5"/>
    <n v="8"/>
    <x v="1"/>
    <x v="1"/>
    <x v="0"/>
    <d v="2026-01-01T00:00:00"/>
    <n v="3"/>
    <n v="36431"/>
    <n v="65074.1"/>
    <n v="69081.509999999995"/>
    <n v="36431"/>
    <n v="65074.1"/>
    <n v="69081.509999999995"/>
    <n v="3"/>
  </r>
  <r>
    <s v="10/12/2025"/>
    <s v="2025-8533"/>
    <s v="Higher Education Awards"/>
    <s v="Sidney Simons"/>
    <s v="sidneysimons8@gmail.com"/>
    <s v="Submitted"/>
    <s v="Under Review"/>
    <x v="2"/>
    <x v="2"/>
    <x v="1"/>
    <x v="0"/>
    <s v="CB"/>
    <s v="Complete"/>
    <s v="Completed"/>
    <x v="4"/>
    <s v="University of the Witwatersrand"/>
    <s v="Clinical Microbiology and Infectious Diseases"/>
    <s v="Antimicrobial resistance"/>
    <s v="Jaya"/>
    <s v="Mary"/>
    <s v="Jaya George"/>
    <s v="Mary Kawonga"/>
    <n v="85.714285714285708"/>
    <n v="82.142857142857139"/>
    <n v="83.928571428571416"/>
    <n v="4"/>
    <n v="4"/>
    <n v="8"/>
    <x v="1"/>
    <x v="1"/>
    <x v="0"/>
    <d v="2026-01-05T00:00:00"/>
    <n v="3"/>
    <n v="262000"/>
    <n v="262000"/>
    <n v="262000"/>
    <n v="262000"/>
    <n v="262000"/>
    <n v="262000"/>
    <n v="3"/>
  </r>
  <r>
    <s v="10/12/2025"/>
    <s v="2025-9412"/>
    <s v="Higher Education Awards"/>
    <s v="Samukelisiwe Ndimande"/>
    <s v="ndimandesamuke@gmail.com"/>
    <s v="Submitted"/>
    <s v="Under Review"/>
    <x v="0"/>
    <x v="0"/>
    <x v="1"/>
    <x v="0"/>
    <s v="CB"/>
    <s v="Complete"/>
    <s v="Completed"/>
    <x v="4"/>
    <s v="University of Cape Town"/>
    <s v="Virology (study choice 1)"/>
    <s v="Epidemiology &amp; Biostatistics"/>
    <s v="Jaya"/>
    <s v="Mary"/>
    <s v="Jaya George"/>
    <s v="Mary Kawonga"/>
    <n v="92.857142857142861"/>
    <n v="92.857142857142861"/>
    <n v="92.857142857142861"/>
    <n v="4"/>
    <n v="5"/>
    <n v="9"/>
    <x v="1"/>
    <x v="1"/>
    <x v="0"/>
    <d v="2026-01-05T00:00:00"/>
    <n v="2"/>
    <n v="161450"/>
    <n v="109500"/>
    <n v="0"/>
    <n v="161450"/>
    <n v="109500"/>
    <n v="0"/>
    <n v="4"/>
  </r>
  <r>
    <s v="10/12/2025"/>
    <s v="2025-8331"/>
    <s v="Higher Education Awards"/>
    <s v="Gift Maimela"/>
    <s v="mpho.maimela71@gmail.com"/>
    <s v="Submitted"/>
    <s v="Under Review"/>
    <x v="0"/>
    <x v="0"/>
    <x v="0"/>
    <x v="0"/>
    <s v="CB"/>
    <s v="Complete"/>
    <s v="Completed"/>
    <x v="1"/>
    <s v="University of Johannesburg"/>
    <s v="Masters"/>
    <s v="Atypical Examination of Feminist Literary Texts: Omitted and Sidelined Abuse Against Men by Women."/>
    <s v="Sam"/>
    <s v="Srila"/>
    <s v="Sam Kariuki"/>
    <s v="Srila Roy"/>
    <n v="67.857142857142861"/>
    <n v="71.428571428571431"/>
    <n v="69.642857142857139"/>
    <n v="4"/>
    <n v="4"/>
    <n v="8"/>
    <x v="0"/>
    <x v="0"/>
    <x v="0"/>
    <d v="2026-02-10T00:00:00"/>
    <n v="2"/>
    <n v="63980"/>
    <n v="64130"/>
    <n v="0"/>
    <n v="63980"/>
    <n v="64130"/>
    <n v="0"/>
    <n v="3"/>
  </r>
  <r>
    <s v="10/12/2025"/>
    <s v="2025-8947"/>
    <s v="Higher Education Awards"/>
    <s v="Ashley Tafadzwa Nerwande"/>
    <s v="ashner14@yahoo.com"/>
    <s v="Submitted"/>
    <s v="Under Review"/>
    <x v="2"/>
    <x v="3"/>
    <x v="0"/>
    <x v="0"/>
    <s v="CB"/>
    <s v="Complete"/>
    <s v="Completed"/>
    <x v="4"/>
    <s v="University of Pretoria"/>
    <s v="PhD in Medical Immunology"/>
    <s v="The impact of placental insufficiency and cytomegalovirus exposure on infant growth"/>
    <s v="Janetta"/>
    <s v="John"/>
    <s v="Janetta Harbron"/>
    <s v="John Pettifor"/>
    <n v="75"/>
    <n v="82.142857142857139"/>
    <n v="78.571428571428569"/>
    <n v="3"/>
    <n v="3"/>
    <n v="6"/>
    <x v="0"/>
    <x v="0"/>
    <x v="0"/>
    <d v="2026-01-12T00:00:00"/>
    <n v="3"/>
    <n v="152000"/>
    <n v="165020"/>
    <n v="179269.4"/>
    <n v="152000"/>
    <n v="165020"/>
    <n v="179269.4"/>
    <n v="3"/>
  </r>
  <r>
    <s v="10/12/2025"/>
    <s v="2025-9308"/>
    <s v="Higher Education Awards"/>
    <s v="Nhlakanipho Nkosi"/>
    <s v="Nhlakaniphon012@gmail.com"/>
    <s v="Submitted"/>
    <s v="Under Review"/>
    <x v="0"/>
    <x v="0"/>
    <x v="1"/>
    <x v="0"/>
    <s v="CB"/>
    <s v="Complete"/>
    <s v="Completed"/>
    <x v="1"/>
    <s v="University of Pretoria"/>
    <s v="Anthropology"/>
    <s v="Queer Kinship: Exploring Black Lesbians in Family Structures"/>
    <s v="Sam"/>
    <s v="Srila"/>
    <s v="Sam Kariuki"/>
    <s v="Srila Roy"/>
    <n v="78.571428571428569"/>
    <n v="60.714285714285708"/>
    <n v="69.642857142857139"/>
    <n v="4"/>
    <n v="3"/>
    <n v="7"/>
    <x v="0"/>
    <x v="0"/>
    <x v="0"/>
    <d v="2026-02-02T00:00:00"/>
    <n v="2"/>
    <n v="113755"/>
    <n v="113755"/>
    <n v="0"/>
    <n v="113755"/>
    <n v="113755"/>
    <n v="0"/>
    <n v="3"/>
  </r>
  <r>
    <s v="10/12/2025"/>
    <s v="2025-8312"/>
    <s v="Higher Education Awards"/>
    <s v="Garrick Bakker"/>
    <s v="26119404@sun.ac.za"/>
    <s v="Submitted"/>
    <s v="Under Review"/>
    <x v="0"/>
    <x v="1"/>
    <x v="0"/>
    <x v="0"/>
    <s v="CB"/>
    <s v="Complete"/>
    <s v="Completed"/>
    <x v="3"/>
    <s v="Stellenbosch University"/>
    <s v="MSc Microbiology"/>
    <s v="Yeast Biotechnology"/>
    <s v="Diederik"/>
    <s v="Sanushka"/>
    <s v="Diederik Opperman"/>
    <s v="Sanushka Naidoo"/>
    <n v="85.714285714285708"/>
    <n v="85.714285714285708"/>
    <n v="85.714285714285708"/>
    <n v="4"/>
    <n v="4"/>
    <n v="8"/>
    <x v="1"/>
    <x v="1"/>
    <x v="0"/>
    <d v="2026-02-02T00:00:00"/>
    <n v="2"/>
    <n v="140000"/>
    <n v="140000"/>
    <n v="0"/>
    <n v="140000"/>
    <n v="140000"/>
    <n v="0"/>
    <n v="3"/>
  </r>
  <r>
    <s v="10/12/2025"/>
    <s v="2025-9249"/>
    <s v="Higher Education Awards"/>
    <s v="Sonto Precious Masilela"/>
    <m/>
    <s v="Submitted"/>
    <s v="Under Review"/>
    <x v="2"/>
    <x v="0"/>
    <x v="1"/>
    <x v="0"/>
    <s v="BC"/>
    <s v="Complete"/>
    <s v="Completed"/>
    <x v="6"/>
    <s v="Stellenbosch University"/>
    <s v="PhD in Psychology"/>
    <s v="Exploring epilepsy treatment and management: A qualitative exploration of patient experiences in the Cape Winelands district, South Africa"/>
    <s v="Sam"/>
    <s v="Srila"/>
    <s v="Sam Kariuki"/>
    <s v="Srila Roy"/>
    <n v="78.571428571428569"/>
    <n v="89.285714285714292"/>
    <n v="83.928571428571431"/>
    <n v="4"/>
    <n v="5"/>
    <n v="9"/>
    <x v="1"/>
    <x v="1"/>
    <x v="0"/>
    <d v="2026-01-19T00:00:00"/>
    <n v="3"/>
    <n v="145550"/>
    <n v="174050"/>
    <n v="212550"/>
    <n v="145550"/>
    <n v="174050"/>
    <n v="212550"/>
    <n v="3"/>
  </r>
  <r>
    <s v="10/12/2025"/>
    <s v="2025-8922"/>
    <s v="Higher Education Awards"/>
    <s v="Thulile Gamedze"/>
    <m/>
    <s v="Submitted"/>
    <s v="Under Review"/>
    <x v="2"/>
    <x v="0"/>
    <x v="1"/>
    <x v="0"/>
    <s v="BC"/>
    <s v="Complete"/>
    <s v="Completed"/>
    <x v="7"/>
    <s v="University of the Western Cape"/>
    <s v="History: Visual History and Theory"/>
    <s v="Worn Pedagogy: Clothing as Archive with the 'After Library'"/>
    <s v="Janine"/>
    <s v="Maureen"/>
    <s v="Janine Allen-Spies"/>
    <s v="Maureen De Jager"/>
    <n v="72.222222222222214"/>
    <n v="80.555555555555557"/>
    <n v="76.388888888888886"/>
    <n v="3"/>
    <n v="5"/>
    <n v="8"/>
    <x v="1"/>
    <x v="0"/>
    <x v="0"/>
    <d v="2026-02-09T00:00:00"/>
    <n v="3"/>
    <n v="314518.59999999998"/>
    <n v="287755.28999999998"/>
    <n v="308117.58"/>
    <n v="314518.59999999998"/>
    <n v="287755.28999999998"/>
    <n v="308117.58"/>
    <n v="3"/>
  </r>
  <r>
    <s v="10/12/2025"/>
    <s v="2025-8521"/>
    <s v="Higher Education Awards"/>
    <s v="Vukosi Marivate"/>
    <m/>
    <s v="Submitted"/>
    <s v="Under Review"/>
    <x v="3"/>
    <x v="0"/>
    <x v="0"/>
    <x v="1"/>
    <s v="BC"/>
    <s v="Complete"/>
    <s v="Completed"/>
    <x v="0"/>
    <s v="Multiple"/>
    <s v="Sabbatical"/>
    <s v="Evaluation of Language Models for African languages and setting up AfriDSAI"/>
    <s v="Clint"/>
    <s v="Daniel"/>
    <s v="Clint van Alten"/>
    <s v="Daniel Ramotsoela"/>
    <n v="67.5"/>
    <n v="80"/>
    <n v="73.75"/>
    <n v="3"/>
    <n v="5"/>
    <n v="8"/>
    <x v="0"/>
    <x v="0"/>
    <x v="0"/>
    <d v="2025-02-03T00:00:00"/>
    <n v="1"/>
    <n v="240000"/>
    <n v="0"/>
    <n v="0"/>
    <n v="240000"/>
    <n v="0"/>
    <n v="0"/>
    <n v="3"/>
  </r>
  <r>
    <s v="10/12/2025"/>
    <s v="2025-9123"/>
    <s v="Higher Education Awards"/>
    <s v="Kagiso Nkosi"/>
    <m/>
    <s v="Submitted"/>
    <s v="Under Review"/>
    <x v="1"/>
    <x v="0"/>
    <x v="0"/>
    <x v="0"/>
    <s v="BC"/>
    <s v="Complete"/>
    <s v="Completed"/>
    <x v="1"/>
    <s v="University of the Witwatersrand"/>
    <s v="Post doctoral fellowship"/>
    <s v="Trapped in the Promise: Economic Insecurity and The Aftermath of Ascetic policies and practices in South Africa"/>
    <s v="Sam"/>
    <s v="Srila"/>
    <s v="Sam Kariuki"/>
    <s v="Srila Roy"/>
    <n v="88.888888888888886"/>
    <n v="83.333333333333343"/>
    <n v="86.111111111111114"/>
    <n v="4"/>
    <n v="4"/>
    <n v="8"/>
    <x v="1"/>
    <x v="1"/>
    <x v="0"/>
    <d v="2025-12-01T00:00:00"/>
    <n v="2"/>
    <n v="500000"/>
    <n v="500000"/>
    <n v="0"/>
    <n v="500000"/>
    <n v="500000"/>
    <n v="0"/>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1">
  <r>
    <s v="10/12/2025"/>
    <s v="2025-6809"/>
    <s v="Higher Education Awards"/>
    <s v="George Thulani koko"/>
    <s v="thulanikoko24@gmail.com"/>
    <x v="0"/>
    <x v="0"/>
    <x v="0"/>
    <x v="0"/>
    <x v="0"/>
    <x v="0"/>
    <s v="Natural Sciences"/>
    <s v="EM"/>
    <x v="0"/>
    <s v="Draft"/>
    <s v="University of Johanneburg"/>
    <s v="MSc in Physics"/>
    <s v="Physical properties of the (Cr84Re16)100-xMox alloy system"/>
    <d v="2025-02-01T00:00:00"/>
    <n v="2"/>
    <s v="_x000d__x000a_24850_x000d__x000a_"/>
    <s v="_x000d__x000a_24850_x000d__x000a_"/>
    <s v="_x000d__x000a_0_x000d__x000a_"/>
  </r>
  <r>
    <s v="10/12/2025"/>
    <s v="2025-6817"/>
    <s v="Higher Education Awards"/>
    <s v="Sarah Molepo"/>
    <s v="mphomolepo50@gmail.com"/>
    <x v="1"/>
    <x v="0"/>
    <x v="0"/>
    <x v="1"/>
    <x v="0"/>
    <x v="1"/>
    <s v="Other"/>
    <s v="CB"/>
    <x v="1"/>
    <s v="Completed"/>
    <s v="Stellenbosch University"/>
    <s v="Masters in Urban and regional planning"/>
    <s v="planning sustainable cities in developing countries"/>
    <d v="2025-01-17T00:00:00"/>
    <n v="2"/>
    <s v="_x000d__x000a_107400_x000d__x000a_"/>
    <s v="_x000d__x000a_107400_x000d__x000a_"/>
    <s v="_x000d__x000a_0_x000d__x000a_"/>
  </r>
  <r>
    <s v="10/12/2025"/>
    <s v="2025-6830"/>
    <s v="Higher Education Awards"/>
    <s v="Andile Stingi"/>
    <s v="stingiandile@gmail.com"/>
    <x v="0"/>
    <x v="0"/>
    <x v="0"/>
    <x v="0"/>
    <x v="0"/>
    <x v="2"/>
    <s v="Humanities"/>
    <s v="EM"/>
    <x v="0"/>
    <s v="Completed"/>
    <s v="University of Johannesburg"/>
    <s v="MA in Social Impact Assessment"/>
    <s v="The Impact of South Africa's National Health Insurance Policy on Health Outcomes and Socioeconomic Equity"/>
    <d v="2025-02-10T00:00:00"/>
    <n v="2"/>
    <s v="_x000d__x000a_75460_x000d__x000a_"/>
    <s v="_x000d__x000a_75460_x000d__x000a_"/>
    <s v="_x000d__x000a_0_x000d__x000a_"/>
  </r>
  <r>
    <s v="10/12/2025"/>
    <s v="2025-6845"/>
    <s v="Higher Education Awards"/>
    <s v="Thato Nsele"/>
    <s v="naiiragirl@gmail.com"/>
    <x v="1"/>
    <x v="0"/>
    <x v="0"/>
    <x v="1"/>
    <x v="1"/>
    <x v="3"/>
    <s v="Performing &amp; Creative Arts"/>
    <s v="CB"/>
    <x v="1"/>
    <s v="Completed"/>
    <s v="Berklee College of music"/>
    <s v="Music"/>
    <s v="Jazz composition"/>
    <d v="2025-05-01T00:00:00"/>
    <n v="3"/>
    <s v="_x000d__x000a_569118.45_x000d__x000a_"/>
    <s v="_x000d__x000a_569118.45_x000d__x000a_"/>
    <s v="_x000d__x000a_569118.45_x000d__x000a_"/>
  </r>
  <r>
    <s v="10/12/2025"/>
    <s v="2025-6877"/>
    <s v="Higher Education Awards"/>
    <s v="Dimpho Chaoana"/>
    <s v="dimphochaoana88@gmail.com"/>
    <x v="1"/>
    <x v="0"/>
    <x v="0"/>
    <x v="1"/>
    <x v="0"/>
    <x v="2"/>
    <s v="Humanities"/>
    <s v="CB"/>
    <x v="2"/>
    <s v="Completed"/>
    <s v="Rhodes University"/>
    <s v="Masters in African language"/>
    <s v="Investigating the importance of IsiXhosa traditions in contemporary writing and its influence on cultural identity and representation. This topic could include examining how IsiXhosa folk tales, myths, and legends are reinterpreted and incorporated into contemporary literary works such as novels(Uphononongonzulu ngempembelelo nomzila woncwadi lwemveli, ulwazi lwemveli neenkolelo zemveli kuncwadi lwale mihla.)"/>
    <d v="2026-01-20T00:00:00"/>
    <n v="2"/>
    <s v="_x000d__x000a_80494_x000d__x000a_"/>
    <s v="_x000d__x000a_80494_x000d__x000a_"/>
    <s v="_x000d__x000a_0_x000d__x000a_"/>
  </r>
  <r>
    <s v="10/12/2025"/>
    <s v="2025-6879"/>
    <s v="Higher Education Awards"/>
    <s v="Anomusa Magwa"/>
    <s v="magwaanomusa@gmail.com"/>
    <x v="1"/>
    <x v="0"/>
    <x v="0"/>
    <x v="1"/>
    <x v="0"/>
    <x v="2"/>
    <s v="Humanities"/>
    <s v="CB"/>
    <x v="3"/>
    <s v="Completed"/>
    <s v="Rhodes University"/>
    <s v="Masters in African languages"/>
    <s v="Multilingualism"/>
    <d v="2025-02-03T00:00:00"/>
    <n v="2"/>
    <s v="_x000d__x000a_104000_x000d__x000a_"/>
    <s v="_x000d__x000a_104000_x000d__x000a_"/>
    <s v="_x000d__x000a_0_x000d__x000a_"/>
  </r>
  <r>
    <s v="10/12/2025"/>
    <s v="2025-6888"/>
    <s v="Higher Education Awards"/>
    <s v="Lehlohonolo Yphodiah Mapatha"/>
    <s v="yphodiahlym@gmail.com"/>
    <x v="0"/>
    <x v="0"/>
    <x v="0"/>
    <x v="1"/>
    <x v="0"/>
    <x v="4"/>
    <s v="Commerce &amp; Management"/>
    <s v="EM"/>
    <x v="0"/>
    <s v="Completed"/>
    <s v="University of Johannesburg"/>
    <s v="Master MPhil in Innovation and Development (RD)"/>
    <s v="Frugal Innovations guiding water management policies in mining, northwest."/>
    <d v="2025-02-18T00:00:00"/>
    <n v="2"/>
    <s v="_x000d__x000a_111590_x000d__x000a_"/>
    <s v="_x000d__x000a_111590_x000d__x000a_"/>
    <s v="_x000d__x000a_0_x000d__x000a_"/>
  </r>
  <r>
    <s v="10/12/2025"/>
    <s v="2025-6907"/>
    <s v="Higher Education Awards"/>
    <s v="Lara Stevens"/>
    <s v="22707328@sun.ac.za"/>
    <x v="0"/>
    <x v="0"/>
    <x v="1"/>
    <x v="1"/>
    <x v="0"/>
    <x v="5"/>
    <s v="Natural Sciences"/>
    <s v="EM"/>
    <x v="0"/>
    <s v="Completed"/>
    <s v="Stellenbosch University"/>
    <s v="Geo Environmental Science"/>
    <s v="Using environmnetal tracers to determine the balance and influence of fresh inputs for the Wilderness Lakes System, Wilderness, South Africa."/>
    <d v="2025-01-13T00:00:00"/>
    <n v="1"/>
    <s v="_x000d__x000a_32972_x000d__x000a_"/>
    <s v="_x000d__x000a_0_x000d__x000a_"/>
    <s v="_x000d__x000a_0_x000d__x000a_"/>
  </r>
  <r>
    <s v="10/12/2025"/>
    <s v="2025-6911"/>
    <s v="Higher Education Awards"/>
    <s v="Falida Nkomo"/>
    <s v="Nkomofalida@gmail.com"/>
    <x v="0"/>
    <x v="0"/>
    <x v="0"/>
    <x v="1"/>
    <x v="0"/>
    <x v="2"/>
    <s v="Humanities"/>
    <s v="CB"/>
    <x v="0"/>
    <s v="Completed"/>
    <s v="University of witswatersrand"/>
    <s v="Masters of fine arts by research"/>
    <s v="Repatriation through cultural identity"/>
    <d v="2025-02-12T00:00:00"/>
    <n v="2"/>
    <s v="_x000d__x000a_39200_x000d__x000a_"/>
    <s v="_x000d__x000a_39200_x000d__x000a_"/>
    <s v="_x000d__x000a_0_x000d__x000a_"/>
  </r>
  <r>
    <s v="10/12/2025"/>
    <s v="2025-6919"/>
    <s v="Higher Education Awards"/>
    <s v="Khothatso Lebesana"/>
    <s v="khothatsolebesana1@gmail.com"/>
    <x v="2"/>
    <x v="0"/>
    <x v="0"/>
    <x v="0"/>
    <x v="0"/>
    <x v="5"/>
    <s v="Natural Sciences"/>
    <s v="CB"/>
    <x v="4"/>
    <s v="Draft"/>
    <s v="University of the Western Cape"/>
    <s v="MSc Biotechnology"/>
    <s v="Investigating the effects and stress tolerance in Marchantia polymorpha in response to cadmium and salinity stress"/>
    <d v="2025-02-10T00:00:00"/>
    <n v="2"/>
    <s v="_x000d__x000a_130600_x000d__x000a_"/>
    <s v="_x000d__x000a_85000_x000d__x000a_"/>
    <s v="_x000d__x000a_0_x000d__x000a_"/>
  </r>
  <r>
    <s v="10/12/2025"/>
    <s v="2025-6927"/>
    <s v="Higher Education Awards"/>
    <s v="Ofile Oleseng"/>
    <s v="olesengofile@gmail.com"/>
    <x v="1"/>
    <x v="0"/>
    <x v="0"/>
    <x v="1"/>
    <x v="0"/>
    <x v="6"/>
    <s v="Social Sciences"/>
    <s v="CB"/>
    <x v="3"/>
    <s v="Completed"/>
    <s v="Stellenbosch University"/>
    <s v="Masters of Arts in Geography and Environmental studies"/>
    <s v="The Kasi Economy in the Post-Apartheid Era: A Critical Analysis of Spatial Planning and Local Economic Development in Huhudi"/>
    <d v="2025-01-22T00:00:00"/>
    <n v="2"/>
    <s v="_x000d__x000a_121000_x000d__x000a_"/>
    <s v="_x000d__x000a_6000_x000d__x000a_"/>
    <s v="_x000d__x000a_0_x000d__x000a_"/>
  </r>
  <r>
    <s v="10/12/2025"/>
    <s v="2025-6931"/>
    <s v="Higher Education Awards"/>
    <s v="Banathi Sihole"/>
    <s v="bsihole16@gmail.com"/>
    <x v="1"/>
    <x v="0"/>
    <x v="0"/>
    <x v="1"/>
    <x v="0"/>
    <x v="7"/>
    <s v="Law"/>
    <s v="EM"/>
    <x v="5"/>
    <s v="Completed"/>
    <s v="University of Fort Hare"/>
    <s v="LLM Masters"/>
    <s v="Human Rights"/>
    <d v="2025-02-10T00:00:00"/>
    <n v="2"/>
    <s v="_x000d__x000a_55542.6_x000d__x000a_"/>
    <s v="_x000d__x000a_55542.6_x000d__x000a_"/>
    <s v="_x000d__x000a_0_x000d__x000a_"/>
  </r>
  <r>
    <s v="10/12/2025"/>
    <s v="2025-6939"/>
    <s v="Higher Education Awards"/>
    <s v="Sibulele Mvenyeza"/>
    <s v="sibulelemvenyeza@gmail.com"/>
    <x v="0"/>
    <x v="0"/>
    <x v="0"/>
    <x v="0"/>
    <x v="0"/>
    <x v="8"/>
    <s v="Health Sciences"/>
    <s v="EM"/>
    <x v="0"/>
    <s v="Completed"/>
    <s v="University of Cape Town"/>
    <s v="Genetic counselling"/>
    <s v="The genetic counselling of infertility related cytogenetic and genomic abnormalities"/>
    <d v="2025-02-02T00:00:00"/>
    <n v="2"/>
    <s v="_x000d__x000a_80000_x000d__x000a_"/>
    <s v="_x000d__x000a_55000_x000d__x000a_"/>
    <s v="_x000d__x000a_0_x000d__x000a_"/>
  </r>
  <r>
    <s v="10/12/2025"/>
    <s v="2025-6941"/>
    <s v="Higher Education Awards"/>
    <s v="Mukovhe Seaba"/>
    <s v="NAKIESEABA@GMAIL.COM"/>
    <x v="1"/>
    <x v="0"/>
    <x v="0"/>
    <x v="1"/>
    <x v="0"/>
    <x v="1"/>
    <s v="Engineering &amp; the Built Environment"/>
    <s v="CB"/>
    <x v="1"/>
    <s v="Completed"/>
    <s v="University of Johannesburg"/>
    <s v="MEng Electrical Engineering"/>
    <s v="Electrical Engineering (Power Electronics)"/>
    <d v="2025-02-03T00:00:00"/>
    <n v="2"/>
    <s v="_x000d__x000a_152427_x000d__x000a_"/>
    <s v="_x000d__x000a_53000_x000d__x000a_"/>
    <s v="_x000d__x000a_0_x000d__x000a_"/>
  </r>
  <r>
    <s v="10/12/2025"/>
    <s v="2025-6952"/>
    <s v="Higher Education Awards"/>
    <s v="Mbali Ngobese"/>
    <s v="mbalingobese371@icloud.com"/>
    <x v="0"/>
    <x v="0"/>
    <x v="0"/>
    <x v="1"/>
    <x v="0"/>
    <x v="8"/>
    <s v="Health Sciences"/>
    <s v="CB"/>
    <x v="0"/>
    <s v="Draft"/>
    <s v="University of Stellenbosch"/>
    <s v="Master of Philosophy in Health Systems"/>
    <s v="Health Systems, Public Health, Biostatistics, Epidemiology, Economic Evaluation in Health care, Global Health and systemic reviews, meta data analysis and qualitative research methods"/>
    <d v="2025-02-03T00:00:00"/>
    <n v="2"/>
    <s v="_x000d__x000a_249619_x000d__x000a_"/>
    <s v="_x000d__x000a_249619_x000d__x000a_"/>
    <s v="_x000d__x000a_0_x000d__x000a_"/>
  </r>
  <r>
    <s v="10/12/2025"/>
    <s v="2025-6956"/>
    <s v="Higher Education Awards"/>
    <s v="Nthabiseng Letsatsi"/>
    <s v="nthabiara@gmail.com"/>
    <x v="3"/>
    <x v="0"/>
    <x v="0"/>
    <x v="1"/>
    <x v="0"/>
    <x v="8"/>
    <s v="Health Sciences"/>
    <s v="EM"/>
    <x v="0"/>
    <s v="Completed"/>
    <s v="University of Cape Town"/>
    <s v="Master of Public Health in Health Systems"/>
    <s v="Bridging Policy and Practice: Integrating Cervical Cancer Screening Guidelines with Reproductive Health Services in Resource-Limited Settings."/>
    <d v="2026-01-26T00:00:00"/>
    <n v="1"/>
    <s v="_x000d__x000a_172500_x000d__x000a_"/>
    <s v="_x000d__x000a_0_x000d__x000a_"/>
    <s v="_x000d__x000a_0_x000d__x000a_"/>
  </r>
  <r>
    <s v="10/12/2025"/>
    <s v="2025-6972"/>
    <s v="Higher Education Awards"/>
    <s v="Tshau Radzhadzhi"/>
    <s v="radzhadzhitshau73@gmail.com"/>
    <x v="1"/>
    <x v="0"/>
    <x v="0"/>
    <x v="0"/>
    <x v="0"/>
    <x v="8"/>
    <s v="Health Sciences"/>
    <s v="CB"/>
    <x v="6"/>
    <s v="Completed"/>
    <s v="Stellenbosch University"/>
    <s v="MPhil Cancer Science"/>
    <s v="Cancer Science"/>
    <d v="2025-02-07T00:00:00"/>
    <n v="2"/>
    <s v="_x000d__x000a_153000_x000d__x000a_"/>
    <s v="_x000d__x000a_149000_x000d__x000a_"/>
    <s v="_x000d__x000a_0_x000d__x000a_"/>
  </r>
  <r>
    <s v="10/12/2025"/>
    <s v="2025-7025"/>
    <s v="Higher Education Awards"/>
    <s v="Bwateketa KABENGELE"/>
    <s v="oli.kabengele@outlook.com"/>
    <x v="3"/>
    <x v="0"/>
    <x v="0"/>
    <x v="0"/>
    <x v="0"/>
    <x v="0"/>
    <s v="Applied Sciences"/>
    <s v="CB"/>
    <x v="7"/>
    <s v="Draft"/>
    <s v="University of the Witwatersrand Johannesburg"/>
    <s v="Master of Science"/>
    <s v="DATA SCIENCE"/>
    <d v="2025-02-10T00:00:00"/>
    <n v="1"/>
    <s v="_x000d__x000a_195376_x000d__x000a_"/>
    <s v="_x000d__x000a_0_x000d__x000a_"/>
    <s v="_x000d__x000a_0_x000d__x000a_"/>
  </r>
  <r>
    <s v="10/12/2025"/>
    <s v="2025-7036"/>
    <s v="Higher Education Awards"/>
    <s v="Aluwani Chokoe"/>
    <s v="aluchokoe1@icloud.com"/>
    <x v="3"/>
    <x v="0"/>
    <x v="0"/>
    <x v="1"/>
    <x v="0"/>
    <x v="4"/>
    <s v="Commerce &amp; Management"/>
    <s v="CB"/>
    <x v="8"/>
    <s v="Draft"/>
    <s v="Nelson Mandela University"/>
    <s v="Mphil Development Finance"/>
    <s v="Effectiveness of DFIs in driving economic growth"/>
    <d v="2025-02-03T00:00:00"/>
    <n v="2"/>
    <s v="_x000d__x000a_52000_x000d__x000a_"/>
    <s v="_x000d__x000a_22000_x000d__x000a_"/>
    <s v="_x000d__x000a_0_x000d__x000a_"/>
  </r>
  <r>
    <s v="10/12/2025"/>
    <s v="2025-7083"/>
    <s v="Higher Education Awards"/>
    <s v="Ayabulela maqokolo"/>
    <s v="maqokoloayabulela815@gmail.com"/>
    <x v="1"/>
    <x v="0"/>
    <x v="0"/>
    <x v="0"/>
    <x v="0"/>
    <x v="8"/>
    <s v="Health Sciences"/>
    <s v="CB"/>
    <x v="1"/>
    <s v="Completed"/>
    <s v="Stellenbosch University"/>
    <s v="Masters in Medical Physiology"/>
    <s v="The impact of HIV on Mitochondrial function"/>
    <d v="2025-02-10T00:00:00"/>
    <n v="2"/>
    <s v="_x000d__x000a_160000_x000d__x000a_"/>
    <s v="_x000d__x000a_160000_x000d__x000a_"/>
    <s v="_x000d__x000a_0_x000d__x000a_"/>
  </r>
  <r>
    <s v="10/12/2025"/>
    <s v="2025-7091"/>
    <s v="Higher Education Awards"/>
    <s v="Thulani Dimisani Sibiya"/>
    <s v="thoolaaneer924@gmail.com"/>
    <x v="1"/>
    <x v="0"/>
    <x v="0"/>
    <x v="0"/>
    <x v="0"/>
    <x v="5"/>
    <s v="Natural Sciences"/>
    <s v="EM"/>
    <x v="5"/>
    <s v="Completed"/>
    <s v="University of Zululand"/>
    <s v="MSc Med Medical Microbiology"/>
    <s v="The Fate and Antibiogram Profile of Klebsiella Pneumonie Isolated from pre and post-chlorinated wastewater in the northern KwaZulu-Natal and their inactivation using Buchu- Tea Zn and Fe mediated nanoparticles."/>
    <d v="2025-02-12T00:00:00"/>
    <n v="2"/>
    <s v="_x000d__x000a_117000_x000d__x000a_"/>
    <s v="_x000d__x000a_117000_x000d__x000a_"/>
    <s v="_x000d__x000a_0_x000d__x000a_"/>
  </r>
  <r>
    <s v="10/12/2025"/>
    <s v="2025-7103"/>
    <s v="Higher Education Awards"/>
    <s v="CAROLINE KHOZA"/>
    <s v="carolinekhoza76@gmail.com"/>
    <x v="1"/>
    <x v="0"/>
    <x v="0"/>
    <x v="1"/>
    <x v="0"/>
    <x v="2"/>
    <s v="Humanities"/>
    <s v="EM"/>
    <x v="5"/>
    <s v="Completed"/>
    <s v="University of Limpopo"/>
    <s v="Master of Arts in Media Studies"/>
    <s v="Social Media as a Catalyst for Advocating Social Change: A Case Study of TikTok and X in the Context of Raising Awareness and Mobilising Action against Gender-Based Violence (GBV) in South Africa"/>
    <d v="2025-01-14T00:00:00"/>
    <n v="2"/>
    <s v="_x000d__x000a_122700_x000d__x000a_"/>
    <s v="_x000d__x000a_107700_x000d__x000a_"/>
    <s v="_x000d__x000a_0_x000d__x000a_"/>
  </r>
  <r>
    <s v="10/12/2025"/>
    <s v="2025-7115"/>
    <s v="Higher Education Awards"/>
    <s v="Nicholus sukumani"/>
    <s v="sukumaninicholus18@gmail.com"/>
    <x v="0"/>
    <x v="0"/>
    <x v="0"/>
    <x v="0"/>
    <x v="0"/>
    <x v="1"/>
    <s v="Engineering &amp; the Built Environment"/>
    <s v="EM"/>
    <x v="0"/>
    <s v="Completed"/>
    <s v="University of Johannesburg"/>
    <s v="MSc in Environmental management"/>
    <s v="Innovative solutions in South Africa"/>
    <d v="2026-01-26T00:00:00"/>
    <n v="2"/>
    <s v="_x000d__x000a_122000_x000d__x000a_"/>
    <s v="_x000d__x000a_122000_x000d__x000a_"/>
    <s v="_x000d__x000a_0_x000d__x000a_"/>
  </r>
  <r>
    <s v="10/12/2025"/>
    <s v="2025-7141"/>
    <s v="Higher Education Awards"/>
    <s v="Fikelela Poswa"/>
    <s v="fikelelap@gmail.com"/>
    <x v="0"/>
    <x v="0"/>
    <x v="0"/>
    <x v="1"/>
    <x v="0"/>
    <x v="2"/>
    <s v="Humanities"/>
    <s v="CB"/>
    <x v="0"/>
    <s v="Completed"/>
    <s v="Nelson Mandela University"/>
    <s v="Masters in African languages"/>
    <s v="Reason for broken marriages in African cultures"/>
    <d v="2025-02-03T00:00:00"/>
    <n v="1"/>
    <s v="_x000d__x000a_33370_x000d__x000a_"/>
    <s v="_x000d__x000a_15000_x000d__x000a_"/>
    <s v="_x000d__x000a_0_x000d__x000a_"/>
  </r>
  <r>
    <s v="10/12/2025"/>
    <s v="2025-7147"/>
    <s v="Higher Education Awards"/>
    <s v="Sefako Oscar Mosiane"/>
    <s v="oscar.mosiane@gmail.com"/>
    <x v="1"/>
    <x v="0"/>
    <x v="0"/>
    <x v="0"/>
    <x v="0"/>
    <x v="2"/>
    <s v="Humanities"/>
    <s v="CB"/>
    <x v="1"/>
    <s v="Completed"/>
    <s v="North West University"/>
    <s v="Masters in Communications"/>
    <s v="The use of Indigenous Language for stakeholder communication in government: case study of North West Department of Agriculture &amp; Rural Development"/>
    <d v="2025-02-03T00:00:00"/>
    <n v="2"/>
    <s v="_x000d__x000a_30000_x000d__x000a_"/>
    <s v="_x000d__x000a_12000_x000d__x000a_"/>
    <s v="_x000d__x000a_0_x000d__x000a_"/>
  </r>
  <r>
    <s v="10/12/2025"/>
    <s v="2025-7164"/>
    <s v="Higher Education Awards"/>
    <s v="Haajira Khoza"/>
    <s v="haajirakhoza@gmail.com"/>
    <x v="1"/>
    <x v="0"/>
    <x v="0"/>
    <x v="1"/>
    <x v="0"/>
    <x v="2"/>
    <s v="Humanities"/>
    <s v="EM"/>
    <x v="1"/>
    <s v="Draft"/>
    <s v="UJ"/>
    <s v="Masters"/>
    <s v="STEM"/>
    <d v="2025-02-01T00:00:00"/>
    <n v="2"/>
    <s v="_x000d__x000a_50000_x000d__x000a_"/>
    <s v="_x000d__x000a_40000_x000d__x000a_"/>
    <s v="_x000d__x000a_0_x000d__x000a_"/>
  </r>
  <r>
    <s v="10/12/2025"/>
    <s v="2025-7167"/>
    <s v="Higher Education Awards"/>
    <s v="Thuso Walter KHAMELI"/>
    <s v="Khamelithuso@gmail.com"/>
    <x v="1"/>
    <x v="0"/>
    <x v="0"/>
    <x v="0"/>
    <x v="0"/>
    <x v="8"/>
    <s v="Health Sciences"/>
    <s v="CB"/>
    <x v="2"/>
    <s v="Completed"/>
    <s v="University of Western Cape"/>
    <s v="Master of Philosophy sport for Development"/>
    <s v="The role of sport in promoting gender equality in Vhembe District, Limpopo"/>
    <d v="2025-03-10T00:00:00"/>
    <n v="2"/>
    <s v="_x000d__x000a_111775_x000d__x000a_"/>
    <s v="_x000d__x000a_86735_x000d__x000a_"/>
    <s v="_x000d__x000a_0_x000d__x000a_"/>
  </r>
  <r>
    <s v="10/12/2025"/>
    <s v="2025-7178"/>
    <s v="Higher Education Awards"/>
    <s v="Ntando Dlamini"/>
    <s v="ntandod51@gmail.com"/>
    <x v="1"/>
    <x v="0"/>
    <x v="0"/>
    <x v="0"/>
    <x v="0"/>
    <x v="8"/>
    <s v="Health Sciences"/>
    <s v="CB"/>
    <x v="3"/>
    <s v="Completed"/>
    <s v="DUT"/>
    <s v="Environmental health"/>
    <s v="Environmental protection"/>
    <d v="2025-02-01T00:00:00"/>
    <n v="3"/>
    <s v="_x000d__x000a_43000_x000d__x000a_"/>
    <s v="_x000d__x000a_43000_x000d__x000a_"/>
    <s v="_x000d__x000a_43000_x000d__x000a_"/>
  </r>
  <r>
    <s v="10/12/2025"/>
    <s v="2025-7179"/>
    <s v="Higher Education Awards"/>
    <s v="Zandile Maluleke"/>
    <s v="zandileamanda32.za@gmail.com"/>
    <x v="0"/>
    <x v="0"/>
    <x v="0"/>
    <x v="1"/>
    <x v="0"/>
    <x v="8"/>
    <s v="Health Sciences"/>
    <s v="CB"/>
    <x v="0"/>
    <s v="Draft"/>
    <s v="University of Cape Town"/>
    <s v="Master of Audiology (by dissertation only)"/>
    <s v="Prevalence of vestibular disorders in children"/>
    <d v="2025-02-17T00:00:00"/>
    <n v="2"/>
    <s v="_x000d__x000a_182240_x000d__x000a_"/>
    <s v="_x000d__x000a_182240_x000d__x000a_"/>
    <s v="_x000d__x000a_0_x000d__x000a_"/>
  </r>
  <r>
    <s v="10/12/2025"/>
    <s v="2025-7181"/>
    <s v="Higher Education Awards"/>
    <s v="Mahlatse Masia"/>
    <s v="mahlatse022@gmail.com"/>
    <x v="0"/>
    <x v="0"/>
    <x v="0"/>
    <x v="0"/>
    <x v="0"/>
    <x v="0"/>
    <s v="Applied Sciences"/>
    <s v="EM"/>
    <x v="0"/>
    <s v="Draft"/>
    <s v="University of Limpopo"/>
    <s v="Master of Science Dissertation in Mathematics"/>
    <s v="Linear Maps on Operator Algebras"/>
    <d v="2025-01-11T00:00:00"/>
    <n v="2"/>
    <s v="_x000d__x000a_134220_x000d__x000a_"/>
    <s v="_x000d__x000a_134220_x000d__x000a_"/>
    <s v="_x000d__x000a_0_x000d__x000a_"/>
  </r>
  <r>
    <s v="10/12/2025"/>
    <s v="2025-7197"/>
    <s v="Higher Education Awards"/>
    <s v="Azwihangwisi Netshamutavha"/>
    <s v="netshamutavhaazwihangwisi071@gmail.com"/>
    <x v="3"/>
    <x v="0"/>
    <x v="0"/>
    <x v="0"/>
    <x v="0"/>
    <x v="7"/>
    <s v="Law"/>
    <s v="CB"/>
    <x v="9"/>
    <s v="Draft"/>
    <s v="University of Venda"/>
    <s v="Master of Laws"/>
    <s v="A critical analysis of the judicial interpretation of acceptable tender'' in Public Procurement: An examination of the South African Court's application of the Preferential Procurement Policy Framework Act 5 of 2000."/>
    <d v="2025-01-06T00:00:00"/>
    <n v="2"/>
    <s v="_x000d__x000a_70000_x000d__x000a_"/>
    <s v="_x000d__x000a_70000_x000d__x000a_"/>
    <s v="_x000d__x000a_0_x000d__x000a_"/>
  </r>
  <r>
    <s v="10/12/2025"/>
    <s v="2025-7208"/>
    <s v="Higher Education Awards"/>
    <s v="Katlego Papalagae"/>
    <s v="Mrpapalagaek@gmail.com"/>
    <x v="1"/>
    <x v="0"/>
    <x v="0"/>
    <x v="0"/>
    <x v="0"/>
    <x v="2"/>
    <s v="Humanities"/>
    <s v="CB"/>
    <x v="2"/>
    <s v="Completed"/>
    <s v="North West University"/>
    <s v="Masters of Social Science with International Relations"/>
    <s v="Intra-African Trade Relations and Regional Integration"/>
    <d v="2025-02-01T00:00:00"/>
    <n v="2"/>
    <s v="_x000d__x000a_41911_x000d__x000a_"/>
    <s v="_x000d__x000a_91911_x000d__x000a_"/>
    <s v="_x000d__x000a_0_x000d__x000a_"/>
  </r>
  <r>
    <s v="10/12/2025"/>
    <s v="2025-7211"/>
    <s v="Higher Education Awards"/>
    <s v="Reabetswe Maputle"/>
    <s v="reammaputle@gmail.com"/>
    <x v="0"/>
    <x v="0"/>
    <x v="0"/>
    <x v="1"/>
    <x v="0"/>
    <x v="8"/>
    <s v="Health Sciences"/>
    <s v="EM"/>
    <x v="0"/>
    <s v="Draft"/>
    <s v="University of the Witwatersrand"/>
    <s v="MSc in Medicine (clinical and experimental pharmacology)"/>
    <s v="Influence of Terpenoids on Topical Repellent Bioavailability and Safety"/>
    <d v="2026-01-31T00:00:00"/>
    <n v="1"/>
    <s v="_x000d__x000a_-36841_x000d__x000a_"/>
    <s v="_x000d__x000a_-36841_x000d__x000a_"/>
    <s v="_x000d__x000a_0_x000d__x000a_"/>
  </r>
  <r>
    <s v="10/12/2025"/>
    <s v="2025-7213"/>
    <s v="Higher Education Awards"/>
    <s v="Levy Maine"/>
    <s v="Mainelevy@gmail.com"/>
    <x v="3"/>
    <x v="0"/>
    <x v="0"/>
    <x v="0"/>
    <x v="0"/>
    <x v="4"/>
    <s v="Commerce &amp; Management"/>
    <s v="CB"/>
    <x v="8"/>
    <s v="Draft"/>
    <s v="University of Cape Town"/>
    <s v="Masters in Development Finance"/>
    <s v="Development Finance"/>
    <d v="2025-03-17T00:00:00"/>
    <n v="2"/>
    <s v="_x000d__x000a_7750_x000d__x000a_"/>
    <s v="_x000d__x000a_149795_x000d__x000a_"/>
    <s v="_x000d__x000a_0_x000d__x000a_"/>
  </r>
  <r>
    <s v="10/12/2025"/>
    <s v="2025-7235"/>
    <s v="Higher Education Awards"/>
    <s v="Qiniso Sithole"/>
    <s v="qinisosithole13@gmail.com"/>
    <x v="3"/>
    <x v="0"/>
    <x v="0"/>
    <x v="0"/>
    <x v="0"/>
    <x v="2"/>
    <s v="Humanities"/>
    <s v="CB"/>
    <x v="0"/>
    <s v="Completed"/>
    <s v="University of Zululand"/>
    <s v="Masters in Social Work: Substance Abuse"/>
    <s v="Social Work intervention strategies related child development in families affected by parental substance misuse."/>
    <d v="2025-02-10T00:00:00"/>
    <n v="2"/>
    <s v="_x000d__x000a_53170_x000d__x000a_"/>
    <s v="_x000d__x000a_53170_x000d__x000a_"/>
    <s v="_x000d__x000a_0_x000d__x000a_"/>
  </r>
  <r>
    <s v="10/12/2025"/>
    <s v="2025-7266"/>
    <s v="Higher Education Awards"/>
    <s v="Xesibe Mcaleni"/>
    <s v="xmcaleni@gmail.com"/>
    <x v="1"/>
    <x v="0"/>
    <x v="0"/>
    <x v="0"/>
    <x v="0"/>
    <x v="1"/>
    <s v="Engineering &amp; the Built Environment"/>
    <s v="CB"/>
    <x v="1"/>
    <s v="Completed"/>
    <s v="University of the Witwatersrand"/>
    <s v="Master of Urban Studies"/>
    <s v="Housing and Human Settlements"/>
    <d v="2025-02-10T00:00:00"/>
    <n v="2"/>
    <s v="_x000d__x000a_236752_x000d__x000a_"/>
    <s v="_x000d__x000a_236752_x000d__x000a_"/>
    <s v="_x000d__x000a_0_x000d__x000a_"/>
  </r>
  <r>
    <s v="10/12/2025"/>
    <s v="2025-7269"/>
    <s v="Higher Education Awards"/>
    <s v="Azola Mtsali"/>
    <s v="azolaa707@gmail.com"/>
    <x v="0"/>
    <x v="0"/>
    <x v="0"/>
    <x v="0"/>
    <x v="0"/>
    <x v="6"/>
    <s v="Social Sciences"/>
    <s v="CB"/>
    <x v="0"/>
    <s v="Completed"/>
    <s v="North-West University"/>
    <s v="Master of Arts in History"/>
    <s v="Murder on the Norther Frontier: Racial Order and the Limits of Criminal Justice in the Cape Colony, c.1847 – 1880"/>
    <d v="2025-02-07T00:00:00"/>
    <n v="1"/>
    <s v="_x000d__x000a_131392_x000d__x000a_"/>
    <s v="_x000d__x000a_0_x000d__x000a_"/>
    <s v="_x000d__x000a_0_x000d__x000a_"/>
  </r>
  <r>
    <s v="10/12/2025"/>
    <s v="2025-7275"/>
    <s v="Higher Education Awards"/>
    <s v="Mzameleni Mthinjwa"/>
    <s v="mthinjwam@gmail.com"/>
    <x v="1"/>
    <x v="0"/>
    <x v="0"/>
    <x v="0"/>
    <x v="0"/>
    <x v="8"/>
    <s v="Health Sciences"/>
    <s v="CB"/>
    <x v="1"/>
    <s v="Draft"/>
    <s v="Walter Sisulu University-Mthatha campus"/>
    <s v="Masters of nursing science"/>
    <s v="Experiences of cancer patients receiving chemotherapy in a selected oncology unit at Oliver Reginald Tambo District in the Eastern Cape Province, South Africa "/>
    <d v="2025-03-03T00:00:00"/>
    <n v="2"/>
    <s v="_x000d__x000a_26120_x000d__x000a_"/>
    <s v="_x000d__x000a_26120_x000d__x000a_"/>
    <s v="_x000d__x000a_0_x000d__x000a_"/>
  </r>
  <r>
    <s v="10/12/2025"/>
    <s v="2025-7277"/>
    <s v="Higher Education Awards"/>
    <s v="Kaho Daniel"/>
    <s v="kahodaniel@icloud.com"/>
    <x v="1"/>
    <x v="0"/>
    <x v="0"/>
    <x v="1"/>
    <x v="0"/>
    <x v="8"/>
    <s v="Health Sciences"/>
    <s v="CB"/>
    <x v="6"/>
    <s v="Completed"/>
    <s v="University of the Witwatersrand"/>
    <s v="Master of Science in Epidemiology"/>
    <s v="Implementation Science"/>
    <d v="2025-01-20T00:00:00"/>
    <n v="2"/>
    <s v="_x000d__x000a_120000_x000d__x000a_"/>
    <s v="_x000d__x000a_120000_x000d__x000a_"/>
    <s v="_x000d__x000a_0_x000d__x000a_"/>
  </r>
  <r>
    <s v="10/12/2025"/>
    <s v="2025-7313"/>
    <s v="Higher Education Awards"/>
    <s v="GOITSEMODIMO MOLEFI"/>
    <s v="goitse.molefi04@gmail.com"/>
    <x v="1"/>
    <x v="0"/>
    <x v="0"/>
    <x v="0"/>
    <x v="0"/>
    <x v="0"/>
    <s v="Applied Sciences"/>
    <s v="CB"/>
    <x v="3"/>
    <s v="Completed"/>
    <s v="Sefako Makgatho Health Sciences University"/>
    <s v="Chemistry"/>
    <s v="Fabrication And Characterization Of ZnO/ Al2O4 Nanoparticles Material For The Photocatalytic Degradation Of Organic Dyes In Waste Water."/>
    <d v="2025-01-07T00:00:00"/>
    <n v="2"/>
    <s v="_x000d__x000a_132378_x000d__x000a_"/>
    <s v="_x000d__x000a_132378_x000d__x000a_"/>
    <s v="_x000d__x000a_0_x000d__x000a_"/>
  </r>
  <r>
    <s v="10/12/2025"/>
    <s v="2025-7321"/>
    <s v="Higher Education Awards"/>
    <s v="Amanda Mbimbi"/>
    <s v="mbmama002@myuct.ac.za"/>
    <x v="1"/>
    <x v="0"/>
    <x v="0"/>
    <x v="1"/>
    <x v="0"/>
    <x v="2"/>
    <s v="Humanities"/>
    <s v="EM"/>
    <x v="5"/>
    <s v="Completed"/>
    <s v="University of Cape Town"/>
    <s v="MA Sociology"/>
    <s v="the psychological and social impacts of employment through private agencies on black migrant domestic workers"/>
    <d v="2025-02-01T00:00:00"/>
    <n v="2"/>
    <s v="_x000d__x000a_150000_x000d__x000a_"/>
    <s v="_x000d__x000a_100000_x000d__x000a_"/>
    <s v="_x000d__x000a_0_x000d__x000a_"/>
  </r>
  <r>
    <s v="10/12/2025"/>
    <s v="2025-7329"/>
    <s v="Higher Education Awards"/>
    <s v="Gabriel Rossouw"/>
    <s v="gabrielrossouw67@gmail.com"/>
    <x v="1"/>
    <x v="0"/>
    <x v="2"/>
    <x v="0"/>
    <x v="0"/>
    <x v="3"/>
    <s v="Other"/>
    <s v="CB"/>
    <x v="5"/>
    <s v="Completed"/>
    <s v="Cape peninsula University of technology"/>
    <s v="Film and media"/>
    <s v="Informatics and design"/>
    <d v="2025-02-20T00:00:00"/>
    <n v="3"/>
    <s v="_x000d__x000a_39000_x000d__x000a_"/>
    <s v="_x000d__x000a_39000_x000d__x000a_"/>
    <s v="_x000d__x000a_40000_x000d__x000a_"/>
  </r>
  <r>
    <s v="10/12/2025"/>
    <s v="2025-7341"/>
    <s v="Higher Education Awards"/>
    <s v="Khanyisile Nkuna"/>
    <s v="Khanyisherz22@gmail.com"/>
    <x v="1"/>
    <x v="0"/>
    <x v="0"/>
    <x v="1"/>
    <x v="0"/>
    <x v="0"/>
    <s v="Applied Sciences"/>
    <s v="CB"/>
    <x v="2"/>
    <s v="Completed"/>
    <s v="University of the Witwatersrand"/>
    <s v="Masters by Dissertation"/>
    <s v="Gas sensing applications"/>
    <d v="2025-02-10T00:00:00"/>
    <n v="2"/>
    <s v="_x000d__x000a_180000_x000d__x000a_"/>
    <s v="_x000d__x000a_180000_x000d__x000a_"/>
    <s v="_x000d__x000a_0_x000d__x000a_"/>
  </r>
  <r>
    <s v="10/12/2025"/>
    <s v="2025-7351"/>
    <s v="Higher Education Awards"/>
    <s v="Sandile Biyela"/>
    <s v="sb6979525@gmail.com"/>
    <x v="0"/>
    <x v="0"/>
    <x v="0"/>
    <x v="0"/>
    <x v="0"/>
    <x v="1"/>
    <s v="Engineering &amp; the Built Environment"/>
    <s v="CB"/>
    <x v="0"/>
    <s v="Draft"/>
    <s v="University of KwaZulu-Natal"/>
    <s v="Engineering Science"/>
    <s v="Development of Solar Air Heater and Its Intergration into a Whole Maize Comb with Combine Dryer and Storage Unit for Smallholders Producers in Sub-Saharan Africa"/>
    <d v="2025-02-14T00:00:00"/>
    <n v="2"/>
    <s v="_x000d__x000a_84000_x000d__x000a_"/>
    <s v="_x000d__x000a_111000_x000d__x000a_"/>
    <s v="_x000d__x000a_0_x000d__x000a_"/>
  </r>
  <r>
    <s v="10/12/2025"/>
    <s v="2025-7354"/>
    <s v="Higher Education Awards"/>
    <s v="Thamsanqa Mbokazi"/>
    <s v="thank.mbokazi@gmail.com"/>
    <x v="0"/>
    <x v="0"/>
    <x v="0"/>
    <x v="0"/>
    <x v="0"/>
    <x v="2"/>
    <s v="Humanities"/>
    <s v="EM"/>
    <x v="0"/>
    <s v="Completed"/>
    <s v="Durban University of Technology"/>
    <s v="Masters Degree"/>
    <s v="Addressing Homelessness in eThekwini Municipality: A Comprehensive Strategy"/>
    <d v="2025-02-21T00:00:00"/>
    <n v="2"/>
    <s v="_x000d__x000a_177660_x000d__x000a_"/>
    <s v="_x000d__x000a_169000_x000d__x000a_"/>
    <s v="_x000d__x000a_0_x000d__x000a_"/>
  </r>
  <r>
    <s v="10/12/2025"/>
    <s v="2025-7364"/>
    <s v="Higher Education Awards"/>
    <s v="Irshaad Suliman"/>
    <s v="irshaadsuliman949@gmail.com"/>
    <x v="0"/>
    <x v="0"/>
    <x v="2"/>
    <x v="0"/>
    <x v="0"/>
    <x v="6"/>
    <s v="Social Sciences"/>
    <s v="CB"/>
    <x v="0"/>
    <s v="Completed"/>
    <s v="Stellenbosch University"/>
    <s v="History"/>
    <s v="Historical violence, Deaths in detention, Anti-Apartheid struggle, Resistance"/>
    <d v="2025-02-10T00:00:00"/>
    <n v="2"/>
    <s v="_x000d__x000a_-20000_x000d__x000a_"/>
    <s v="_x000d__x000a_-30000_x000d__x000a_"/>
    <s v="_x000d__x000a_0_x000d__x000a_"/>
  </r>
  <r>
    <s v="10/12/2025"/>
    <s v="2025-7376"/>
    <s v="Higher Education Awards"/>
    <s v="Fatima Phomelelo Ramokgopa"/>
    <s v="ramokgopafatima502@gmail.com"/>
    <x v="0"/>
    <x v="0"/>
    <x v="0"/>
    <x v="1"/>
    <x v="0"/>
    <x v="8"/>
    <s v="Health Sciences"/>
    <s v="CB"/>
    <x v="0"/>
    <s v="Draft"/>
    <s v="North West University"/>
    <s v="Pharmaceutical chemistry"/>
    <s v="Synthesis and in vitro antileishmanial activity of silver nanoparticles conjugated with novel gallate analogues "/>
    <d v="2025-01-27T00:00:00"/>
    <n v="2"/>
    <s v="_x000d__x000a_78391_x000d__x000a_"/>
    <s v="_x000d__x000a_101391_x000d__x000a_"/>
    <s v="_x000d__x000a_0_x000d__x000a_"/>
  </r>
  <r>
    <s v="10/12/2025"/>
    <s v="2025-7378"/>
    <s v="Higher Education Awards"/>
    <s v="Busisiwe Mooin"/>
    <s v="Bmcmooin@gmail.com"/>
    <x v="3"/>
    <x v="0"/>
    <x v="0"/>
    <x v="1"/>
    <x v="0"/>
    <x v="2"/>
    <s v="Humanities"/>
    <s v="CB"/>
    <x v="8"/>
    <s v="Completed"/>
    <s v="University of Cape Town"/>
    <s v="Master of Arts"/>
    <s v="Media, Theory and Practice"/>
    <d v="2025-02-20T00:00:00"/>
    <n v="2"/>
    <s v="_x000d__x000a_47865_x000d__x000a_"/>
    <s v="_x000d__x000a_94570_x000d__x000a_"/>
    <s v="_x000d__x000a_0_x000d__x000a_"/>
  </r>
  <r>
    <s v="10/12/2025"/>
    <s v="2025-7391"/>
    <s v="Higher Education Awards"/>
    <s v="Hloniphile Ndhlovu"/>
    <s v="hloniphile.dlamini@gmail.com"/>
    <x v="1"/>
    <x v="0"/>
    <x v="0"/>
    <x v="1"/>
    <x v="0"/>
    <x v="8"/>
    <s v="Health Sciences"/>
    <s v="CB"/>
    <x v="6"/>
    <s v="Completed"/>
    <s v="Durban University of Technology"/>
    <s v="Masters in child and Youth Care"/>
    <s v="A collective case study of young people living with HIV : healing through the support of community-based child and youth care workers in Gauteng"/>
    <d v="2025-03-05T00:00:00"/>
    <n v="2"/>
    <s v="_x000d__x000a_42460_x000d__x000a_"/>
    <s v="_x000d__x000a_36660_x000d__x000a_"/>
    <s v="_x000d__x000a_0_x000d__x000a_"/>
  </r>
  <r>
    <s v="10/12/2025"/>
    <s v="2025-7392"/>
    <s v="Higher Education Awards"/>
    <s v="Sedzani Sebatha"/>
    <s v="ssebatha@gmail.com"/>
    <x v="1"/>
    <x v="0"/>
    <x v="0"/>
    <x v="0"/>
    <x v="0"/>
    <x v="1"/>
    <s v="Engineering &amp; the Built Environment"/>
    <s v="CB"/>
    <x v="3"/>
    <s v="Completed"/>
    <s v="University of Cape Town"/>
    <s v="Msc (Project Management )"/>
    <s v="I am particularly interested in the project management strategies required for the successful implementation of energy development projects, ensuring they contribute to sustainable urban growth. My research explores how infrastructure development can facilitate a just and equitable energy transition, addressing key challenges such as policy integration, financing mechanisms, stakeholder engagement, and governance frameworks. Through this work, I aim to contribute to sustainable energy solutions that support resilient and future-ready cities."/>
    <d v="2025-02-03T00:00:00"/>
    <n v="2"/>
    <s v="_x000d__x000a_104000_x000d__x000a_"/>
    <s v="_x000d__x000a_104000_x000d__x000a_"/>
    <s v="_x000d__x000a_0_x000d__x000a_"/>
  </r>
  <r>
    <s v="10/12/2025"/>
    <s v="2025-7405"/>
    <s v="Higher Education Awards"/>
    <s v="Setshaba Mokupi"/>
    <s v="setshabamokupi130@gmail.com"/>
    <x v="0"/>
    <x v="0"/>
    <x v="0"/>
    <x v="1"/>
    <x v="0"/>
    <x v="2"/>
    <s v="Humanities"/>
    <s v="CB"/>
    <x v="0"/>
    <s v="Draft"/>
    <s v="University of Limpopo"/>
    <s v="Masters in Social Work"/>
    <s v="Exloring lives of black African teenagers dring and after the divorce of parents in heterosexual marriages"/>
    <d v="2025-01-13T00:00:00"/>
    <n v="2"/>
    <s v="_x000d__x000a_95000_x000d__x000a_"/>
    <s v="_x000d__x000a_95000_x000d__x000a_"/>
    <s v="_x000d__x000a_0_x000d__x000a_"/>
  </r>
  <r>
    <s v="10/12/2025"/>
    <s v="2025-7416"/>
    <s v="Higher Education Awards"/>
    <s v="Nkosibonile Mziba"/>
    <s v="nkosimziba@gmail.com"/>
    <x v="1"/>
    <x v="0"/>
    <x v="0"/>
    <x v="0"/>
    <x v="0"/>
    <x v="8"/>
    <s v="Health Sciences"/>
    <s v="CB"/>
    <x v="1"/>
    <s v="Completed"/>
    <s v="Nelson Mandela University"/>
    <s v="Master's in Human Movement Science"/>
    <s v="The Impact of Technology on Sports Excellence among the Nelson Mandela University Athletes"/>
    <d v="2025-03-01T00:00:00"/>
    <n v="2"/>
    <s v="_x000d__x000a_114650_x000d__x000a_"/>
    <s v="_x000d__x000a_113600_x000d__x000a_"/>
    <s v="_x000d__x000a_0_x000d__x000a_"/>
  </r>
  <r>
    <s v="10/12/2025"/>
    <s v="2025-7423"/>
    <s v="Higher Education Awards"/>
    <s v="Oriphulusa Nyadzhiwa"/>
    <s v="ori.nyadzhiwa@gmail.com"/>
    <x v="0"/>
    <x v="0"/>
    <x v="0"/>
    <x v="0"/>
    <x v="0"/>
    <x v="5"/>
    <s v="Natural Sciences"/>
    <s v="EM"/>
    <x v="0"/>
    <s v="Completed"/>
    <s v="University of Cape Town"/>
    <s v="MSc Environmental &amp; Geographical Science"/>
    <s v="Towards Environmentally Responsible Coal Mining in South Africa: Monitoring Impacts and Providing Recommendations"/>
    <d v="2025-02-17T00:00:00"/>
    <n v="1"/>
    <s v="_x000d__x000a_148580_x000d__x000a_"/>
    <s v="_x000d__x000a_0_x000d__x000a_"/>
    <s v="_x000d__x000a_0_x000d__x000a_"/>
  </r>
  <r>
    <s v="10/12/2025"/>
    <s v="2025-7435"/>
    <s v="Higher Education Awards"/>
    <s v="Thabile Maake"/>
    <s v="thabimokgadie@gmail.com"/>
    <x v="1"/>
    <x v="0"/>
    <x v="0"/>
    <x v="1"/>
    <x v="0"/>
    <x v="5"/>
    <s v="Natural Sciences"/>
    <s v="CB"/>
    <x v="1"/>
    <s v="Completed"/>
    <s v="Nelson Mandela University"/>
    <s v="Masters In Agriculture (Research)"/>
    <s v="Exploring adaptative strategies of small-scale vegetable farmers in response to climate change in Eastern Cape"/>
    <d v="2025-02-10T00:00:00"/>
    <n v="2"/>
    <s v="_x000d__x000a_95070_x000d__x000a_"/>
    <s v="_x000d__x000a_95070_x000d__x000a_"/>
    <s v="_x000d__x000a_0_x000d__x000a_"/>
  </r>
  <r>
    <s v="10/12/2025"/>
    <s v="2025-7439"/>
    <s v="Higher Education Awards"/>
    <s v="Nqubeko Sithole"/>
    <s v="Nqubeko602@gmail.com"/>
    <x v="0"/>
    <x v="0"/>
    <x v="0"/>
    <x v="0"/>
    <x v="0"/>
    <x v="3"/>
    <s v="Performing &amp; Creative Arts"/>
    <s v="EM"/>
    <x v="0"/>
    <s v="Completed"/>
    <s v="University of KwaZulu-Natal"/>
    <s v="Master of arts"/>
    <s v="SOUND AS AN AWAKENING – BODY AS A MUSEUM"/>
    <d v="2025-02-01T00:00:00"/>
    <n v="2"/>
    <s v="_x000d__x000a_160000_x000d__x000a_"/>
    <s v="_x000d__x000a_160000_x000d__x000a_"/>
    <s v="_x000d__x000a_0_x000d__x000a_"/>
  </r>
  <r>
    <s v="10/12/2025"/>
    <s v="2025-7447"/>
    <s v="Higher Education Awards"/>
    <s v="Kirsten Bester"/>
    <s v="BSTKIR004@myuct.ac.za"/>
    <x v="3"/>
    <x v="0"/>
    <x v="1"/>
    <x v="0"/>
    <x v="0"/>
    <x v="8"/>
    <s v="Health Sciences"/>
    <s v="EM"/>
    <x v="0"/>
    <s v="Draft"/>
    <s v="University of Cape Town"/>
    <s v="MSc Genetic Counselling by Dissertation"/>
    <s v="Genetic Counselling in South Africa: Investigating healthcare professionals' perceptions to inform curriculum renewal."/>
    <d v="2025-02-03T00:00:00"/>
    <n v="1"/>
    <s v="_x000d__x000a_236000_x000d__x000a_"/>
    <s v="_x000d__x000a_0_x000d__x000a_"/>
    <s v="_x000d__x000a_0_x000d__x000a_"/>
  </r>
  <r>
    <s v="10/12/2025"/>
    <s v="2025-7454"/>
    <s v="Higher Education Awards"/>
    <s v="Jennifer Du Plessis"/>
    <s v="61808016@mylife.unisa.ac.za"/>
    <x v="0"/>
    <x v="0"/>
    <x v="1"/>
    <x v="1"/>
    <x v="0"/>
    <x v="2"/>
    <s v="Humanities"/>
    <s v="EM"/>
    <x v="0"/>
    <s v="Draft"/>
    <s v="UNISA"/>
    <s v="MA in Theory of Literature"/>
    <s v="Intersectionality with a particular focus on Black Feminism"/>
    <d v="2025-03-25T00:00:00"/>
    <n v="1"/>
    <s v="_x000d__x000a_18625_x000d__x000a_"/>
    <s v="_x000d__x000a_0_x000d__x000a_"/>
    <s v="_x000d__x000a_0_x000d__x000a_"/>
  </r>
  <r>
    <s v="10/12/2025"/>
    <s v="2025-7463"/>
    <s v="Higher Education Awards"/>
    <s v="Sanele Dube"/>
    <s v="220054294@stu.ukzn.ac.za"/>
    <x v="0"/>
    <x v="0"/>
    <x v="0"/>
    <x v="0"/>
    <x v="0"/>
    <x v="6"/>
    <s v="Social Sciences"/>
    <s v="EM"/>
    <x v="0"/>
    <s v="Draft"/>
    <s v="University of kwazulu natal PMB"/>
    <s v="The decision to focus on how cultural norms, particularly forced and early marriages, silence women and hinder their access to justice in South Africa is driven by the urgent need to address gender inequality and systemic failures within the legal system. Despite South Africa’s progressive legal framework, harmful traditional practices continue to undermine women’s rights, leaving them vulnerable to oppression and legal exclusion. This study aims to explore the intersection of culture and justice, highlighting the challenges women face and proposing solutions to improve their legal protection.  One of the key motivations for this study is the persistence of forced and early marriages in certain communities. Many young girls are married off without their consent, often to older men, under the guise of preserving cultural heritage or family honor. These practices strip women of their autonomy, limit their educational and economic opportunities, and expose them to various forms of abuse. Although laws such as the Recognition of Customary Marriages Act and the Children’s Act exist to protect women, enforcement remains weak due to cultural resistance and systemic inefficiencies. This study seeks to understand why legal protections are ineffective and what can be done to strengthen the justice system’s response.  Furthermore, the study is necessary because cultural norms often discourage women from seeking justice. Many women fear social stigma, retaliation, or rejection by their families and communities if they challenge forced marriages. Law enforcement and judicial officials frequently lack cultural sensitivity, dismissing cases or failing to provide adequate support to victims. This research will explore how these cultural pressures affect women's justice-seeking behavior and examine the role of the criminal justice system in either enabling or preventing access to justice.  Another reason for choosing this study is the gap in existing research. While many studies focus on gender-based violence or women’s rights broadly, few specifically analyze how cultural traditions shape women's experiences within the justice system in South Africa. By focusing on this issue, the research will contribute new insights into the failures of the legal system and suggest culturally sensitive legal reforms to bridge the gap between tradition and justice.  This study is also guided by Feminist Legal Theory, which critiques how laws and legal institutions reinforce gender inequalities. Applying this theory will help assess how South Africa’s legal framework either supports or fails women affected by cultural norms. Additionally, Social Norms Theory will be used to examine how societal expectations influence behavior and restrict women’s access to justice. By incorporating these theoretical perspectives, the study aims to provide a deeper understanding of the cultural and legal barriers that women face."/>
    <s v="The Impact of Cultural Norms on Women’s Access to Justice in Cases of Forced and Early Marriages in South Africa"/>
    <d v="2025-03-27T00:00:00"/>
    <n v="2"/>
    <s v="_x000d__x000a_-67000_x000d__x000a_"/>
    <s v="_x000d__x000a_-15000_x000d__x000a_"/>
    <s v="_x000d__x000a_0_x000d__x000a_"/>
  </r>
  <r>
    <s v="10/12/2025"/>
    <s v="2025-7499"/>
    <s v="Higher Education Awards"/>
    <s v="Ntokozo Shongwe"/>
    <s v="Ntokozoshongwe533@gmail.com"/>
    <x v="0"/>
    <x v="0"/>
    <x v="0"/>
    <x v="0"/>
    <x v="0"/>
    <x v="8"/>
    <s v="Health Sciences"/>
    <s v="EM"/>
    <x v="0"/>
    <s v="Completed"/>
    <s v="University of the Witwatersrand"/>
    <s v="MRA03- Master of Pharmacy"/>
    <s v="An innovative Targeted Block-and-Kill Strategy for Reducing the HIV-1 Latent Reservoir"/>
    <d v="2025-01-22T00:00:00"/>
    <n v="1"/>
    <s v="_x000d__x000a_172000_x000d__x000a_"/>
    <s v="_x000d__x000a_0_x000d__x000a_"/>
    <s v="_x000d__x000a_0_x000d__x000a_"/>
  </r>
  <r>
    <s v="10/12/2025"/>
    <s v="2025-7508"/>
    <s v="Higher Education Awards"/>
    <s v="Moosa Letageng"/>
    <s v="bogotsadimoosa@gmail.com"/>
    <x v="1"/>
    <x v="0"/>
    <x v="0"/>
    <x v="1"/>
    <x v="0"/>
    <x v="2"/>
    <s v="Humanities"/>
    <s v="CB"/>
    <x v="1"/>
    <s v="Completed"/>
    <s v="University of the Witwatersrand"/>
    <s v="Master of Arts in Social Development"/>
    <s v="The Resilience and Adaptive Strategies of Women and Youth in Mining-Affected Communities: A Case Study of Lephalale, South Africa"/>
    <d v="2025-02-10T00:00:00"/>
    <n v="2"/>
    <s v="_x000d__x000a_184000_x000d__x000a_"/>
    <s v="_x000d__x000a_57000_x000d__x000a_"/>
    <s v="_x000d__x000a_0_x000d__x000a_"/>
  </r>
  <r>
    <s v="10/12/2025"/>
    <s v="2025-7529"/>
    <s v="Higher Education Awards"/>
    <s v="Phathutshedzo Munzhedzi"/>
    <s v="phathujohnson@gmail.com"/>
    <x v="0"/>
    <x v="0"/>
    <x v="0"/>
    <x v="0"/>
    <x v="0"/>
    <x v="8"/>
    <s v="Health Sciences"/>
    <s v="EM"/>
    <x v="0"/>
    <s v="Draft"/>
    <s v="University of pretoria"/>
    <s v="MSc nuclear medical science"/>
    <s v="Investigation of mechanisms virulence of Mycobacterium tuberculosis using epigenetics tools"/>
    <d v="2025-01-20T00:00:00"/>
    <n v="2"/>
    <s v="_x000d__x000a_140265_x000d__x000a_"/>
    <s v="_x000d__x000a_163915_x000d__x000a_"/>
    <s v="_x000d__x000a_0_x000d__x000a_"/>
  </r>
  <r>
    <s v="10/12/2025"/>
    <s v="2025-7540"/>
    <s v="Higher Education Awards"/>
    <s v="Tumelo Foromo"/>
    <s v="tumeloforomo.tf@gmail.com"/>
    <x v="1"/>
    <x v="0"/>
    <x v="0"/>
    <x v="0"/>
    <x v="0"/>
    <x v="0"/>
    <s v="Applied Sciences"/>
    <s v="CB"/>
    <x v="1"/>
    <s v="Completed"/>
    <s v="University of sefako makgato"/>
    <s v="masters in chemistry"/>
    <s v="Hybrid inorganic-organic core-shell nanoparticles (CSNPs) are an emerging paradigm of nanodrug carriers in the targeted photodynamic therapy (TPDT) of cancer"/>
    <d v="2025-03-14T00:00:00"/>
    <n v="2"/>
    <s v="_x000d__x000a_170000_x000d__x000a_"/>
    <s v="_x000d__x000a_165000_x000d__x000a_"/>
    <s v="_x000d__x000a_0_x000d__x000a_"/>
  </r>
  <r>
    <s v="10/12/2025"/>
    <s v="2025-7558"/>
    <s v="Higher Education Awards"/>
    <s v="Sibulele Mkhutshulwa"/>
    <s v="sibulelemkhu@gmail.com"/>
    <x v="0"/>
    <x v="0"/>
    <x v="0"/>
    <x v="1"/>
    <x v="0"/>
    <x v="5"/>
    <s v="Natural Sciences"/>
    <s v="EM"/>
    <x v="10"/>
    <s v="Draft"/>
    <s v="University of the Western Cape "/>
    <s v="MSc. in Biotechnology"/>
    <s v="Combating antimicrobial resistance using plant-based nanoparticles and testing against a variety of multidrug-resistant microbial strains."/>
    <d v="2025-03-17T00:00:00"/>
    <n v="1"/>
    <s v="_x000d__x000a_39765_x000d__x000a_"/>
    <s v="_x000d__x000a_39765_x000d__x000a_"/>
    <s v="_x000d__x000a_0_x000d__x000a_"/>
  </r>
  <r>
    <s v="10/12/2025"/>
    <s v="2025-7575"/>
    <s v="Higher Education Awards"/>
    <s v="Ivan Hirwa"/>
    <s v="ivanhirwa@gmail.com"/>
    <x v="0"/>
    <x v="0"/>
    <x v="0"/>
    <x v="0"/>
    <x v="0"/>
    <x v="5"/>
    <s v="Natural Sciences"/>
    <s v="CB"/>
    <x v="0"/>
    <s v="Draft"/>
    <s v="The University of Cape Town"/>
    <s v="Master of Philosophy in Environment, Society and Sustainably"/>
    <s v="Sustainable development (specialised focus on climate change adaptation and mitigation)"/>
    <d v="2025-02-10T00:00:00"/>
    <n v="2"/>
    <s v="_x000d__x000a_86135_x000d__x000a_"/>
    <s v="_x000d__x000a_43818_x000d__x000a_"/>
    <s v="_x000d__x000a_0_x000d__x000a_"/>
  </r>
  <r>
    <s v="10/12/2025"/>
    <s v="2025-7596"/>
    <s v="Higher Education Awards"/>
    <s v="Jerry Matsimela Moloi"/>
    <s v="matsemelamoloi79@gmail.com"/>
    <x v="1"/>
    <x v="0"/>
    <x v="0"/>
    <x v="0"/>
    <x v="0"/>
    <x v="1"/>
    <s v="Engineering &amp; the Built Environment"/>
    <s v="CB"/>
    <x v="1"/>
    <s v="Completed"/>
    <s v="STELLENBOSCH UNIVERSITY"/>
    <s v="MEng Industrial Engineering"/>
    <s v="DATA SCIENCE"/>
    <d v="2025-01-01T00:00:00"/>
    <n v="2"/>
    <s v="_x000d__x000a_40000_x000d__x000a_"/>
    <s v="_x000d__x000a_40000_x000d__x000a_"/>
    <s v="_x000d__x000a_0_x000d__x000a_"/>
  </r>
  <r>
    <s v="10/12/2025"/>
    <s v="2025-7604"/>
    <s v="Higher Education Awards"/>
    <s v="Rendani Wynard Nkhwamalau"/>
    <s v="rendaninkhwamalau@gmail.com"/>
    <x v="3"/>
    <x v="0"/>
    <x v="0"/>
    <x v="0"/>
    <x v="0"/>
    <x v="6"/>
    <s v="Social Sciences"/>
    <s v="CB"/>
    <x v="11"/>
    <s v="Draft"/>
    <s v="Stellenbosch University"/>
    <s v="Masters in Urban and Regional Planning"/>
    <s v="Coursework"/>
    <d v="2025-01-17T00:00:00"/>
    <n v="2"/>
    <s v="_x000d__x000a_188000_x000d__x000a_"/>
    <s v="_x000d__x000a_158000_x000d__x000a_"/>
    <s v="_x000d__x000a_0_x000d__x000a_"/>
  </r>
  <r>
    <s v="10/12/2025"/>
    <s v="2025-7621"/>
    <s v="Higher Education Awards"/>
    <s v="Malope Serama"/>
    <s v="malopeserama8@gmail.com"/>
    <x v="3"/>
    <x v="1"/>
    <x v="0"/>
    <x v="0"/>
    <x v="0"/>
    <x v="2"/>
    <s v="Humanities"/>
    <s v="CB"/>
    <x v="0"/>
    <s v="Draft"/>
    <s v="University of the witwatersrand"/>
    <s v="Masters of Education"/>
    <s v="Assessing the marking practice in History subject: focus on grade 11"/>
    <d v="2026-02-10T00:00:00"/>
    <n v="2"/>
    <s v="_x000d__x000a_184000_x000d__x000a_"/>
    <s v="_x000d__x000a_2000_x000d__x000a_"/>
    <s v="_x000d__x000a_0_x000d__x000a_"/>
  </r>
  <r>
    <s v="10/12/2025"/>
    <s v="2025-7628"/>
    <s v="Higher Education Awards"/>
    <s v="Aeysha Allie"/>
    <s v="aeysha101allie@gmail.com"/>
    <x v="1"/>
    <x v="0"/>
    <x v="2"/>
    <x v="1"/>
    <x v="0"/>
    <x v="9"/>
    <s v="Other"/>
    <s v="CB"/>
    <x v="2"/>
    <s v="Completed"/>
    <s v="University of Stellenbosch"/>
    <s v="Educational Psychology"/>
    <s v="Learning Support"/>
    <d v="2025-01-13T00:00:00"/>
    <n v="2"/>
    <s v="_x000d__x000a_62000_x000d__x000a_"/>
    <s v="_x000d__x000a_62000_x000d__x000a_"/>
    <s v="_x000d__x000a_0_x000d__x000a_"/>
  </r>
  <r>
    <s v="10/12/2025"/>
    <s v="2025-7629"/>
    <s v="Higher Education Awards"/>
    <s v="Kholofelo Morodi"/>
    <s v="kholomorodi7@gmail.com"/>
    <x v="0"/>
    <x v="0"/>
    <x v="0"/>
    <x v="2"/>
    <x v="0"/>
    <x v="8"/>
    <s v="Health Sciences"/>
    <s v="EM"/>
    <x v="0"/>
    <s v="Completed"/>
    <s v="Stellenbosch University"/>
    <s v="MMed"/>
    <s v="Psychiatry"/>
    <d v="2025-02-28T00:00:00"/>
    <n v="2"/>
    <s v="_x000d__x000a_30000_x000d__x000a_"/>
    <s v="_x000d__x000a_30000_x000d__x000a_"/>
    <s v="_x000d__x000a_0_x000d__x000a_"/>
  </r>
  <r>
    <s v="10/12/2025"/>
    <s v="2025-7650"/>
    <s v="Higher Education Awards"/>
    <s v="Njabulo Mlotshwa"/>
    <s v="njabulomlotshwa043@gmail.com"/>
    <x v="0"/>
    <x v="0"/>
    <x v="0"/>
    <x v="0"/>
    <x v="0"/>
    <x v="8"/>
    <s v="Health Sciences"/>
    <s v="EM"/>
    <x v="0"/>
    <s v="Draft"/>
    <s v="Sefako Makgatho health Science  University"/>
    <s v="MSc Anatomical Pathology"/>
    <s v="To determine the expression levels of SARS-CoV-2 susceptible receptors and proteases in SARS-CoV-2 tested human placenta using ancillary studies"/>
    <d v="2026-01-01T00:00:00"/>
    <n v="1"/>
    <s v="_x000d__x000a_115517_x000d__x000a_"/>
    <s v="_x000d__x000a_24000_x000d__x000a_"/>
    <s v="_x000d__x000a_0_x000d__x000a_"/>
  </r>
  <r>
    <s v="10/12/2025"/>
    <s v="2025-7692"/>
    <s v="Higher Education Awards"/>
    <s v="Njabulo Hadebe"/>
    <s v="2017523222@ufs4life.ac.za"/>
    <x v="3"/>
    <x v="0"/>
    <x v="0"/>
    <x v="0"/>
    <x v="0"/>
    <x v="2"/>
    <s v="Humanities"/>
    <s v="CB"/>
    <x v="8"/>
    <s v="Draft"/>
    <s v="UNIVERSITY OF THE FREE STATE"/>
    <s v="MASTERS OF SOCIAL SCIENCES IN SOCIOLOGY"/>
    <s v="Community percetions of water quality and governance :An analysis of policy implementation in Tshesen , QwaQwa"/>
    <d v="2025-02-17T00:00:00"/>
    <n v="2"/>
    <s v="_x000d__x000a_105000_x000d__x000a_"/>
    <s v="_x000d__x000a_105000_x000d__x000a_"/>
    <s v="_x000d__x000a_0_x000d__x000a_"/>
  </r>
  <r>
    <s v="10/12/2025"/>
    <s v="2025-7698"/>
    <s v="Higher Education Awards"/>
    <s v="Sanele Kunene"/>
    <s v="Sanelesanele668@gmail.com"/>
    <x v="0"/>
    <x v="0"/>
    <x v="0"/>
    <x v="0"/>
    <x v="0"/>
    <x v="5"/>
    <s v="Natural Sciences"/>
    <s v="EM"/>
    <x v="0"/>
    <s v="Draft"/>
    <s v="University of Limpopo"/>
    <s v="Master of Science in Agricultural Economics"/>
    <s v="Investigating the impact of climate variability on orange production and export competitiveness in the South African orange industry from 2001 to 2021"/>
    <d v="2025-01-27T00:00:00"/>
    <n v="2"/>
    <s v="_x000d__x000a_120555_x000d__x000a_"/>
    <s v="_x000d__x000a_90000_x000d__x000a_"/>
    <s v="_x000d__x000a_0_x000d__x000a_"/>
  </r>
  <r>
    <s v="10/12/2025"/>
    <s v="2025-7731"/>
    <s v="Higher Education Awards"/>
    <s v="LUNGANI MXOLELENI NKOSI"/>
    <s v="lunganimlotshwa1999@gmail.com"/>
    <x v="0"/>
    <x v="0"/>
    <x v="0"/>
    <x v="0"/>
    <x v="0"/>
    <x v="5"/>
    <s v="Natural Sciences"/>
    <s v="EM"/>
    <x v="0"/>
    <s v="Completed"/>
    <s v="University of Zululand"/>
    <s v="MSc Plant Science"/>
    <s v="Extraction and Characterization of emulsion agents from fruit pulps of Landolphia kirkii, Ancylobotrys capensis, and Ancylobotrys petersiana."/>
    <d v="2025-03-06T00:00:00"/>
    <n v="1"/>
    <s v="_x000d__x000a_177000_x000d__x000a_"/>
    <s v="_x000d__x000a_0_x000d__x000a_"/>
    <s v="_x000d__x000a_0_x000d__x000a_"/>
  </r>
  <r>
    <s v="10/12/2025"/>
    <s v="2025-7775"/>
    <s v="Higher Education Awards"/>
    <s v="Thubelihle Ndlangamandla"/>
    <s v="thube03lihle059@gmail.com"/>
    <x v="0"/>
    <x v="0"/>
    <x v="0"/>
    <x v="0"/>
    <x v="0"/>
    <x v="8"/>
    <s v="Health Sciences"/>
    <s v="EM"/>
    <x v="0"/>
    <s v="Completed"/>
    <s v="University of the Witwatersrand"/>
    <s v="Masters in Pharmcay"/>
    <s v="Design of a Multifunctional 3D- (Bio)printed Biomimetic Skin Model for Advanced Drug Delivery Applications"/>
    <d v="2025-02-11T00:00:00"/>
    <n v="2"/>
    <s v="_x000d__x000a_186000_x000d__x000a_"/>
    <s v="_x000d__x000a_188000_x000d__x000a_"/>
    <s v="_x000d__x000a_0_x000d__x000a_"/>
  </r>
  <r>
    <s v="10/12/2025"/>
    <s v="2025-7786"/>
    <s v="Higher Education Awards"/>
    <s v="TONDANI meshia nemakhavhani"/>
    <s v="Tondimeshia@gmail.com"/>
    <x v="1"/>
    <x v="0"/>
    <x v="0"/>
    <x v="1"/>
    <x v="0"/>
    <x v="2"/>
    <s v="Humanities"/>
    <s v="CB"/>
    <x v="1"/>
    <s v="Completed"/>
    <s v="Tshwane university of technology"/>
    <s v="Pgce"/>
    <s v="Education (Arts)"/>
    <d v="2025-01-20T00:00:00"/>
    <n v="2"/>
    <s v="_x000d__x000a_26000_x000d__x000a_"/>
    <s v="_x000d__x000a_27000_x000d__x000a_"/>
    <s v="_x000d__x000a_0_x000d__x000a_"/>
  </r>
  <r>
    <s v="10/12/2025"/>
    <s v="2025-7794"/>
    <s v="Higher Education Awards"/>
    <s v="Thandeka Sonto Siluma"/>
    <s v="thandekasiluma99@gmail.com"/>
    <x v="0"/>
    <x v="0"/>
    <x v="0"/>
    <x v="1"/>
    <x v="0"/>
    <x v="5"/>
    <s v="Other"/>
    <s v="EM"/>
    <x v="0"/>
    <s v="Draft"/>
    <s v="University of Venda"/>
    <s v="Master of Environmental Sciences in Geography"/>
    <s v="REMOTE SENSING-BASED MAPPING AND SENSOR EVALUATION FOR DETECTING BLACK WATTLE (Acacia mearnsii) IN  THE SOUTPANSBERG MOUNTAIN RANGE, SOUTH AFRICA"/>
    <d v="2025-03-31T00:00:00"/>
    <n v="1"/>
    <s v="_x000d__x000a_54785_x000d__x000a_"/>
    <s v="_x000d__x000a_88785_x000d__x000a_"/>
    <s v="_x000d__x000a_0_x000d__x000a_"/>
  </r>
  <r>
    <s v="10/12/2025"/>
    <s v="2025-7801"/>
    <s v="Higher Education Awards"/>
    <s v="Sergio Alves"/>
    <s v="smalves2812@gmail.com"/>
    <x v="0"/>
    <x v="0"/>
    <x v="1"/>
    <x v="0"/>
    <x v="0"/>
    <x v="8"/>
    <s v="Health Sciences"/>
    <s v="CB"/>
    <x v="0"/>
    <s v="Draft"/>
    <s v="University of Cape Town"/>
    <s v="MSc in Medicine"/>
    <s v="Inherited muscle diseases in South Africa"/>
    <d v="2025-01-15T00:00:00"/>
    <n v="2"/>
    <s v="_x000d__x000a_94400_x000d__x000a_"/>
    <s v="_x000d__x000a_241900_x000d__x000a_"/>
    <s v="_x000d__x000a_0_x000d__x000a_"/>
  </r>
  <r>
    <s v="10/12/2025"/>
    <s v="2025-7807"/>
    <s v="Higher Education Awards"/>
    <s v="Malusi Buthelezi"/>
    <s v="buthelezimalusi03@gmail.com"/>
    <x v="1"/>
    <x v="0"/>
    <x v="0"/>
    <x v="0"/>
    <x v="0"/>
    <x v="5"/>
    <s v="Other"/>
    <s v="CB"/>
    <x v="5"/>
    <s v="Completed"/>
    <s v="university of Zululand"/>
    <s v="MSc in agriculture (plant science)"/>
    <s v="Seed viability versus seed vigour of Bambara groundnut (Vigna subterranean (L.) Verdc) landraces and the impact on establishment"/>
    <d v="2025-03-02T00:00:00"/>
    <n v="2"/>
    <s v="_x000d__x000a_124500_x000d__x000a_"/>
    <s v="_x000d__x000a_115000_x000d__x000a_"/>
    <s v="_x000d__x000a_0_x000d__x000a_"/>
  </r>
  <r>
    <s v="10/12/2025"/>
    <s v="2025-7808"/>
    <s v="Higher Education Awards"/>
    <s v="Thapelo Manzini"/>
    <s v="thapelowater@gmail.com"/>
    <x v="1"/>
    <x v="0"/>
    <x v="0"/>
    <x v="0"/>
    <x v="0"/>
    <x v="0"/>
    <s v="Natural Sciences"/>
    <s v="CB"/>
    <x v="6"/>
    <s v="Completed"/>
    <s v="North West University"/>
    <s v="MSc in Computer Science"/>
    <s v="Machine Learning and Deep Learning"/>
    <d v="2025-02-10T00:00:00"/>
    <n v="3"/>
    <s v="_x000d__x000a_69911_x000d__x000a_"/>
    <s v="_x000d__x000a_71500_x000d__x000a_"/>
    <s v="_x000d__x000a_73600_x000d__x000a_"/>
  </r>
  <r>
    <s v="10/12/2025"/>
    <s v="2025-7818"/>
    <s v="Higher Education Awards"/>
    <s v="ROLIVHUWA Aluwani MAHADA"/>
    <s v="rolivhuwaowen@gmail.com"/>
    <x v="0"/>
    <x v="0"/>
    <x v="0"/>
    <x v="0"/>
    <x v="0"/>
    <x v="6"/>
    <s v="Engineering &amp; the Built Environment"/>
    <s v="CB"/>
    <x v="0"/>
    <s v="Draft"/>
    <s v="University of venda"/>
    <s v="Master's in Geography"/>
    <s v="The notion of place, place meaning and attachment: A geographic study of Fundudzi residents, Vhembe District Municipality, Limpopo province, South Africa."/>
    <d v="2025-03-14T00:00:00"/>
    <n v="2"/>
    <s v="_x000d__x000a_31500_x000d__x000a_"/>
    <s v="_x000d__x000a_38500_x000d__x000a_"/>
    <s v="_x000d__x000a_0_x000d__x000a_"/>
  </r>
  <r>
    <s v="10/12/2025"/>
    <s v="2025-7823"/>
    <s v="Higher Education Awards"/>
    <s v="Kwanele Zondo"/>
    <s v="kwahzondo@gmail.com"/>
    <x v="1"/>
    <x v="0"/>
    <x v="0"/>
    <x v="0"/>
    <x v="0"/>
    <x v="6"/>
    <s v="Social Sciences"/>
    <s v="CB"/>
    <x v="5"/>
    <s v="Completed"/>
    <s v="Stellenbosch University"/>
    <s v="MA Thesis in history"/>
    <s v="Examination of Political violence in KwaZulu-Natal post-apartheid"/>
    <d v="2025-02-27T00:00:00"/>
    <n v="2"/>
    <s v="_x000d__x000a_120000_x000d__x000a_"/>
    <s v="_x000d__x000a_120000_x000d__x000a_"/>
    <s v="_x000d__x000a_0_x000d__x000a_"/>
  </r>
  <r>
    <s v="10/12/2025"/>
    <s v="2025-7832"/>
    <s v="Higher Education Awards"/>
    <s v="Karabo Mawele"/>
    <s v="karabomawele@gmail.com"/>
    <x v="3"/>
    <x v="0"/>
    <x v="0"/>
    <x v="1"/>
    <x v="0"/>
    <x v="2"/>
    <s v="Humanities"/>
    <s v="CB"/>
    <x v="8"/>
    <s v="Draft"/>
    <s v="University Of Freestate"/>
    <s v="Master of Arts Specialisation in Sociology"/>
    <s v="Gender Roles:Thriving in a male-dominated environment: A narrative study and exploration of  women's experiences working in the taxi industry in  West Rand  District, South Africa."/>
    <d v="2025-04-01T00:00:00"/>
    <n v="2"/>
    <s v="_x000d__x000a_30000_x000d__x000a_"/>
    <s v="_x000d__x000a_30000_x000d__x000a_"/>
    <s v="_x000d__x000a_0_x000d__x000a_"/>
  </r>
  <r>
    <s v="10/12/2025"/>
    <s v="2025-7839"/>
    <s v="Higher Education Awards"/>
    <s v="Ayanda Mthabela"/>
    <s v="mthabelayanda1975@gmail.com"/>
    <x v="0"/>
    <x v="0"/>
    <x v="0"/>
    <x v="1"/>
    <x v="0"/>
    <x v="5"/>
    <s v="Natural Sciences"/>
    <s v="EM"/>
    <x v="0"/>
    <s v="Completed"/>
    <s v="University of Zululand"/>
    <s v="Masters in Agriculture Animal Science"/>
    <s v="Comparing silage quality from three indigenous Brachiaria Brizantha cultivars harvested at the KwaMthethwa Community"/>
    <d v="2025-03-16T00:00:00"/>
    <n v="2"/>
    <s v="_x000d__x000a_113700_x000d__x000a_"/>
    <s v="_x000d__x000a_118700_x000d__x000a_"/>
    <s v="_x000d__x000a_0_x000d__x000a_"/>
  </r>
  <r>
    <s v="10/12/2025"/>
    <s v="2025-7846"/>
    <s v="Higher Education Awards"/>
    <s v="Khanyisani Msomi"/>
    <s v="khanyisanmsomi123@gmail.com"/>
    <x v="0"/>
    <x v="0"/>
    <x v="0"/>
    <x v="0"/>
    <x v="0"/>
    <x v="5"/>
    <s v="Other"/>
    <s v="CB"/>
    <x v="0"/>
    <s v="Draft"/>
    <s v="university of Zululand"/>
    <s v="Masters in plant sciences"/>
    <s v="Investigating the effect of light on peg formation, pod development and yield of Bambara groundnut landraces"/>
    <d v="2025-01-04T00:00:00"/>
    <n v="2"/>
    <s v="_x000d__x000a_132200_x000d__x000a_"/>
    <s v="_x000d__x000a_132200_x000d__x000a_"/>
    <s v="_x000d__x000a_0_x000d__x000a_"/>
  </r>
  <r>
    <s v="10/12/2025"/>
    <s v="2025-7856"/>
    <s v="Higher Education Awards"/>
    <s v="Bongimusa Matshabane"/>
    <s v="matshabanebongimusa@gmail.com"/>
    <x v="4"/>
    <x v="0"/>
    <x v="0"/>
    <x v="1"/>
    <x v="0"/>
    <x v="2"/>
    <s v="Humanities"/>
    <s v="CB"/>
    <x v="12"/>
    <s v="Completed"/>
    <s v="Walter Sisulu University"/>
    <s v="Masters in Social Work"/>
    <s v="Assessing the Efficacy of Restorative Justice Programs in Reducing Recidivism Rates Among Male Youth (15-25 years) in Mhlakulo Administrative Area, Eastern Cape, South Africa: A Comparative Study"/>
    <d v="2025-03-20T00:00:00"/>
    <n v="2"/>
    <s v="_x000d__x000a_22500_x000d__x000a_"/>
    <s v="_x000d__x000a_22500_x000d__x000a_"/>
    <s v="_x000d__x000a_0_x000d__x000a_"/>
  </r>
  <r>
    <s v="10/12/2025"/>
    <s v="2025-7870"/>
    <s v="Higher Education Awards"/>
    <s v="Valery Malatji"/>
    <s v="malatjivalery@gmail.com"/>
    <x v="1"/>
    <x v="0"/>
    <x v="0"/>
    <x v="1"/>
    <x v="0"/>
    <x v="7"/>
    <s v="Law"/>
    <s v="CB"/>
    <x v="3"/>
    <s v="Completed"/>
    <s v="University of Limpopo"/>
    <s v="masters of law"/>
    <s v="enforcement issues in the mining sector"/>
    <d v="2025-01-31T00:00:00"/>
    <n v="2"/>
    <s v="_x000d__x000a_150000_x000d__x000a_"/>
    <s v="_x000d__x000a_150000_x000d__x000a_"/>
    <s v="_x000d__x000a_0_x000d__x000a_"/>
  </r>
  <r>
    <s v="10/12/2025"/>
    <s v="2025-7876"/>
    <s v="Higher Education Awards"/>
    <s v="Siyanda Gwengu"/>
    <s v="siyandagwengu@gmail.com"/>
    <x v="0"/>
    <x v="0"/>
    <x v="0"/>
    <x v="0"/>
    <x v="0"/>
    <x v="8"/>
    <s v="Health Sciences"/>
    <s v="EM"/>
    <x v="10"/>
    <s v="Draft"/>
    <s v="Sefako Makgatho Health Sciences University"/>
    <s v="Master of Pharmacy in Radiopharmacy"/>
    <s v="In vitro radioassay characterisation of 89Zr-labelled trastuzumab fragments (Vhh and scFV) using 89Zr-labelled trastuzumab as the standard"/>
    <d v="2025-01-06T00:00:00"/>
    <n v="2"/>
    <s v="_x000d__x000a_110558_x000d__x000a_"/>
    <s v="_x000d__x000a_70020_x000d__x000a_"/>
    <s v="_x000d__x000a_0_x000d__x000a_"/>
  </r>
  <r>
    <s v="10/12/2025"/>
    <s v="2025-7905"/>
    <s v="Higher Education Awards"/>
    <s v="Sinekamva Mnyamana"/>
    <s v="sinekamva503@gmail.com"/>
    <x v="2"/>
    <x v="0"/>
    <x v="0"/>
    <x v="0"/>
    <x v="0"/>
    <x v="5"/>
    <s v="Natural Sciences"/>
    <s v="EM"/>
    <x v="13"/>
    <s v="Draft"/>
    <s v="University of Johannesburg"/>
    <s v="Biochemistry"/>
    <s v="Metabolomics Investigation of the Effects of Afrikelp LG1 on Midknight Valencia Oranges Under Field Conditions"/>
    <d v="2025-02-12T00:00:00"/>
    <n v="2"/>
    <s v="_x000d__x000a_90500_x000d__x000a_"/>
    <s v="_x000d__x000a_90500_x000d__x000a_"/>
    <s v="_x000d__x000a_0_x000d__x000a_"/>
  </r>
  <r>
    <s v="10/12/2025"/>
    <s v="2025-7909"/>
    <s v="Higher Education Awards"/>
    <s v="Marema Lilly Mathekga"/>
    <s v="Lillykgathallo@gmail.com"/>
    <x v="0"/>
    <x v="0"/>
    <x v="0"/>
    <x v="1"/>
    <x v="0"/>
    <x v="2"/>
    <s v="Humanities"/>
    <s v="CB"/>
    <x v="0"/>
    <s v="Draft"/>
    <s v="University of Venda"/>
    <s v="Masters In African Studies"/>
    <s v="Decolonizing African Identity: The Impact of Western Media on Youth Perceptions of Culture"/>
    <d v="2025-01-06T00:00:00"/>
    <n v="2"/>
    <s v="_x000d__x000a_19500_x000d__x000a_"/>
    <s v="_x000d__x000a_35500_x000d__x000a_"/>
    <s v="_x000d__x000a_0_x000d__x000a_"/>
  </r>
  <r>
    <s v="10/12/2025"/>
    <s v="2025-7933"/>
    <s v="Higher Education Awards"/>
    <s v="Vhulenda Negota"/>
    <s v="vhulendanegota@gmail.com"/>
    <x v="0"/>
    <x v="0"/>
    <x v="0"/>
    <x v="1"/>
    <x v="0"/>
    <x v="5"/>
    <s v="Humanities"/>
    <s v="EM"/>
    <x v="0"/>
    <s v="Completed"/>
    <s v="University of Venda"/>
    <s v="Masters of Arts in African Studies"/>
    <s v="The role of indigenous farming systems in enhancing food security among vhavenda people at Mavunde village"/>
    <d v="2025-02-14T00:00:00"/>
    <n v="1"/>
    <s v="_x000d__x000a_173210_x000d__x000a_"/>
    <s v="_x000d__x000a_0_x000d__x000a_"/>
    <s v="_x000d__x000a_0_x000d__x000a_"/>
  </r>
  <r>
    <s v="10/12/2025"/>
    <s v="2025-7941"/>
    <s v="Higher Education Awards"/>
    <s v="Liezle Cassels"/>
    <s v="PSQLIE001@myuct.ac.za"/>
    <x v="0"/>
    <x v="0"/>
    <x v="2"/>
    <x v="1"/>
    <x v="0"/>
    <x v="2"/>
    <s v="Humanities"/>
    <s v="EM"/>
    <x v="0"/>
    <s v="Completed"/>
    <s v="UCT"/>
    <s v="MEd Psychology of Education"/>
    <s v="ADHD"/>
    <d v="2025-02-17T00:00:00"/>
    <n v="2"/>
    <s v="_x000d__x000a_65385_x000d__x000a_"/>
    <s v="_x000d__x000a_64000_x000d__x000a_"/>
    <s v="_x000d__x000a_0_x000d__x000a_"/>
  </r>
  <r>
    <s v="10/12/2025"/>
    <s v="2025-7966"/>
    <s v="Higher Education Awards"/>
    <s v="Thembeka Mnisi"/>
    <s v="thembekamnisi24@gmail.com"/>
    <x v="0"/>
    <x v="0"/>
    <x v="0"/>
    <x v="1"/>
    <x v="0"/>
    <x v="8"/>
    <s v="Health Sciences"/>
    <s v="EM"/>
    <x v="0"/>
    <s v="Completed"/>
    <s v="University of Cape Town"/>
    <s v="MSc Epidemiology and Biostatistics"/>
    <s v="N/A topic to be assigned 2nd semester "/>
    <d v="2025-02-03T00:00:00"/>
    <n v="1"/>
    <s v="_x000d__x000a_0.01_x000d__x000a_"/>
    <s v="_x000d__x000a_50000_x000d__x000a_"/>
    <s v="_x000d__x000a_0_x000d__x000a_"/>
  </r>
  <r>
    <s v="10/12/2025"/>
    <s v="2025-7974"/>
    <s v="Higher Education Awards"/>
    <s v="Smangele Zondi"/>
    <s v="ncane424sma@gmail.com"/>
    <x v="1"/>
    <x v="0"/>
    <x v="0"/>
    <x v="1"/>
    <x v="0"/>
    <x v="2"/>
    <s v="Natural Sciences"/>
    <s v="CB"/>
    <x v="6"/>
    <s v="Completed"/>
    <s v="University of Zululand"/>
    <s v="Master’s degree in science education"/>
    <s v="Investigating teachers preparedness to use digital technology when teaching Natural sciences in Schools"/>
    <d v="2025-03-12T00:00:00"/>
    <n v="2"/>
    <s v="_x000d__x000a_82000_x000d__x000a_"/>
    <s v="_x000d__x000a_80500_x000d__x000a_"/>
    <s v="_x000d__x000a_0_x000d__x000a_"/>
  </r>
  <r>
    <s v="10/12/2025"/>
    <s v="2025-7992"/>
    <s v="Higher Education Awards"/>
    <s v="Thandeka Ngema"/>
    <s v="faith.ngema22@gmail.com"/>
    <x v="0"/>
    <x v="0"/>
    <x v="0"/>
    <x v="1"/>
    <x v="0"/>
    <x v="2"/>
    <s v="Humanities"/>
    <s v="CB"/>
    <x v="0"/>
    <s v="Draft"/>
    <s v="Wits University"/>
    <s v="Master of Management in Governance (Public and Development Sector Monitoring and Evaluation)"/>
    <s v="Impact  Evaluation  of Small Town Rehabilitation Programme"/>
    <d v="2025-03-26T00:00:00"/>
    <n v="2"/>
    <s v="_x000d__x000a_47090_x000d__x000a_"/>
    <s v="_x000d__x000a_47090_x000d__x000a_"/>
    <s v="_x000d__x000a_0_x000d__x000a_"/>
  </r>
  <r>
    <s v="10/12/2025"/>
    <s v="2025-8005"/>
    <s v="Higher Education Awards"/>
    <s v="Sivuyile Pharela"/>
    <s v="sivuyilepharela@gmail.com"/>
    <x v="1"/>
    <x v="0"/>
    <x v="0"/>
    <x v="0"/>
    <x v="0"/>
    <x v="2"/>
    <s v="Humanities"/>
    <s v="CB"/>
    <x v="1"/>
    <s v="Completed"/>
    <s v="University of Cape Town"/>
    <s v="Anthropology"/>
    <s v="Baphuthi people: The Silenced Culture"/>
    <d v="2025-02-03T00:00:00"/>
    <n v="2"/>
    <s v="_x000d__x000a_109999_x000d__x000a_"/>
    <s v="_x000d__x000a_99999_x000d__x000a_"/>
    <s v="_x000d__x000a_0_x000d__x000a_"/>
  </r>
  <r>
    <s v="10/12/2025"/>
    <s v="2025-8016"/>
    <s v="Higher Education Awards"/>
    <s v="Kamogelo Sedibe"/>
    <s v="kamomantsedibe@yahoo.com"/>
    <x v="1"/>
    <x v="0"/>
    <x v="0"/>
    <x v="1"/>
    <x v="0"/>
    <x v="8"/>
    <s v="Health Sciences"/>
    <s v="CB"/>
    <x v="1"/>
    <s v="Completed"/>
    <s v="University of Witwatersrand"/>
    <s v="Anatomical Pathology"/>
    <s v="Interventions against the harmful effects of alcohol using animal models."/>
    <d v="2025-04-14T00:00:00"/>
    <n v="2"/>
    <s v="_x000d__x000a_177340_x000d__x000a_"/>
    <s v="_x000d__x000a_172600_x000d__x000a_"/>
    <s v="_x000d__x000a_0_x000d__x000a_"/>
  </r>
  <r>
    <s v="10/12/2025"/>
    <s v="2025-8019"/>
    <s v="Higher Education Awards"/>
    <s v="NOKUTHULA THABETHE"/>
    <s v="mkholopsych@gmail.com"/>
    <x v="3"/>
    <x v="0"/>
    <x v="0"/>
    <x v="1"/>
    <x v="0"/>
    <x v="8"/>
    <s v="Health Sciences"/>
    <s v="CB"/>
    <x v="8"/>
    <s v="Draft"/>
    <s v="UNIVERSITY OF CAPE TOWN"/>
    <s v="MPhil in Intellectual Disability"/>
    <s v="The views of people with intellectual disability and their caregivers on the quality of life of people in Zululand area."/>
    <d v="2025-02-26T00:00:00"/>
    <n v="2"/>
    <s v="_x000d__x000a_64360_x000d__x000a_"/>
    <s v="_x000d__x000a_83470_x000d__x000a_"/>
    <s v="_x000d__x000a_0_x000d__x000a_"/>
  </r>
  <r>
    <s v="10/12/2025"/>
    <s v="2025-8037"/>
    <s v="Higher Education Awards"/>
    <s v="Tshifhiwa Gift Mukhoro"/>
    <s v="linkwebdev@outlook.com"/>
    <x v="1"/>
    <x v="0"/>
    <x v="0"/>
    <x v="0"/>
    <x v="0"/>
    <x v="5"/>
    <s v="Natural Sciences"/>
    <s v="CB"/>
    <x v="1"/>
    <s v="Completed"/>
    <s v="University of Venda"/>
    <s v="Environmental Science"/>
    <s v="Valorisation of coal fly ash through the recovery of strontium, rare earth elements and zeolite synthesisi"/>
    <d v="2025-03-12T00:00:00"/>
    <n v="1"/>
    <s v="_x000d__x000a_170390_x000d__x000a_"/>
    <s v="_x000d__x000a_0_x000d__x000a_"/>
    <s v="_x000d__x000a_0_x000d__x000a_"/>
  </r>
  <r>
    <s v="10/12/2025"/>
    <s v="2025-8053"/>
    <s v="Higher Education Awards"/>
    <s v="Tiyisela Vukeya"/>
    <s v="Tiyiselacvukeya@gmail.com"/>
    <x v="0"/>
    <x v="0"/>
    <x v="0"/>
    <x v="1"/>
    <x v="0"/>
    <x v="5"/>
    <s v="Other"/>
    <s v="CB"/>
    <x v="0"/>
    <s v="Draft"/>
    <s v="University of Venda"/>
    <s v="Master of Science in soil science"/>
    <s v="Effects of Tillage and Manure application on soil hydraulic properties and Sunflower grain yield in sandy soils in Limpopo"/>
    <d v="2025-03-31T00:00:00"/>
    <n v="2"/>
    <s v="_x000d__x000a_114500_x000d__x000a_"/>
    <s v="_x000d__x000a_79000_x000d__x000a_"/>
    <s v="_x000d__x000a_0_x000d__x000a_"/>
  </r>
  <r>
    <s v="10/12/2025"/>
    <s v="2025-8067"/>
    <s v="Higher Education Awards"/>
    <s v="Matsoso Keleabetsoe"/>
    <s v="keleabetsoematsoso@gmail.com"/>
    <x v="0"/>
    <x v="0"/>
    <x v="0"/>
    <x v="1"/>
    <x v="0"/>
    <x v="7"/>
    <s v="Law"/>
    <s v="EM"/>
    <x v="0"/>
    <s v="Completed"/>
    <s v="North West University"/>
    <s v="LLM"/>
    <s v="Public Law and Philosophy"/>
    <d v="2025-03-01T00:00:00"/>
    <n v="1"/>
    <s v="_x000d__x000a_89911_x000d__x000a_"/>
    <s v="_x000d__x000a_0_x000d__x000a_"/>
    <s v="_x000d__x000a_0_x000d__x000a_"/>
  </r>
  <r>
    <s v="10/12/2025"/>
    <s v="2025-8071"/>
    <s v="Higher Education Awards"/>
    <s v="Muano Mathoho"/>
    <s v="muanomathoho@gmail.com"/>
    <x v="3"/>
    <x v="1"/>
    <x v="0"/>
    <x v="0"/>
    <x v="0"/>
    <x v="2"/>
    <s v="Humanities"/>
    <s v="EM"/>
    <x v="14"/>
    <s v="Draft"/>
    <s v="University of Venda"/>
    <s v="Gender Studies"/>
    <s v="An exploration of the differentiation of entrepreneurial skills according to gender the case of of Maungani village in Vhembe region, Limpopo province, South Africa"/>
    <d v="2025-03-28T00:00:00"/>
    <n v="2"/>
    <s v="_x000d__x000a_150000_x000d__x000a_"/>
    <s v="_x000d__x000a_150000_x000d__x000a_"/>
    <s v="_x000d__x000a_0_x000d__x000a_"/>
  </r>
  <r>
    <s v="10/12/2025"/>
    <s v="2025-8073"/>
    <s v="Higher Education Awards"/>
    <s v="Senganele Sthandiwe Gina"/>
    <s v="senganelegina@gmail.com"/>
    <x v="0"/>
    <x v="0"/>
    <x v="0"/>
    <x v="1"/>
    <x v="0"/>
    <x v="0"/>
    <s v="Natural Sciences"/>
    <s v="EM"/>
    <x v="0"/>
    <s v="Completed"/>
    <s v="University Of Zululand"/>
    <s v="Organic /Medicinal  Chemistry"/>
    <s v="Synthesis of 1-methyl-2,6-diaryl-1H-quinolin-4-ones with potential biological properties"/>
    <d v="2025-02-07T00:00:00"/>
    <n v="1"/>
    <s v="_x000d__x000a_130000_x000d__x000a_"/>
    <s v="_x000d__x000a_0_x000d__x000a_"/>
    <s v="_x000d__x000a_0_x000d__x000a_"/>
  </r>
  <r>
    <s v="10/12/2025"/>
    <s v="2025-8121"/>
    <s v="Higher Education Awards"/>
    <s v="musa matlou"/>
    <s v="mtlmus004@myuct.ac.za"/>
    <x v="0"/>
    <x v="0"/>
    <x v="0"/>
    <x v="0"/>
    <x v="0"/>
    <x v="1"/>
    <s v="Engineering &amp; the Built Environment"/>
    <s v="CB"/>
    <x v="0"/>
    <s v="Draft"/>
    <s v="University of Cape Town"/>
    <s v="MSc in Mechanical Engineering"/>
    <s v="Thermofluid Design of an Air-Cooled Heat Exchanger for an sCO₂ Concentrated Solar  Power Plant"/>
    <d v="2025-02-24T00:00:00"/>
    <n v="2"/>
    <s v="_x000d__x000a_171000_x000d__x000a_"/>
    <s v="_x000d__x000a_243000_x000d__x000a_"/>
    <s v="_x000d__x000a_0_x000d__x000a_"/>
  </r>
  <r>
    <s v="10/12/2025"/>
    <s v="2025-8123"/>
    <s v="Higher Education Awards"/>
    <s v="Nkosikhona Zwane"/>
    <s v="nkosikhona18@gmail.com"/>
    <x v="1"/>
    <x v="0"/>
    <x v="0"/>
    <x v="0"/>
    <x v="0"/>
    <x v="7"/>
    <s v="Law"/>
    <s v="CB"/>
    <x v="1"/>
    <s v="Completed"/>
    <s v="University of Free State"/>
    <s v="Master of Laws with Specialisation in Constitutional Law and Philosophy of Law"/>
    <s v="A Model for Suitable Electoral Candidates for the National Government of South Africa"/>
    <d v="2025-03-31T00:00:00"/>
    <n v="2"/>
    <s v="_x000d__x000a_104000_x000d__x000a_"/>
    <s v="_x000d__x000a_108000_x000d__x000a_"/>
    <s v="_x000d__x000a_0_x000d__x000a_"/>
  </r>
  <r>
    <s v="10/12/2025"/>
    <s v="2025-8128"/>
    <s v="Higher Education Awards"/>
    <s v="Gcina Jojo"/>
    <s v="jojolufefkazi@gmail.com"/>
    <x v="0"/>
    <x v="0"/>
    <x v="0"/>
    <x v="1"/>
    <x v="0"/>
    <x v="6"/>
    <s v="Social Sciences"/>
    <s v="EM"/>
    <x v="0"/>
    <s v="Completed"/>
    <s v="Stellenbosch University"/>
    <s v="MPhil in Interdisciplinary Arts Studies"/>
    <s v="Xhosa Christian Music History"/>
    <d v="2026-01-05T00:00:00"/>
    <n v="1"/>
    <s v="_x000d__x000a_15000_x000d__x000a_"/>
    <s v="_x000d__x000a_0_x000d__x000a_"/>
    <s v="_x000d__x000a_0_x000d__x000a_"/>
  </r>
  <r>
    <s v="10/12/2025"/>
    <s v="2025-8199"/>
    <s v="Higher Education Awards"/>
    <s v="Zandile Ngubane"/>
    <s v="zandile.ngubane9602@gmail.com"/>
    <x v="3"/>
    <x v="0"/>
    <x v="0"/>
    <x v="1"/>
    <x v="0"/>
    <x v="8"/>
    <s v="Health Sciences"/>
    <s v="EM"/>
    <x v="0"/>
    <s v="Completed"/>
    <s v="Sefako Makgatho University"/>
    <s v="MSc in Dietetics"/>
    <s v="Complementary feeding practices and nutritional status of children aged 6-59 months attending healthcare facilities in KwaZulu Natal"/>
    <d v="2026-01-01T00:00:00"/>
    <n v="2"/>
    <s v="_x000d__x000a_40000_x000d__x000a_"/>
    <s v="_x000d__x000a_113700_x000d__x000a_"/>
    <s v="_x000d__x000a_0_x000d__x000a_"/>
  </r>
  <r>
    <s v="10/12/2025"/>
    <s v="2025-8201"/>
    <s v="Higher Education Awards"/>
    <s v="Samira Gholizadeh"/>
    <s v="ghlsam002@myuct.ac.za"/>
    <x v="0"/>
    <x v="2"/>
    <x v="3"/>
    <x v="1"/>
    <x v="0"/>
    <x v="1"/>
    <s v="Engineering &amp; the Built Environment"/>
    <s v="EM"/>
    <x v="0"/>
    <s v="Completed"/>
    <s v="University of Cape Town (UCT)"/>
    <s v="Postdoc in Materials and Mechanical Engineering"/>
    <s v="AI in Materials Science"/>
    <d v="2026-01-10T00:00:00"/>
    <n v="2"/>
    <s v="_x000d__x000a_502800_x000d__x000a_"/>
    <s v="_x000d__x000a_521100_x000d__x000a_"/>
    <s v="_x000d__x000a_0_x000d__x000a_"/>
  </r>
  <r>
    <s v="10/12/2025"/>
    <s v="2025-8204"/>
    <s v="Higher Education Awards"/>
    <s v="Kamo Maloka"/>
    <s v="kamomaloka10@gmail.com"/>
    <x v="0"/>
    <x v="0"/>
    <x v="0"/>
    <x v="1"/>
    <x v="0"/>
    <x v="3"/>
    <s v="Humanities"/>
    <s v="EM"/>
    <x v="0"/>
    <s v="Completed"/>
    <s v="University of the Free State"/>
    <s v="Master of Music"/>
    <s v="A township gem: Amapiano as a reflection of socio-cultural and socio-economic realities in Soweto"/>
    <d v="2025-03-01T00:00:00"/>
    <n v="2"/>
    <s v="_x000d__x000a_143621_x000d__x000a_"/>
    <s v="_x000d__x000a_176500_x000d__x000a_"/>
    <s v="_x000d__x000a_0_x000d__x000a_"/>
  </r>
  <r>
    <s v="10/12/2025"/>
    <s v="2025-8210"/>
    <s v="Higher Education Awards"/>
    <s v="Leoné Steyn"/>
    <s v="20109970@sun.ac.za"/>
    <x v="0"/>
    <x v="0"/>
    <x v="1"/>
    <x v="1"/>
    <x v="0"/>
    <x v="8"/>
    <s v="Health Sciences"/>
    <s v="EM"/>
    <x v="0"/>
    <s v="Completed"/>
    <s v="Stellenbosch University"/>
    <s v="MSc Neuroscience"/>
    <s v="Inflammation in PTSD"/>
    <d v="2025-01-01T00:00:00"/>
    <n v="1"/>
    <s v="_x000d__x000a_222400_x000d__x000a_"/>
    <s v="_x000d__x000a_0_x000d__x000a_"/>
    <s v="_x000d__x000a_0_x000d__x000a_"/>
  </r>
  <r>
    <s v="10/12/2025"/>
    <s v="2025-8213"/>
    <s v="Higher Education Awards"/>
    <s v="ALLEN OLATUNDE"/>
    <s v="allen.olatunde@gmail.com"/>
    <x v="0"/>
    <x v="1"/>
    <x v="0"/>
    <x v="0"/>
    <x v="0"/>
    <x v="2"/>
    <s v="Humanities"/>
    <s v="EM"/>
    <x v="0"/>
    <s v="Completed"/>
    <s v="Stellenbosch University South Africa"/>
    <s v="Missology"/>
    <s v="Theology"/>
    <d v="2025-01-06T00:00:00"/>
    <n v="3"/>
    <s v="_x000d__x000a_49580_x000d__x000a_"/>
    <s v="_x000d__x000a_99580_x000d__x000a_"/>
    <s v="_x000d__x000a_78580_x000d__x000a_"/>
  </r>
  <r>
    <s v="10/12/2025"/>
    <s v="2025-8217"/>
    <s v="Higher Education Awards"/>
    <s v="Sofia Jose"/>
    <s v="Sofia.Jose@jgfellow.org"/>
    <x v="3"/>
    <x v="0"/>
    <x v="0"/>
    <x v="1"/>
    <x v="0"/>
    <x v="2"/>
    <s v="Humanities"/>
    <s v="CB"/>
    <x v="0"/>
    <s v="Completed"/>
    <s v="University of Witwatersrand"/>
    <s v="Master of Education in Curriculum Studies"/>
    <s v="Evaluating the Practical Application of the Screening, Identification, Assessment and  Support (SIAS) Policy in selected Tembisa Schools."/>
    <d v="2026-01-15T00:00:00"/>
    <n v="1"/>
    <s v="_x000d__x000a_280000_x000d__x000a_"/>
    <s v="_x000d__x000a_0_x000d__x000a_"/>
    <s v="_x000d__x000a_0_x000d__x000a_"/>
  </r>
  <r>
    <s v="10/12/2025"/>
    <s v="2025-8226"/>
    <s v="Higher Education Awards"/>
    <s v="Enoch Dotse Agbandzo"/>
    <s v="25053442@dut4life.ac.za"/>
    <x v="1"/>
    <x v="1"/>
    <x v="0"/>
    <x v="0"/>
    <x v="0"/>
    <x v="4"/>
    <s v="Commerce &amp; Management"/>
    <s v="CB"/>
    <x v="2"/>
    <s v="Completed"/>
    <s v="Durban University of Technology"/>
    <s v="PhD Management Science Public Administration-Supply Chain Management"/>
    <s v="Supply chain social sustainability in the oil and gas industry of an emerging economy"/>
    <d v="2025-02-02T00:00:00"/>
    <n v="3"/>
    <s v="_x000d__x000a_2652168.06_x000d__x000a_"/>
    <s v="_x000d__x000a_2652168.06_x000d__x000a_"/>
    <s v="_x000d__x000a_2652168.06_x000d__x000a_"/>
  </r>
  <r>
    <s v="10/12/2025"/>
    <s v="2025-8214"/>
    <s v="Higher Education Awards"/>
    <s v="Portia Shay-Sithole"/>
    <s v="plsithole87@gmail.com"/>
    <x v="1"/>
    <x v="0"/>
    <x v="0"/>
    <x v="1"/>
    <x v="0"/>
    <x v="2"/>
    <s v="Applied Sciences"/>
    <s v="EM"/>
    <x v="1"/>
    <s v="Completed"/>
    <s v="UNISA"/>
    <s v="Master of Science in Technology Education"/>
    <s v="ICT in Education, e-learning, m-learning, and e-assessment authoring tools and it's effects on student learning and assessment"/>
    <d v="2026-04-01T00:00:00"/>
    <n v="3"/>
    <s v="_x000d__x000a_403660_x000d__x000a_"/>
    <s v="_x000d__x000a_403660_x000d__x000a_"/>
    <s v="_x000d__x000a_403660_x000d__x000a_"/>
  </r>
  <r>
    <s v="10/12/2025"/>
    <s v="2025-8237"/>
    <s v="Higher Education Awards"/>
    <s v="Ramatsobane Flaviour Shogole"/>
    <s v="Shogoleflaviour@yahoo.com"/>
    <x v="0"/>
    <x v="0"/>
    <x v="0"/>
    <x v="1"/>
    <x v="0"/>
    <x v="6"/>
    <s v="Social Sciences"/>
    <s v="EM"/>
    <x v="0"/>
    <s v="Completed"/>
    <s v="Sefako Makgatho Health Sciences University"/>
    <s v="MSc Clinical Psychology"/>
    <s v="Coping strategies for managing Neurocognitive impairment among Non-CNS cancer patients at a tertiary hospital in the Tshwane district"/>
    <d v="2025-01-06T00:00:00"/>
    <n v="2"/>
    <s v="_x000d__x000a_149000_x000d__x000a_"/>
    <s v="_x000d__x000a_149000_x000d__x000a_"/>
    <s v="_x000d__x000a_0_x000d__x000a_"/>
  </r>
  <r>
    <s v="10/12/2025"/>
    <s v="2025-8241"/>
    <s v="Higher Education Awards"/>
    <s v="Monique Pretorius"/>
    <s v="monique.visser2x@gmail.com"/>
    <x v="0"/>
    <x v="0"/>
    <x v="1"/>
    <x v="1"/>
    <x v="0"/>
    <x v="8"/>
    <s v="Health Sciences"/>
    <s v="CB"/>
    <x v="0"/>
    <s v="Draft"/>
    <s v="SMU (Sefako Makgatho Health Sciences University)"/>
    <s v="MMed Dermatology"/>
    <s v="STAPHYLOCOCCUS AUREUS COLONISATION IN PAEDIATRIC PATIENTS WITH ATOPIC DERMATITIS AT A TERTIARY HOSPITAL IN PRETORIA, GAUTENG PROVINCE."/>
    <d v="2025-06-05T00:00:00"/>
    <n v="2"/>
    <s v="_x000d__x000a_38000_x000d__x000a_"/>
    <s v="_x000d__x000a_36000_x000d__x000a_"/>
    <s v="_x000d__x000a_0_x000d__x000a_"/>
  </r>
  <r>
    <s v="10/12/2025"/>
    <s v="2025-8239"/>
    <s v="Higher Education Awards"/>
    <s v="Peter Swanepoel"/>
    <s v="pmswanepoel@gmail.com"/>
    <x v="3"/>
    <x v="1"/>
    <x v="1"/>
    <x v="0"/>
    <x v="0"/>
    <x v="2"/>
    <s v="Humanities"/>
    <s v="EM"/>
    <x v="14"/>
    <s v="Draft"/>
    <s v="University of Johannesburg"/>
    <s v="PhD (History)"/>
    <s v="The politics of performace in South African cycling 1970s-1980s"/>
    <d v="2026-01-01T00:00:00"/>
    <n v="3"/>
    <s v="_x000d__x000a_174000_x000d__x000a_"/>
    <s v="_x000d__x000a_174000_x000d__x000a_"/>
    <s v="_x000d__x000a_174000_x000d__x000a_"/>
  </r>
  <r>
    <s v="10/12/2025"/>
    <s v="2025-8242"/>
    <s v="Higher Education Awards"/>
    <s v="Letlotlo Appolus"/>
    <s v="letlotloap@gmail.com"/>
    <x v="3"/>
    <x v="0"/>
    <x v="0"/>
    <x v="0"/>
    <x v="0"/>
    <x v="2"/>
    <s v="Humanities"/>
    <s v="EM"/>
    <x v="8"/>
    <s v="Draft"/>
    <s v="Sol Plaatje University"/>
    <s v="Master of Arts (History)"/>
    <s v="The legacy of apartheid and its influence on cricket development after 1994"/>
    <d v="2026-02-16T00:00:00"/>
    <n v="2"/>
    <s v="_x000d__x000a_40000_x000d__x000a_"/>
    <s v="_x000d__x000a_40000_x000d__x000a_"/>
    <s v="_x000d__x000a_0_x000d__x000a_"/>
  </r>
  <r>
    <s v="10/12/2025"/>
    <s v="2025-8243"/>
    <s v="Higher Education Awards"/>
    <s v="Xolile Nuse"/>
    <s v="xolilenuse@gmail.com"/>
    <x v="0"/>
    <x v="2"/>
    <x v="0"/>
    <x v="0"/>
    <x v="0"/>
    <x v="8"/>
    <s v="Health Sciences"/>
    <s v="EM"/>
    <x v="0"/>
    <s v="Draft"/>
    <s v="University of the Witwatersrand"/>
    <s v="Postdoctoral Researcher in Infectious Disease Genomics"/>
    <s v="The use of whole genome sequencing for identification of isoniazid and fluoroquinolones resistance-conferring mutations missed by WHO recommended rapid nucleic acid amplification technologies (NAATs)"/>
    <d v="2026-01-01T00:00:00"/>
    <n v="2"/>
    <s v="_x000d__x000a_417960_x000d__x000a_"/>
    <s v="_x000d__x000a_395960_x000d__x000a_"/>
    <s v="_x000d__x000a_0_x000d__x000a_"/>
  </r>
  <r>
    <s v="10/12/2025"/>
    <s v="2025-8244"/>
    <s v="Higher Education Awards"/>
    <s v="Claire Rilett"/>
    <s v="cerilett@gmail.com"/>
    <x v="0"/>
    <x v="0"/>
    <x v="1"/>
    <x v="1"/>
    <x v="0"/>
    <x v="2"/>
    <s v="Humanities"/>
    <s v="EM"/>
    <x v="0"/>
    <s v="Completed"/>
    <s v="Stellenbosch University"/>
    <s v="Master of Arts in History"/>
    <s v="Environmental history, specifically conservation history"/>
    <d v="2025-02-03T00:00:00"/>
    <n v="1"/>
    <s v="_x000d__x000a_95310_x000d__x000a_"/>
    <s v="_x000d__x000a_0_x000d__x000a_"/>
    <s v="_x000d__x000a_0_x000d__x000a_"/>
  </r>
  <r>
    <s v="10/12/2025"/>
    <s v="2025-8252"/>
    <s v="Higher Education Awards"/>
    <s v="Kirsten Skippers"/>
    <s v="kirstenskippers@gmail.com"/>
    <x v="1"/>
    <x v="0"/>
    <x v="2"/>
    <x v="1"/>
    <x v="1"/>
    <x v="3"/>
    <s v="Performing &amp; Creative Arts"/>
    <s v="EM"/>
    <x v="15"/>
    <s v="Completed"/>
    <s v="The Manhattan School Of Music"/>
    <s v="MM Jazz Piano"/>
    <s v="South African Jazz"/>
    <d v="2025-08-25T00:00:00"/>
    <n v="2"/>
    <s v="_x000d__x000a_1073538.83_x000d__x000a_"/>
    <s v="_x000d__x000a_1073538.83_x000d__x000a_"/>
    <s v="_x000d__x000a_0_x000d__x000a_"/>
  </r>
  <r>
    <s v="10/12/2025"/>
    <s v="2025-8254"/>
    <s v="Higher Education Awards"/>
    <s v="Nthabiseng Donation Mathibedi"/>
    <s v="mathibedi.nthabiseng7@gmail.com"/>
    <x v="3"/>
    <x v="0"/>
    <x v="0"/>
    <x v="1"/>
    <x v="0"/>
    <x v="2"/>
    <s v="Other"/>
    <s v="EM"/>
    <x v="0"/>
    <s v="Draft"/>
    <s v="North west university and solplattje university"/>
    <s v="BEd masters in curriculum studies"/>
    <s v="The challenge experienced by primary school rural educators in implementing the curriculum"/>
    <d v="2026-01-01T00:00:00"/>
    <n v="2"/>
    <s v="_x000d__x000a_60000_x000d__x000a_"/>
    <s v="_x000d__x000a_60000_x000d__x000a_"/>
    <s v="_x000d__x000a_0_x000d__x000a_"/>
  </r>
  <r>
    <s v="10/12/2025"/>
    <s v="2025-8263"/>
    <s v="Higher Education Awards"/>
    <s v="Thina Gcobo"/>
    <s v="gcobothina@gmail.com"/>
    <x v="0"/>
    <x v="1"/>
    <x v="0"/>
    <x v="1"/>
    <x v="0"/>
    <x v="8"/>
    <s v="Health Sciences"/>
    <s v="EM"/>
    <x v="0"/>
    <s v="Completed"/>
    <s v="UCT"/>
    <s v="PhD"/>
    <s v="Human Genetics"/>
    <d v="2026-06-01T00:00:00"/>
    <n v="3"/>
    <s v="_x000d__x000a_241170_x000d__x000a_"/>
    <s v="_x000d__x000a_247000_x000d__x000a_"/>
    <s v="_x000d__x000a_253000_x000d__x000a_"/>
  </r>
  <r>
    <s v="10/12/2025"/>
    <s v="2025-8264"/>
    <s v="Higher Education Awards"/>
    <s v="Nontsikelelo Tshegofatso Ngixi"/>
    <s v="Tshegofatso.ngixi@icloud.com"/>
    <x v="0"/>
    <x v="0"/>
    <x v="0"/>
    <x v="1"/>
    <x v="0"/>
    <x v="2"/>
    <s v="Humanities"/>
    <s v="EM"/>
    <x v="0"/>
    <s v="Completed"/>
    <s v="Sol Plaatje University"/>
    <s v="Masters of Setswana"/>
    <s v="The role of Setswana proverbs in shaping leadership in contemporary world"/>
    <d v="2026-02-16T00:00:00"/>
    <n v="2"/>
    <s v="_x000d__x000a_180000_x000d__x000a_"/>
    <s v="_x000d__x000a_180000_x000d__x000a_"/>
    <s v="_x000d__x000a_0_x000d__x000a_"/>
  </r>
  <r>
    <s v="10/12/2025"/>
    <s v="2025-8265"/>
    <s v="Higher Education Awards"/>
    <s v="Miaze Maboshe Lupinda"/>
    <s v="miazemaboshe@gmail.com"/>
    <x v="0"/>
    <x v="0"/>
    <x v="0"/>
    <x v="1"/>
    <x v="0"/>
    <x v="4"/>
    <s v="Commerce &amp; Management"/>
    <s v="EM"/>
    <x v="0"/>
    <s v="Completed"/>
    <s v="University of Stellenbosch"/>
    <s v="MPhil in Development Finance"/>
    <s v="Blended Finance Models for Empowering Women and Youth Enterprises in Sub-Saharan Africa: Bridging the Financing Gap for Inclusive Growth"/>
    <d v="2026-04-13T00:00:00"/>
    <n v="2"/>
    <s v="_x000d__x000a_172368_x000d__x000a_"/>
    <s v="_x000d__x000a_156586_x000d__x000a_"/>
    <s v="_x000d__x000a_0_x000d__x000a_"/>
  </r>
  <r>
    <s v="10/12/2025"/>
    <s v="2025-8270"/>
    <s v="Higher Education Awards"/>
    <s v="Sinekamva Mnyamana"/>
    <s v="sinekamva503@gmail.com"/>
    <x v="0"/>
    <x v="0"/>
    <x v="0"/>
    <x v="0"/>
    <x v="0"/>
    <x v="5"/>
    <s v="Natural Sciences"/>
    <s v="EM"/>
    <x v="0"/>
    <s v="Draft"/>
    <s v="University of Johannesburg"/>
    <s v="Biochemistry"/>
    <s v="Metabolomics"/>
    <d v="2025-01-01T00:00:00"/>
    <n v="2"/>
    <s v="_x000d__x000a_230000_x000d__x000a_"/>
    <s v="_x000d__x000a_230000_x000d__x000a_"/>
    <s v="_x000d__x000a_0_x000d__x000a_"/>
  </r>
  <r>
    <s v="10/12/2025"/>
    <s v="2025-8272"/>
    <s v="Higher Education Awards"/>
    <s v="Thobile Ndlovu"/>
    <s v="thobzido2@gmail.com"/>
    <x v="1"/>
    <x v="0"/>
    <x v="0"/>
    <x v="1"/>
    <x v="0"/>
    <x v="8"/>
    <s v="Health Sciences"/>
    <s v="EM"/>
    <x v="1"/>
    <s v="Completed"/>
    <s v="Stellenbosch university"/>
    <s v="MSc pharmacology"/>
    <s v="Advances in pharmacodynamics"/>
    <d v="2026-01-04T00:00:00"/>
    <n v="2"/>
    <s v="_x000d__x000a_111602_x000d__x000a_"/>
    <s v="_x000d__x000a_95404_x000d__x000a_"/>
    <s v="_x000d__x000a_0_x000d__x000a_"/>
  </r>
  <r>
    <s v="10/12/2025"/>
    <s v="2025-8274"/>
    <s v="Higher Education Awards"/>
    <s v="Keaghan Brown"/>
    <s v="3687524@myuwc.ac.za"/>
    <x v="3"/>
    <x v="1"/>
    <x v="1"/>
    <x v="0"/>
    <x v="0"/>
    <x v="5"/>
    <s v="Natural Sciences"/>
    <s v="EM"/>
    <x v="1"/>
    <s v="Completed"/>
    <s v="University of the Western Cape"/>
    <s v="PhD Bioinformatics"/>
    <s v="Software Development"/>
    <d v="2024-01-15T00:00:00"/>
    <n v="2"/>
    <s v="_x000d__x000a_25000_x000d__x000a_"/>
    <s v="_x000d__x000a_26700_x000d__x000a_"/>
    <s v="_x000d__x000a_0_x000d__x000a_"/>
  </r>
  <r>
    <s v="10/12/2025"/>
    <s v="2025-8275"/>
    <s v="Higher Education Awards"/>
    <s v="Keletso Doctor Dibatana"/>
    <s v="doctordibatana1@gmail.com"/>
    <x v="3"/>
    <x v="0"/>
    <x v="0"/>
    <x v="0"/>
    <x v="0"/>
    <x v="7"/>
    <s v="Law"/>
    <s v="EM"/>
    <x v="0"/>
    <s v="Completed"/>
    <s v="NORTH WEST UNIVERSITY"/>
    <s v="Masters of Law in Labour Law (Coursework and Research)"/>
    <s v="PRESCRIPTION OF ARBITRATION AWARDS"/>
    <d v="2026-03-02T00:00:00"/>
    <n v="2"/>
    <s v="_x000d__x000a_48000_x000d__x000a_"/>
    <s v="_x000d__x000a_48000_x000d__x000a_"/>
    <s v="_x000d__x000a_0_x000d__x000a_"/>
  </r>
  <r>
    <s v="10/12/2025"/>
    <s v="2025-8279"/>
    <s v="Higher Education Awards"/>
    <s v="Balungile Shamase"/>
    <s v="balungilesphelele@gmail.com"/>
    <x v="0"/>
    <x v="0"/>
    <x v="0"/>
    <x v="1"/>
    <x v="0"/>
    <x v="5"/>
    <s v="Natural Sciences"/>
    <s v="EM"/>
    <x v="0"/>
    <s v="Completed"/>
    <s v="University of Zululand "/>
    <s v="MSc Agriculture in Animal Science "/>
    <s v="Tripartite the interaction between gene expression, selenium profile and time to puberty attainment in lamb "/>
    <d v="2025-05-29T00:00:00"/>
    <n v="2"/>
    <s v="_x000d__x000a_127135_x000d__x000a_"/>
    <s v="_x000d__x000a_217135_x000d__x000a_"/>
    <s v="_x000d__x000a_0_x000d__x000a_"/>
  </r>
  <r>
    <s v="10/12/2025"/>
    <s v="2025-8281"/>
    <s v="Higher Education Awards"/>
    <s v="Vuyo Seloane"/>
    <s v="vtseloane@gmail.com"/>
    <x v="0"/>
    <x v="0"/>
    <x v="0"/>
    <x v="0"/>
    <x v="0"/>
    <x v="2"/>
    <s v="Humanities"/>
    <s v="EM"/>
    <x v="0"/>
    <s v="Completed"/>
    <s v="The University of the Witwatersrand"/>
    <s v="Clinical Psychology"/>
    <s v="The prevalence of African Spiritualist Treatment Programmes for mental illness in South Africa, and how they compare in efficacy to Western Psychodiagnostic and Treatment Programmes and Tools."/>
    <d v="2026-01-01T00:00:00"/>
    <n v="2"/>
    <s v="_x000d__x000a_190000_x000d__x000a_"/>
    <s v="_x000d__x000a_183000_x000d__x000a_"/>
    <s v="_x000d__x000a_0_x000d__x000a_"/>
  </r>
  <r>
    <s v="10/12/2025"/>
    <s v="2025-8287"/>
    <s v="Higher Education Awards"/>
    <s v="Relebohile Agnes Khoza"/>
    <s v="khozarelebohile1@gmail.com"/>
    <x v="3"/>
    <x v="0"/>
    <x v="0"/>
    <x v="1"/>
    <x v="1"/>
    <x v="2"/>
    <s v="Other"/>
    <s v="EM"/>
    <x v="16"/>
    <s v="Completed"/>
    <s v="University of Alberta"/>
    <s v="Education"/>
    <s v="Educational Policies and Leadership"/>
    <d v="2026-09-01T00:00:00"/>
    <n v="3"/>
    <s v="_x000d__x000a_229360.35_x000d__x000a_"/>
    <s v="_x000d__x000a_229360.35_x000d__x000a_"/>
    <s v="_x000d__x000a_229360.35_x000d__x000a_"/>
  </r>
  <r>
    <s v="10/12/2025"/>
    <s v="2025-8292"/>
    <s v="Higher Education Awards"/>
    <s v="Solomzi Tshona"/>
    <s v="tshonasolly@icloud.com"/>
    <x v="3"/>
    <x v="1"/>
    <x v="0"/>
    <x v="0"/>
    <x v="0"/>
    <x v="4"/>
    <s v="Commerce &amp; Management"/>
    <s v="EM"/>
    <x v="0"/>
    <s v="Draft"/>
    <s v="University of Kwazulu Natala"/>
    <s v="Maritime Strategy"/>
    <s v="Alignment of Maritme work into the Operation Phakisa Model"/>
    <d v="2026-01-01T00:00:00"/>
    <n v="2"/>
    <s v="_x000d__x000a_9000_x000d__x000a_"/>
    <s v="_x000d__x000a_9000_x000d__x000a_"/>
    <s v="_x000d__x000a_0_x000d__x000a_"/>
  </r>
  <r>
    <s v="10/12/2025"/>
    <s v="2025-8301"/>
    <s v="Higher Education Awards"/>
    <s v="Bianca Breytenbach"/>
    <s v="bianca.breytenbach@icloud.com"/>
    <x v="0"/>
    <x v="0"/>
    <x v="1"/>
    <x v="1"/>
    <x v="0"/>
    <x v="8"/>
    <s v="Health Sciences"/>
    <s v="EM"/>
    <x v="0"/>
    <s v="Completed"/>
    <s v="University of Stellenbosch"/>
    <s v="MSc in Neuroscience"/>
    <s v="Epigenetic correlates of post-trauma symptom trajectories in South African adolescents"/>
    <d v="2026-01-01T00:00:00"/>
    <n v="2"/>
    <s v="_x000d__x000a_132500_x000d__x000a_"/>
    <s v="_x000d__x000a_95300_x000d__x000a_"/>
    <s v="_x000d__x000a_0_x000d__x000a_"/>
  </r>
  <r>
    <s v="10/12/2025"/>
    <s v="2025-8308"/>
    <s v="Higher Education Awards"/>
    <s v="Babatunde Opesemowo"/>
    <s v="tunexlevel8@gmail.com"/>
    <x v="0"/>
    <x v="1"/>
    <x v="0"/>
    <x v="0"/>
    <x v="0"/>
    <x v="0"/>
    <s v="Applied Sciences"/>
    <s v="EM"/>
    <x v="0"/>
    <s v="Completed"/>
    <s v="University of Johannesburg"/>
    <s v="PhD in Computer Science"/>
    <s v="Application of Artificial Intelligence in Robotic Chemistry"/>
    <d v="2025-02-17T00:00:00"/>
    <n v="3"/>
    <s v="_x000d__x000a_54333_x000d__x000a_"/>
    <s v="_x000d__x000a_57640_x000d__x000a_"/>
    <s v="_x000d__x000a_64240_x000d__x000a_"/>
  </r>
  <r>
    <s v="10/12/2025"/>
    <s v="2025-8322"/>
    <s v="Higher Education Awards"/>
    <s v="LERATO MAMOSEBO"/>
    <s v="leratomamosebo@yahoo.co.uk"/>
    <x v="0"/>
    <x v="0"/>
    <x v="0"/>
    <x v="1"/>
    <x v="0"/>
    <x v="8"/>
    <s v="Health Sciences"/>
    <s v="EM"/>
    <x v="0"/>
    <s v="Draft"/>
    <s v="Sefako Makgatho Health Sciences University"/>
    <s v="MASTERS"/>
    <s v="The impact of vestibular function in adult patients with cognitive impairments: A Systematic review and Meta analysis"/>
    <d v="2025-04-01T00:00:00"/>
    <n v="2"/>
    <s v="_x000d__x000a_230000_x000d__x000a_"/>
    <s v="_x000d__x000a_240000_x000d__x000a_"/>
    <s v="_x000d__x000a_0_x000d__x000a_"/>
  </r>
  <r>
    <s v="10/12/2025"/>
    <s v="2025-8323"/>
    <s v="Higher Education Awards"/>
    <s v="Lesibana Petrus Maema"/>
    <s v="plesibana@gmail.com"/>
    <x v="0"/>
    <x v="1"/>
    <x v="0"/>
    <x v="0"/>
    <x v="0"/>
    <x v="5"/>
    <s v="Natural Sciences"/>
    <s v="EM"/>
    <x v="0"/>
    <s v="Draft"/>
    <s v="University of Venda"/>
    <s v="First choice: PhD Zoology"/>
    <s v="Prioritising introduction pathways for management of biological invasions in the Mapungubwe and Marakele National Park"/>
    <d v="2024-02-12T00:00:00"/>
    <n v="1"/>
    <s v="_x000d__x000a_-38248_x000d__x000a_"/>
    <s v="_x000d__x000a_0_x000d__x000a_"/>
    <s v="_x000d__x000a_0_x000d__x000a_"/>
  </r>
  <r>
    <s v="10/12/2025"/>
    <s v="2025-8324"/>
    <s v="Higher Education Awards"/>
    <s v="Caitlin Hoffman"/>
    <s v="26137305@sun.ac.za"/>
    <x v="0"/>
    <x v="0"/>
    <x v="1"/>
    <x v="1"/>
    <x v="0"/>
    <x v="5"/>
    <s v="Natural Sciences"/>
    <s v="EM"/>
    <x v="0"/>
    <s v="Completed"/>
    <s v="Stellenbosch University"/>
    <s v="MSc Microbiology"/>
    <s v="Yeast Biotechnology"/>
    <d v="2026-02-01T00:00:00"/>
    <n v="2"/>
    <s v="_x000d__x000a_146500_x000d__x000a_"/>
    <s v="_x000d__x000a_146500_x000d__x000a_"/>
    <s v="_x000d__x000a_0_x000d__x000a_"/>
  </r>
  <r>
    <s v="10/12/2025"/>
    <s v="2025-8340"/>
    <s v="Higher Education Awards"/>
    <s v="Januario Da Costa Hossi"/>
    <s v="hossijanuario70@gmail.com"/>
    <x v="0"/>
    <x v="2"/>
    <x v="0"/>
    <x v="0"/>
    <x v="0"/>
    <x v="1"/>
    <s v="Engineering &amp; the Built Environment"/>
    <s v="EM"/>
    <x v="0"/>
    <s v="Completed"/>
    <s v="University of the Witwatersrand"/>
    <s v="Chemical Engineering"/>
    <s v="Biodiesel waste valorisation though hydrothermal carbonization technology for sustainable biofuels production in South Africa"/>
    <d v="2026-01-05T00:00:00"/>
    <n v="2"/>
    <s v="_x000d__x000a_490000_x000d__x000a_"/>
    <s v="_x000d__x000a_455000_x000d__x000a_"/>
    <s v="_x000d__x000a_0_x000d__x000a_"/>
  </r>
  <r>
    <s v="10/12/2025"/>
    <s v="2025-8341"/>
    <s v="Higher Education Awards"/>
    <s v="Gugulethu Khumalo"/>
    <s v="g.p.khumalo@qmul.ac.uk"/>
    <x v="0"/>
    <x v="2"/>
    <x v="0"/>
    <x v="1"/>
    <x v="1"/>
    <x v="8"/>
    <s v="Health Sciences"/>
    <s v="EM"/>
    <x v="17"/>
    <s v="Draft"/>
    <s v="Queen Mary University of London"/>
    <s v="Immunology with a focus on natural product therapeutics"/>
    <s v="Anti-inflammatory and Pro-resolving effects of Indigenous South African medicinal plants"/>
    <d v="2024-11-18T00:00:00"/>
    <n v="1"/>
    <s v="_x000d__x000a_-6384569.38_x000d__x000a_"/>
    <s v="_x000d__x000a_0_x000d__x000a_"/>
    <s v="_x000d__x000a_0_x000d__x000a_"/>
  </r>
  <r>
    <s v="10/12/2025"/>
    <s v="2025-8350"/>
    <s v="Higher Education Awards"/>
    <s v="Variety Thabane"/>
    <s v="varietynkateko@gmail.com"/>
    <x v="1"/>
    <x v="1"/>
    <x v="0"/>
    <x v="1"/>
    <x v="0"/>
    <x v="5"/>
    <s v="Natural Sciences"/>
    <s v="EM"/>
    <x v="1"/>
    <s v="Completed"/>
    <s v="University of Mpumalanga"/>
    <s v="PhD In Agricultural Extension"/>
    <s v="Local Agronomic Practices for Indigenous Crops and Climate Change Resiliency: Implications for Food Systems in Mpumalanga"/>
    <d v="2025-02-03T00:00:00"/>
    <n v="3"/>
    <s v="_x000d__x000a_68775_x000d__x000a_"/>
    <s v="_x000d__x000a_52775_x000d__x000a_"/>
    <s v="_x000d__x000a_52775_x000d__x000a_"/>
  </r>
  <r>
    <s v="10/12/2025"/>
    <s v="2025-8352"/>
    <s v="Higher Education Awards"/>
    <s v="Leegan Govender"/>
    <s v="govenderl@sun.ac.za"/>
    <x v="0"/>
    <x v="1"/>
    <x v="4"/>
    <x v="1"/>
    <x v="0"/>
    <x v="8"/>
    <s v="Health Sciences"/>
    <s v="EM"/>
    <x v="0"/>
    <s v="Completed"/>
    <s v="University of Stellenbosch"/>
    <s v="PhD Human Genetics"/>
    <s v="Autophagy related to Tuberculosis in South Africa"/>
    <d v="2025-01-28T00:00:00"/>
    <n v="3"/>
    <s v="_x000d__x000a_260000_x000d__x000a_"/>
    <s v="_x000d__x000a_250000_x000d__x000a_"/>
    <s v="_x000d__x000a_250000_x000d__x000a_"/>
  </r>
  <r>
    <s v="10/12/2025"/>
    <s v="2025-8353"/>
    <s v="Higher Education Awards"/>
    <s v="Gcina Jojo"/>
    <s v="jojolufefkazi@gmail.com"/>
    <x v="3"/>
    <x v="0"/>
    <x v="0"/>
    <x v="1"/>
    <x v="0"/>
    <x v="6"/>
    <s v="Social Sciences"/>
    <s v="EM"/>
    <x v="0"/>
    <s v="Completed"/>
    <s v="Stellenbosch University"/>
    <s v="MPhil in Interdisciplinary Arts Studies"/>
    <s v="Ethnomusicology: History of Xhosa Christian Music"/>
    <d v="2026-01-05T00:00:00"/>
    <n v="1"/>
    <s v="_x000d__x000a_15000_x000d__x000a_"/>
    <s v="_x000d__x000a_0_x000d__x000a_"/>
    <s v="_x000d__x000a_0_x000d__x000a_"/>
  </r>
  <r>
    <s v="10/12/2025"/>
    <s v="2025-8359"/>
    <s v="Higher Education Awards"/>
    <s v="Danielle Sabor"/>
    <s v="dlsabor196@gmail.com"/>
    <x v="0"/>
    <x v="0"/>
    <x v="1"/>
    <x v="1"/>
    <x v="0"/>
    <x v="0"/>
    <s v="Natural Sciences"/>
    <s v="EM"/>
    <x v="0"/>
    <s v="Completed"/>
    <s v="University of Cape Town"/>
    <s v="Organometalic chemistry"/>
    <s v="Benzothiazole based ruthenium complexes used as anti-cancer agents"/>
    <d v="2026-01-12T00:00:00"/>
    <n v="2"/>
    <s v="_x000d__x000a_246500_x000d__x000a_"/>
    <s v="_x000d__x000a_246500_x000d__x000a_"/>
    <s v="_x000d__x000a_0_x000d__x000a_"/>
  </r>
  <r>
    <s v="10/12/2025"/>
    <s v="2025-8363"/>
    <s v="Higher Education Awards"/>
    <s v="Bright Mthembeni Hlongwane"/>
    <s v="brighthlongwane@icloud.com"/>
    <x v="1"/>
    <x v="0"/>
    <x v="0"/>
    <x v="0"/>
    <x v="0"/>
    <x v="4"/>
    <s v="Commerce &amp; Management"/>
    <s v="EM"/>
    <x v="18"/>
    <s v="Completed"/>
    <s v="Gordon Institute of Business Science (GIBS), University of Pretoria"/>
    <s v="Master of Business Administration"/>
    <s v="Business Administration"/>
    <d v="2025-06-30T00:00:00"/>
    <n v="1"/>
    <s v="_x000d__x000a_372609_x000d__x000a_"/>
    <s v="_x000d__x000a_0_x000d__x000a_"/>
    <s v="_x000d__x000a_0_x000d__x000a_"/>
  </r>
  <r>
    <s v="10/12/2025"/>
    <s v="2025-8366"/>
    <s v="Higher Education Awards"/>
    <s v="Caswell Nkotsana Maja"/>
    <s v="Nkotsana86@gmail.com"/>
    <x v="3"/>
    <x v="1"/>
    <x v="0"/>
    <x v="0"/>
    <x v="0"/>
    <x v="4"/>
    <s v="Commerce &amp; Management"/>
    <s v="EM"/>
    <x v="8"/>
    <s v="Draft"/>
    <s v="University of limpopo"/>
    <s v="PhD"/>
    <s v="Antecedents of digital transformation and effects of hospitality firms in Gauteng Province, South Africa"/>
    <d v="2023-05-25T00:00:00"/>
    <n v="1"/>
    <s v="_x000d__x000a_160000_x000d__x000a_"/>
    <s v="_x000d__x000a_0_x000d__x000a_"/>
    <s v="_x000d__x000a_0_x000d__x000a_"/>
  </r>
  <r>
    <s v="10/12/2025"/>
    <s v="2025-8369"/>
    <s v="Higher Education Awards"/>
    <s v="Nwabisa Millicent Yekani"/>
    <s v="nwabisa.yekani@gmail.com"/>
    <x v="1"/>
    <x v="0"/>
    <x v="0"/>
    <x v="1"/>
    <x v="0"/>
    <x v="4"/>
    <s v="Commerce &amp; Management"/>
    <s v="EM"/>
    <x v="18"/>
    <s v="Completed"/>
    <s v="Stellenbosch University"/>
    <s v="Masters Business Management and Administration"/>
    <s v="MBA Generalist"/>
    <d v="2026-02-16T00:00:00"/>
    <n v="2"/>
    <s v="_x000d__x000a_207646_x000d__x000a_"/>
    <s v="_x000d__x000a_186035_x000d__x000a_"/>
    <s v="_x000d__x000a_0_x000d__x000a_"/>
  </r>
  <r>
    <s v="10/12/2025"/>
    <s v="2025-8380"/>
    <s v="Higher Education Awards"/>
    <s v="Diago Yolatha Ngubelanga"/>
    <s v="ngubelangadiago@gmail.com"/>
    <x v="1"/>
    <x v="0"/>
    <x v="0"/>
    <x v="0"/>
    <x v="0"/>
    <x v="5"/>
    <s v="Natural Sciences"/>
    <s v="EM"/>
    <x v="1"/>
    <s v="Completed"/>
    <s v="Nelson Mandela University"/>
    <s v="Master of Science: Agriculture (Research)"/>
    <s v="Seasonal Assessment and Comparison of CO₂ Emissions from Synthetic and Organic Fertilizers on Swiss Chard (Beta vulgaris L.) Production: A Climate-Smart Agriculture Study Using Picarro G2201-i CRDS Analyzer in South Africa."/>
    <d v="2025-02-10T00:00:00"/>
    <n v="2"/>
    <s v="_x000d__x000a_6000_x000d__x000a_"/>
    <s v="_x000d__x000a_60000_x000d__x000a_"/>
    <s v="_x000d__x000a_0_x000d__x000a_"/>
  </r>
  <r>
    <s v="10/12/2025"/>
    <s v="2025-8383"/>
    <s v="Higher Education Awards"/>
    <s v="Bahle Luyanda Mntambo"/>
    <s v="bahledave@gmail.com"/>
    <x v="0"/>
    <x v="1"/>
    <x v="0"/>
    <x v="0"/>
    <x v="0"/>
    <x v="0"/>
    <s v="Applied Sciences"/>
    <s v="EM"/>
    <x v="0"/>
    <s v="Completed"/>
    <s v="University of Johannesburg"/>
    <s v="PhD Computational Chemistry"/>
    <s v="Structure-Based Design of Indole-Pyrazole Derivatives as Dual BRAF/MEK Inhibitors: Synthesis, Anticancer Activity, and Computational Validation of MAPK Pathway Suppression."/>
    <d v="2026-02-02T00:00:00"/>
    <n v="3"/>
    <s v="_x000d__x000a_188000_x000d__x000a_"/>
    <s v="_x000d__x000a_168000_x000d__x000a_"/>
    <s v="_x000d__x000a_168000_x000d__x000a_"/>
  </r>
  <r>
    <s v="10/12/2025"/>
    <s v="2025-8386"/>
    <s v="Higher Education Awards"/>
    <s v="Bruce Montiea"/>
    <s v="bruce.montiea@gmail.com"/>
    <x v="1"/>
    <x v="1"/>
    <x v="0"/>
    <x v="0"/>
    <x v="0"/>
    <x v="2"/>
    <s v="Humanities"/>
    <s v="EM"/>
    <x v="1"/>
    <s v="Completed"/>
    <s v="University of Johannesburg"/>
    <s v="History"/>
    <s v="The use of public health legislation by colonial authorities to create spatial segregation in pre-Union South Africa"/>
    <d v="2026-01-05T00:00:00"/>
    <n v="2"/>
    <s v="_x000d__x000a_61000_x000d__x000a_"/>
    <s v="_x000d__x000a_61000_x000d__x000a_"/>
    <s v="_x000d__x000a_0_x000d__x000a_"/>
  </r>
  <r>
    <s v="10/12/2025"/>
    <s v="2025-8394"/>
    <s v="Higher Education Awards"/>
    <s v="Simo Khumalo"/>
    <s v="situation643@gmail.com"/>
    <x v="3"/>
    <x v="1"/>
    <x v="0"/>
    <x v="0"/>
    <x v="0"/>
    <x v="4"/>
    <s v="Commerce &amp; Management"/>
    <s v="EM"/>
    <x v="8"/>
    <s v="Draft"/>
    <s v="University of Johannesburg"/>
    <s v="Business Management"/>
    <s v="Employing Global Positioning Systems (GPS) for the Identification and Recovery of Stolen Livestock"/>
    <d v="2026-01-12T00:00:00"/>
    <n v="3"/>
    <s v="_x000d__x000a_85610_x000d__x000a_"/>
    <s v="_x000d__x000a_95610_x000d__x000a_"/>
    <s v="_x000d__x000a_95610_x000d__x000a_"/>
  </r>
  <r>
    <s v="10/12/2025"/>
    <s v="2025-8396"/>
    <s v="Higher Education Awards"/>
    <s v="Ditiro Letsoalo"/>
    <s v="dtirow@gmail.com"/>
    <x v="3"/>
    <x v="0"/>
    <x v="0"/>
    <x v="0"/>
    <x v="0"/>
    <x v="0"/>
    <s v="Applied Sciences"/>
    <s v="EM"/>
    <x v="0"/>
    <s v="Completed"/>
    <s v="University of Cape Town"/>
    <s v="Master of Science in Statistics and Data Science"/>
    <s v="Statistics"/>
    <d v="2025-01-20T00:00:00"/>
    <n v="2"/>
    <s v="_x000d__x000a_160000_x000d__x000a_"/>
    <s v="_x000d__x000a_109000_x000d__x000a_"/>
    <s v="_x000d__x000a_0_x000d__x000a_"/>
  </r>
  <r>
    <s v="10/12/2025"/>
    <s v="2025-8399"/>
    <s v="Higher Education Awards"/>
    <s v="Mpho Mhlongo"/>
    <s v="mphomhlongo1@gmail.com"/>
    <x v="3"/>
    <x v="1"/>
    <x v="0"/>
    <x v="0"/>
    <x v="0"/>
    <x v="4"/>
    <s v="Commerce &amp; Management"/>
    <s v="EM"/>
    <x v="8"/>
    <s v="Draft"/>
    <s v="North West University"/>
    <s v="PhD Economics"/>
    <s v="The nexus between fiscal and monetary policy instruments and growth among Southern African Development Community SADC member states"/>
    <d v="2026-01-30T00:00:00"/>
    <n v="3"/>
    <s v="_x000d__x000a_138000_x000d__x000a_"/>
    <s v="_x000d__x000a_138000_x000d__x000a_"/>
    <s v="_x000d__x000a_138000_x000d__x000a_"/>
  </r>
  <r>
    <s v="10/12/2025"/>
    <s v="2025-8409"/>
    <s v="Higher Education Awards"/>
    <s v="GUGULETHU JAMJAM"/>
    <s v="LULOBAND@GMAIL.COM"/>
    <x v="0"/>
    <x v="0"/>
    <x v="0"/>
    <x v="0"/>
    <x v="0"/>
    <x v="2"/>
    <s v="Humanities"/>
    <s v="EM"/>
    <x v="0"/>
    <s v="Draft"/>
    <s v="University of Cape Town"/>
    <s v="Criminal Justice Social Work"/>
    <s v="Introduction to Forensic Social Work and Probation Practice in South Africa."/>
    <d v="2025-01-27T00:00:00"/>
    <n v="1"/>
    <s v="_x000d__x000a_147560_x000d__x000a_"/>
    <s v="_x000d__x000a_0_x000d__x000a_"/>
    <s v="_x000d__x000a_0_x000d__x000a_"/>
  </r>
  <r>
    <s v="10/12/2025"/>
    <s v="2025-8411"/>
    <s v="Higher Education Awards"/>
    <s v="SOPHIA CHAGWANDA"/>
    <s v="sophiachagwanda@gmail.com"/>
    <x v="3"/>
    <x v="1"/>
    <x v="0"/>
    <x v="1"/>
    <x v="0"/>
    <x v="4"/>
    <s v="Commerce &amp; Management"/>
    <s v="EM"/>
    <x v="0"/>
    <s v="Completed"/>
    <s v="University of Johannesburg"/>
    <s v="PhD in Finance"/>
    <s v="AI ADOPTION IN INVESTMENT DECISION-MAKING."/>
    <d v="2025-02-10T00:00:00"/>
    <n v="3"/>
    <s v="_x000d__x000a_109068_x000d__x000a_"/>
    <s v="_x000d__x000a_144800_x000d__x000a_"/>
    <s v="_x000d__x000a_144800_x000d__x000a_"/>
  </r>
  <r>
    <s v="10/12/2025"/>
    <s v="2025-8417"/>
    <s v="Higher Education Awards"/>
    <s v="Khadijah Amarah Moosa"/>
    <s v="amarahmoosa62@gmail.com"/>
    <x v="0"/>
    <x v="0"/>
    <x v="4"/>
    <x v="1"/>
    <x v="0"/>
    <x v="5"/>
    <s v="Natural Sciences"/>
    <s v="EM"/>
    <x v="0"/>
    <s v="Completed"/>
    <s v="University of Cape Town"/>
    <s v="Masters in Biological Science"/>
    <s v="Locomotor performance, thermal physiology, and osteoderm variation in Hemicordylus capensis."/>
    <d v="2026-02-09T00:00:00"/>
    <n v="2"/>
    <s v="_x000d__x000a_287600_x000d__x000a_"/>
    <s v="_x000d__x000a_287600_x000d__x000a_"/>
    <s v="_x000d__x000a_0_x000d__x000a_"/>
  </r>
  <r>
    <s v="10/12/2025"/>
    <s v="2025-8426"/>
    <s v="Higher Education Awards"/>
    <s v="ZamaNtungwa Khumalo"/>
    <s v="Zamantungwaf@gmail.com"/>
    <x v="3"/>
    <x v="1"/>
    <x v="0"/>
    <x v="1"/>
    <x v="0"/>
    <x v="4"/>
    <s v="Commerce &amp; Management"/>
    <s v="EM"/>
    <x v="0"/>
    <s v="Completed"/>
    <s v="University of KwaZulu natal"/>
    <s v="Doctor of philosophy in supply chain management"/>
    <s v="AI-Driven Supply Chains and Outsourced Labour in Foreign-Acquired FMCG Firms: Evaluating the Transformation of Local Operations in South Africa"/>
    <d v="2026-02-16T00:00:00"/>
    <n v="3"/>
    <s v="_x000d__x000a_77036_x000d__x000a_"/>
    <s v="_x000d__x000a_82994_x000d__x000a_"/>
    <s v="_x000d__x000a_97181_x000d__x000a_"/>
  </r>
  <r>
    <s v="10/12/2025"/>
    <s v="2025-8431"/>
    <s v="Higher Education Awards"/>
    <s v="Siyanda Mntambo"/>
    <s v="syandamntambo88@gmail.com"/>
    <x v="0"/>
    <x v="0"/>
    <x v="0"/>
    <x v="0"/>
    <x v="0"/>
    <x v="5"/>
    <s v="Natural Sciences"/>
    <s v="EM"/>
    <x v="16"/>
    <s v="Completed"/>
    <s v="University of Zululand"/>
    <s v="Masters"/>
    <s v="Influence of catfish and tilapia effluent on the Agro-morphological and nutrient evaluation of groundnut infested with groundnut leaf miner"/>
    <d v="2025-01-04T00:00:00"/>
    <n v="2"/>
    <s v="_x000d__x000a_58500_x000d__x000a_"/>
    <s v="_x000d__x000a_75000_x000d__x000a_"/>
    <s v="_x000d__x000a_0_x000d__x000a_"/>
  </r>
  <r>
    <s v="10/12/2025"/>
    <s v="2025-8441"/>
    <s v="Higher Education Awards"/>
    <s v="sekoele kobjana"/>
    <s v="u11042126@tuks.co.za"/>
    <x v="3"/>
    <x v="0"/>
    <x v="0"/>
    <x v="0"/>
    <x v="0"/>
    <x v="1"/>
    <s v="Engineering &amp; the Built Environment"/>
    <s v="EM"/>
    <x v="19"/>
    <s v="Draft"/>
    <s v="Univeristy of Pretoria"/>
    <s v="MEng Environmental Engineering"/>
    <s v="Continuous removal of As(V) and/or Hg (II):mechanistic model for scaling of continuous flow reactor."/>
    <d v="2026-01-01T00:00:00"/>
    <n v="2"/>
    <s v="_x000d__x000a_154448_x000d__x000a_"/>
    <s v="_x000d__x000a_154448_x000d__x000a_"/>
    <s v="_x000d__x000a_0_x000d__x000a_"/>
  </r>
  <r>
    <s v="10/12/2025"/>
    <s v="2025-8445"/>
    <s v="Higher Education Awards"/>
    <s v="S'phamandla Msomi"/>
    <s v="21955453@dut4life.ac.za"/>
    <x v="0"/>
    <x v="1"/>
    <x v="0"/>
    <x v="0"/>
    <x v="0"/>
    <x v="5"/>
    <s v="Natural Sciences"/>
    <s v="EM"/>
    <x v="0"/>
    <s v="Completed"/>
    <s v="University of the Western Cape"/>
    <s v="PhD in Biotechnology"/>
    <s v="Characterization of Class I lanthipeptides from Gram-negative marine invertebrate endosymbionts"/>
    <d v="2026-01-15T00:00:00"/>
    <n v="3"/>
    <s v="_x000d__x000a_200000_x000d__x000a_"/>
    <s v="_x000d__x000a_200000_x000d__x000a_"/>
    <s v="_x000d__x000a_200000_x000d__x000a_"/>
  </r>
  <r>
    <s v="10/12/2025"/>
    <s v="2025-8446"/>
    <s v="Higher Education Awards"/>
    <s v="Adam Levin"/>
    <s v="leviaj@gmail.com"/>
    <x v="0"/>
    <x v="2"/>
    <x v="1"/>
    <x v="0"/>
    <x v="0"/>
    <x v="2"/>
    <s v="Humanities"/>
    <s v="EM"/>
    <x v="0"/>
    <s v="Completed"/>
    <s v="University of the Witwatersrand"/>
    <s v="Postdoctoral Research"/>
    <s v="English Literature"/>
    <d v="2026-02-01T00:00:00"/>
    <n v="1"/>
    <s v="_x000d__x000a_300000_x000d__x000a_"/>
    <s v="_x000d__x000a_0_x000d__x000a_"/>
    <s v="_x000d__x000a_0_x000d__x000a_"/>
  </r>
  <r>
    <s v="10/12/2025"/>
    <s v="2025-8458"/>
    <s v="Higher Education Awards"/>
    <s v="Sibongile Luthuli"/>
    <s v="Sibongile@rekopane.co.za"/>
    <x v="1"/>
    <x v="0"/>
    <x v="0"/>
    <x v="1"/>
    <x v="1"/>
    <x v="4"/>
    <s v="Other"/>
    <s v="EM"/>
    <x v="15"/>
    <s v="Completed"/>
    <s v="Cambridge Institute for Sustainability Leadership"/>
    <s v="Master of Studies"/>
    <s v="Sustainability Leadership"/>
    <d v="2025-09-14T00:00:00"/>
    <n v="2"/>
    <s v="_x000d__x000a_402749.84_x000d__x000a_"/>
    <s v="_x000d__x000a_475701.87_x000d__x000a_"/>
    <s v="_x000d__x000a_0_x000d__x000a_"/>
  </r>
  <r>
    <s v="10/12/2025"/>
    <s v="2025-8461"/>
    <s v="Higher Education Awards"/>
    <s v="Courtney Elizabeth Brown"/>
    <s v="2331319@students.wits.ac.za"/>
    <x v="0"/>
    <x v="1"/>
    <x v="1"/>
    <x v="1"/>
    <x v="0"/>
    <x v="8"/>
    <s v="Natural Sciences"/>
    <s v="EM"/>
    <x v="0"/>
    <s v="Completed"/>
    <s v="University of the Witwatersrand"/>
    <s v="PhD Biochemistry &amp; Cell Biology"/>
    <s v="Drug development for Parkinson's disease"/>
    <d v="2026-03-02T00:00:00"/>
    <n v="3"/>
    <s v="_x000d__x000a_230690_x000d__x000a_"/>
    <s v="_x000d__x000a_250690_x000d__x000a_"/>
    <s v="_x000d__x000a_270690_x000d__x000a_"/>
  </r>
  <r>
    <s v="10/12/2025"/>
    <s v="2025-8469"/>
    <s v="Higher Education Awards"/>
    <s v="Camrin Janse van Rensburg"/>
    <s v="camrin.jansevanrensburg@outlook.com"/>
    <x v="3"/>
    <x v="0"/>
    <x v="1"/>
    <x v="1"/>
    <x v="1"/>
    <x v="4"/>
    <s v="Commerce &amp; Management"/>
    <s v="EM"/>
    <x v="0"/>
    <s v="Draft"/>
    <s v="IMD - International Institute for Management Development"/>
    <s v="Executive Master of Business Administration"/>
    <s v="Would like to specialise in Strategy and Economics"/>
    <d v="2026-01-01T00:00:00"/>
    <n v="1"/>
    <s v="_x000d__x000a_1650000_x000d__x000a_"/>
    <s v="_x000d__x000a_0_x000d__x000a_"/>
    <s v="_x000d__x000a_0_x000d__x000a_"/>
  </r>
  <r>
    <s v="10/12/2025"/>
    <s v="2025-8474"/>
    <s v="Higher Education Awards"/>
    <s v="Daniela Sefora Goeieman"/>
    <s v="daniela.goeieman@wits.ac.za"/>
    <x v="3"/>
    <x v="1"/>
    <x v="0"/>
    <x v="1"/>
    <x v="0"/>
    <x v="4"/>
    <s v="Commerce &amp; Management"/>
    <s v="EM"/>
    <x v="8"/>
    <s v="Draft"/>
    <s v="Stellenbosch University"/>
    <s v="PhD in HIV/AIDS Management"/>
    <s v="Social Accountability in participatory research involving people who use drugs"/>
    <d v="2025-07-01T00:00:00"/>
    <n v="3"/>
    <s v="_x000d__x000a_91200_x000d__x000a_"/>
    <s v="_x000d__x000a_167250_x000d__x000a_"/>
    <s v="_x000d__x000a_148562_x000d__x000a_"/>
  </r>
  <r>
    <s v="10/12/2025"/>
    <s v="2025-8477"/>
    <s v="Higher Education Awards"/>
    <s v="Thabiso Mlambo"/>
    <s v="bigjartwork2@gmail.com"/>
    <x v="0"/>
    <x v="0"/>
    <x v="0"/>
    <x v="0"/>
    <x v="0"/>
    <x v="1"/>
    <s v="Other"/>
    <s v="EM"/>
    <x v="0"/>
    <s v="Completed"/>
    <s v="University of Johannesburg"/>
    <s v="Industrial design (product design)"/>
    <s v="Participatory Design for Sustainability: Exploring Inclusive Approaches to Designing Affordable and Functional Below-the-Knee Prosthetics."/>
    <d v="2025-02-10T00:00:00"/>
    <n v="2"/>
    <s v="_x000d__x000a_90538_x000d__x000a_"/>
    <s v="_x000d__x000a_80538_x000d__x000a_"/>
    <s v="_x000d__x000a_0_x000d__x000a_"/>
  </r>
  <r>
    <s v="10/12/2025"/>
    <s v="2025-8478"/>
    <s v="Higher Education Awards"/>
    <s v="Sinako Mxabo"/>
    <s v="Sinako.Mxabo@gmail.com"/>
    <x v="0"/>
    <x v="0"/>
    <x v="0"/>
    <x v="0"/>
    <x v="0"/>
    <x v="4"/>
    <s v="Commerce &amp; Management"/>
    <s v="EM"/>
    <x v="0"/>
    <s v="Completed"/>
    <s v="University of KwaZulu Natal"/>
    <s v="MCOM in Leadership"/>
    <s v="The Role of Government Support in Facilitating New Venture Creation: An Entrepreneurship Perspective in South Africa"/>
    <d v="2026-01-29T00:00:00"/>
    <n v="1"/>
    <s v="_x000d__x000a_40000_x000d__x000a_"/>
    <s v="_x000d__x000a_0_x000d__x000a_"/>
    <s v="_x000d__x000a_0_x000d__x000a_"/>
  </r>
  <r>
    <s v="10/12/2025"/>
    <s v="2025-8489"/>
    <s v="Higher Education Awards"/>
    <s v="Suveena Govender"/>
    <s v="suveenagovender@gmail.com"/>
    <x v="0"/>
    <x v="1"/>
    <x v="4"/>
    <x v="1"/>
    <x v="0"/>
    <x v="5"/>
    <s v="Natural Sciences"/>
    <s v="EM"/>
    <x v="0"/>
    <s v="Completed"/>
    <s v="University of KwaZulu-Natal"/>
    <s v="Genetics"/>
    <s v="Antibiotic resistance genes and bacteria in fish from the local rivers in KwaZulu-Natal"/>
    <d v="2026-02-25T00:00:00"/>
    <n v="2"/>
    <s v="_x000d__x000a_128400_x000d__x000a_"/>
    <s v="_x000d__x000a_128400_x000d__x000a_"/>
    <s v="_x000d__x000a_0_x000d__x000a_"/>
  </r>
  <r>
    <s v="10/12/2025"/>
    <s v="2025-8496"/>
    <s v="Higher Education Awards"/>
    <s v="Lameez Hendricks"/>
    <s v="hendricks.lameez.02@gmail.com"/>
    <x v="0"/>
    <x v="0"/>
    <x v="2"/>
    <x v="1"/>
    <x v="0"/>
    <x v="2"/>
    <s v="Humanities"/>
    <s v="EM"/>
    <x v="0"/>
    <s v="Draft"/>
    <s v="Stellenbosch University"/>
    <s v="MA English Studies"/>
    <s v="Literary and Cultural Studies, Trauma Theory, Violence, Genocide and War Studies"/>
    <d v="2025-02-01T00:00:00"/>
    <n v="1"/>
    <s v="_x000d__x000a_136000_x000d__x000a_"/>
    <s v="_x000d__x000a_0_x000d__x000a_"/>
    <s v="_x000d__x000a_0_x000d__x000a_"/>
  </r>
  <r>
    <s v="10/12/2025"/>
    <s v="2025-8503"/>
    <s v="Higher Education Awards"/>
    <s v="Mahali Augustina Makhetha"/>
    <s v="hlajoanemahali@yahoo.com"/>
    <x v="0"/>
    <x v="1"/>
    <x v="0"/>
    <x v="1"/>
    <x v="0"/>
    <x v="4"/>
    <s v="Social Sciences"/>
    <s v="EM"/>
    <x v="0"/>
    <s v="Draft"/>
    <s v="University of Johannesburg"/>
    <s v="PhD in Economics"/>
    <s v="The outcomes of financial support to education on subjective well-being and labour market success – A focus on the post-school education in South Africa"/>
    <d v="2025-01-29T00:00:00"/>
    <n v="3"/>
    <s v="_x000d__x000a_262316_x000d__x000a_"/>
    <s v="_x000d__x000a_277516_x000d__x000a_"/>
    <s v="_x000d__x000a_290812_x000d__x000a_"/>
  </r>
  <r>
    <s v="10/12/2025"/>
    <s v="2025-8507"/>
    <s v="Higher Education Awards"/>
    <s v="Nicholas Hunter Cato"/>
    <s v="24807591@sun.ac.za"/>
    <x v="3"/>
    <x v="0"/>
    <x v="5"/>
    <x v="0"/>
    <x v="0"/>
    <x v="1"/>
    <s v="Engineering &amp; the Built Environment"/>
    <s v="EM"/>
    <x v="0"/>
    <s v="Completed"/>
    <s v="Stellenbosch University"/>
    <s v="MEng Mechanical Engineering"/>
    <s v="Performance modelling of axial drive and power turbines for super critical carbon dioxide"/>
    <d v="2026-01-05T00:00:00"/>
    <n v="1"/>
    <s v="_x000d__x000a_186632_x000d__x000a_"/>
    <s v="_x000d__x000a_0_x000d__x000a_"/>
    <s v="_x000d__x000a_0_x000d__x000a_"/>
  </r>
  <r>
    <s v="10/12/2025"/>
    <s v="2025-8519"/>
    <s v="Higher Education Awards"/>
    <s v="Tricia Nhlapho"/>
    <s v="Triciaanhlapho@gmail.com"/>
    <x v="0"/>
    <x v="0"/>
    <x v="0"/>
    <x v="1"/>
    <x v="0"/>
    <x v="8"/>
    <s v="Health Sciences"/>
    <s v="EM"/>
    <x v="0"/>
    <s v="Draft"/>
    <s v="University of Cape Town"/>
    <s v="MSc Med (by dissertation)"/>
    <s v="Towards enhancing culturability of mycobacterium tuberculosis in exhaled breath condensate samples using culture filtrate supplementation"/>
    <d v="2025-02-17T00:00:00"/>
    <n v="2"/>
    <s v="_x000d__x000a_117100_x000d__x000a_"/>
    <s v="_x000d__x000a_214900_x000d__x000a_"/>
    <s v="_x000d__x000a_0_x000d__x000a_"/>
  </r>
  <r>
    <s v="10/12/2025"/>
    <s v="2025-8530"/>
    <s v="Higher Education Awards"/>
    <s v="Hlayisani Makhubele"/>
    <s v="hngobeni@yahoo.com"/>
    <x v="0"/>
    <x v="1"/>
    <x v="0"/>
    <x v="0"/>
    <x v="0"/>
    <x v="1"/>
    <s v="Natural Sciences"/>
    <s v="EM"/>
    <x v="0"/>
    <s v="Completed"/>
    <s v="North West University"/>
    <s v="PhD in Disaster Risk Science"/>
    <s v="Assessing the Current State of Urban Resilience in Durban’s Informal Settlements: An Application of the CityRAP Methodology for Disaster Risk Reduction and Sustainable Development"/>
    <d v="2026-02-01T00:00:00"/>
    <n v="3"/>
    <s v="_x000d__x000a_179000_x000d__x000a_"/>
    <s v="_x000d__x000a_182000_x000d__x000a_"/>
    <s v="_x000d__x000a_190000_x000d__x000a_"/>
  </r>
  <r>
    <s v="10/12/2025"/>
    <s v="2025-8535"/>
    <s v="Higher Education Awards"/>
    <s v="LEHLONONO NKEJANE"/>
    <s v="luckylehlonono061@gmail.com"/>
    <x v="1"/>
    <x v="0"/>
    <x v="0"/>
    <x v="0"/>
    <x v="0"/>
    <x v="5"/>
    <s v="Natural Sciences"/>
    <s v="EM"/>
    <x v="1"/>
    <s v="Completed"/>
    <s v="Stellenbosch University"/>
    <s v="Msc"/>
    <s v="Machine learning and Artificial intelligence"/>
    <d v="2026-01-19T00:00:00"/>
    <n v="1"/>
    <s v="_x000d__x000a_162000_x000d__x000a_"/>
    <s v="_x000d__x000a_0_x000d__x000a_"/>
    <s v="_x000d__x000a_0_x000d__x000a_"/>
  </r>
  <r>
    <s v="10/12/2025"/>
    <s v="2025-8549"/>
    <s v="Higher Education Awards"/>
    <s v="Asanda Mdutyana"/>
    <s v="asandamdutyana01@gmail.com"/>
    <x v="3"/>
    <x v="0"/>
    <x v="0"/>
    <x v="1"/>
    <x v="0"/>
    <x v="4"/>
    <s v="Commerce &amp; Management"/>
    <s v="EM"/>
    <x v="19"/>
    <s v="Draft"/>
    <s v="University of Johannesburg"/>
    <s v="Masters of Commerce in Industrial Psychology"/>
    <s v="Exploring how financial constraints of Bottom of Pyramid consumers affect their experiences, opinions and attitudes.s"/>
    <d v="2026-01-01T00:00:00"/>
    <n v="1"/>
    <s v="_x000d__x000a_369000_x000d__x000a_"/>
    <s v="_x000d__x000a_0_x000d__x000a_"/>
    <s v="_x000d__x000a_0_x000d__x000a_"/>
  </r>
  <r>
    <s v="10/12/2025"/>
    <s v="2025-8554"/>
    <s v="Higher Education Awards"/>
    <s v="Kgomotso Masala"/>
    <s v="Masala.kgomotso@gmail.com"/>
    <x v="3"/>
    <x v="0"/>
    <x v="0"/>
    <x v="0"/>
    <x v="0"/>
    <x v="1"/>
    <s v="Engineering &amp; the Built Environment"/>
    <s v="EM"/>
    <x v="20"/>
    <s v="Completed"/>
    <s v="Tshwane university of technology"/>
    <s v="Masters of Engineering in Metallurgical Engineering"/>
    <s v="Upgrading of coal fines using reflux classifire"/>
    <d v="2026-01-19T00:00:00"/>
    <n v="2"/>
    <s v="_x000d__x000a_101500_x000d__x000a_"/>
    <s v="_x000d__x000a_101500_x000d__x000a_"/>
    <s v="_x000d__x000a_0_x000d__x000a_"/>
  </r>
  <r>
    <s v="10/12/2025"/>
    <s v="2025-8561"/>
    <s v="Higher Education Awards"/>
    <s v="Mishka Reddy"/>
    <s v="Mishkareddy@gmail.com"/>
    <x v="0"/>
    <x v="1"/>
    <x v="2"/>
    <x v="1"/>
    <x v="0"/>
    <x v="2"/>
    <s v="Humanities"/>
    <s v="EM"/>
    <x v="0"/>
    <s v="Completed"/>
    <s v="University of Cape Town"/>
    <s v="Higher Education Studies (PhD in Education)"/>
    <s v="Exploring academic writing in the Humanities and Social Sciences Extended Curriculum Programme as a sociomaterial assemblage of people, technologies, and institutional context"/>
    <d v="2025-02-03T00:00:00"/>
    <n v="3"/>
    <s v="_x000d__x000a_361162.88_x000d__x000a_"/>
    <s v="_x000d__x000a_509038.56_x000d__x000a_"/>
    <s v="_x000d__x000a_597343.25_x000d__x000a_"/>
  </r>
  <r>
    <s v="10/12/2025"/>
    <s v="2025-8575"/>
    <s v="Higher Education Awards"/>
    <s v="Wanga Ngwane"/>
    <s v="wangangwane@gmail.com"/>
    <x v="0"/>
    <x v="0"/>
    <x v="0"/>
    <x v="0"/>
    <x v="1"/>
    <x v="1"/>
    <s v="Other"/>
    <s v="EM"/>
    <x v="0"/>
    <s v="Completed"/>
    <s v="Institute for Advanced Architecture of Catalonia (IAAC)"/>
    <s v="Masters in Design for Emerging Futures"/>
    <s v="Circular Design and Sustainability"/>
    <d v="2026-10-01T00:00:00"/>
    <n v="1"/>
    <s v="_x000d__x000a_251915.63_x000d__x000a_"/>
    <s v="_x000d__x000a_0_x000d__x000a_"/>
    <s v="_x000d__x000a_0_x000d__x000a_"/>
  </r>
  <r>
    <s v="10/12/2025"/>
    <s v="2025-8589"/>
    <s v="Higher Education Awards"/>
    <s v="Ruhini Starlson"/>
    <s v="ruhini.naik@gmail.com"/>
    <x v="3"/>
    <x v="1"/>
    <x v="4"/>
    <x v="1"/>
    <x v="0"/>
    <x v="6"/>
    <s v="Social Sciences"/>
    <s v="EM"/>
    <x v="0"/>
    <s v="Completed"/>
    <s v="Stellenbosch University"/>
    <s v="PhD in Visual Arts"/>
    <s v="Exploring rituals within Hinduism and African Indigenous Traditions as a decolonizing too to pave the way for an inclusive South African Education system."/>
    <d v="2026-01-20T00:00:00"/>
    <n v="3"/>
    <s v="_x000d__x000a_21544_x000d__x000a_"/>
    <s v="_x000d__x000a_21544_x000d__x000a_"/>
    <s v="_x000d__x000a_21544_x000d__x000a_"/>
  </r>
  <r>
    <s v="10/12/2025"/>
    <s v="2025-8590"/>
    <s v="Higher Education Awards"/>
    <s v="Tatum Naidoo"/>
    <s v="Naidoo.tatum@gmail.com"/>
    <x v="3"/>
    <x v="0"/>
    <x v="2"/>
    <x v="1"/>
    <x v="0"/>
    <x v="8"/>
    <s v="Health Sciences"/>
    <s v="EM"/>
    <x v="21"/>
    <s v="Completed"/>
    <s v="University of Cape Town"/>
    <s v="Masters of Medical Sciences (Exercise Science)"/>
    <s v="Analysing the biomechanical mechanisms underlying concussions and shoulder injuries during legal rugby union play."/>
    <d v="2025-01-13T00:00:00"/>
    <n v="1"/>
    <s v="_x000d__x000a_297500_x000d__x000a_"/>
    <s v="_x000d__x000a_0_x000d__x000a_"/>
    <s v="_x000d__x000a_0_x000d__x000a_"/>
  </r>
  <r>
    <s v="10/12/2025"/>
    <s v="2025-8600"/>
    <s v="Higher Education Awards"/>
    <s v="Mziwakhe Mgwenya"/>
    <s v="Mgwenyamziwakhe@gmail.com"/>
    <x v="0"/>
    <x v="0"/>
    <x v="0"/>
    <x v="0"/>
    <x v="0"/>
    <x v="7"/>
    <s v="Law"/>
    <s v="EM"/>
    <x v="0"/>
    <s v="Completed"/>
    <s v="UNIVERSITY OF SOUTH AFRICA"/>
    <s v="MASTERS IN LAW"/>
    <s v="HUMAN RIGHTS AND CONSTITUTIONAL"/>
    <d v="2026-01-01T00:00:00"/>
    <n v="1"/>
    <s v="_x000d__x000a_190000_x000d__x000a_"/>
    <s v="_x000d__x000a_100_x000d__x000a_"/>
    <s v="_x000d__x000a_0_x000d__x000a_"/>
  </r>
  <r>
    <s v="10/12/2025"/>
    <s v="2025-8605"/>
    <s v="Higher Education Awards"/>
    <s v="Thulani Dimisani Sibiya"/>
    <s v="thoolaaneer924@gmail.com"/>
    <x v="3"/>
    <x v="0"/>
    <x v="0"/>
    <x v="0"/>
    <x v="0"/>
    <x v="8"/>
    <s v="Health Sciences"/>
    <s v="EM"/>
    <x v="15"/>
    <s v="Draft"/>
    <s v="University of Witwatersrand"/>
    <s v="MSc Medicine Clinical Microbiology and Infectious Diseases"/>
    <s v="The Genomic Epidemiology of Klebsiella Pneumoniae in the Neonatal Intensive Care Unit"/>
    <d v="2025-07-17T00:00:00"/>
    <n v="2"/>
    <s v="_x000d__x000a_190850_x000d__x000a_"/>
    <s v="_x000d__x000a_31500_x000d__x000a_"/>
    <s v="_x000d__x000a_0_x000d__x000a_"/>
  </r>
  <r>
    <s v="10/12/2025"/>
    <s v="2025-8640"/>
    <s v="Higher Education Awards"/>
    <s v="George Nyamboga"/>
    <s v="nyamboga.nyanarogeorge@gmail.com"/>
    <x v="0"/>
    <x v="0"/>
    <x v="0"/>
    <x v="0"/>
    <x v="0"/>
    <x v="7"/>
    <s v="Law"/>
    <s v="EM"/>
    <x v="0"/>
    <s v="Completed"/>
    <s v="Stellenbosch"/>
    <s v="Master of Laws in Alternative Resolution"/>
    <s v="The Role of Specialised dispute resolution mechanisms in resolving human rights infringements-particularly natural resources' conflicts-in Africa"/>
    <d v="2026-06-01T00:00:00"/>
    <n v="1"/>
    <s v="_x000d__x000a_250000_x000d__x000a_"/>
    <s v="_x000d__x000a_0_x000d__x000a_"/>
    <s v="_x000d__x000a_0_x000d__x000a_"/>
  </r>
  <r>
    <s v="10/12/2025"/>
    <s v="2025-8645"/>
    <s v="Higher Education Awards"/>
    <s v="Thabisa Naledi Sithole"/>
    <s v="thabisa.sithole9@gmail.com"/>
    <x v="1"/>
    <x v="0"/>
    <x v="0"/>
    <x v="1"/>
    <x v="0"/>
    <x v="4"/>
    <s v="Commerce &amp; Management"/>
    <s v="EM"/>
    <x v="18"/>
    <s v="Completed"/>
    <s v="Henley Business School"/>
    <s v="MBA"/>
    <s v="Brand Strategy with a focus on AI"/>
    <d v="2026-01-30T00:00:00"/>
    <n v="2"/>
    <s v="_x000d__x000a_273000_x000d__x000a_"/>
    <s v="_x000d__x000a_123000_x000d__x000a_"/>
    <s v="_x000d__x000a_0_x000d__x000a_"/>
  </r>
  <r>
    <s v="10/12/2025"/>
    <s v="2025-8652"/>
    <s v="Higher Education Awards"/>
    <s v="Eustace Bugase"/>
    <s v="eustacebugase@yahoo.com"/>
    <x v="0"/>
    <x v="1"/>
    <x v="0"/>
    <x v="0"/>
    <x v="0"/>
    <x v="8"/>
    <s v="Health Sciences"/>
    <s v="EM"/>
    <x v="0"/>
    <s v="Draft"/>
    <s v="University of the Witwatersrand"/>
    <s v="PhD in Public Health"/>
    <s v="Promoting Maternal and Newborn Health Among Migrant Women and Children in Ghana: Addressing Access Barriers and Health Inequities"/>
    <d v="2026-01-01T00:00:00"/>
    <n v="3"/>
    <s v="_x000d__x000a_358890_x000d__x000a_"/>
    <s v="_x000d__x000a_353890_x000d__x000a_"/>
    <s v="_x000d__x000a_353890_x000d__x000a_"/>
  </r>
  <r>
    <s v="10/12/2025"/>
    <s v="2025-8654"/>
    <s v="Higher Education Awards"/>
    <s v="Nokulunga Dlamini"/>
    <s v="Linetdlamini8@gmail.com"/>
    <x v="0"/>
    <x v="0"/>
    <x v="0"/>
    <x v="1"/>
    <x v="0"/>
    <x v="4"/>
    <s v="Commerce &amp; Management"/>
    <s v="EM"/>
    <x v="0"/>
    <s v="Completed"/>
    <s v="University of the Free State"/>
    <s v="Master of Administration"/>
    <s v="Green Energy Transition and the implications for Electricity Provisioning in Local Government: A comparative analysis of Maluti-a-phofung and The Swartland Municipalities"/>
    <d v="2026-02-02T00:00:00"/>
    <n v="2"/>
    <s v="_x000d__x000a_127400_x000d__x000a_"/>
    <s v="_x000d__x000a_127400_x000d__x000a_"/>
    <s v="_x000d__x000a_0_x000d__x000a_"/>
  </r>
  <r>
    <s v="10/12/2025"/>
    <s v="2025-8658"/>
    <s v="Higher Education Awards"/>
    <s v="Musa Bizani"/>
    <s v="bizanimusa@gmail.com"/>
    <x v="1"/>
    <x v="0"/>
    <x v="0"/>
    <x v="0"/>
    <x v="1"/>
    <x v="7"/>
    <s v="Law"/>
    <s v="EM"/>
    <x v="15"/>
    <s v="Completed"/>
    <s v="University of Turin (ITCILO)"/>
    <s v="LLM"/>
    <s v="International Trade Law"/>
    <d v="2025-11-01T00:00:00"/>
    <n v="1"/>
    <s v="_x000d__x000a_283075_x000d__x000a_"/>
    <s v="_x000d__x000a_0_x000d__x000a_"/>
    <s v="_x000d__x000a_0_x000d__x000a_"/>
  </r>
  <r>
    <s v="10/12/2025"/>
    <s v="2025-8679"/>
    <s v="Higher Education Awards"/>
    <s v="Afika Dukada"/>
    <s v="afikadukada50@gmail.com"/>
    <x v="1"/>
    <x v="0"/>
    <x v="0"/>
    <x v="1"/>
    <x v="0"/>
    <x v="4"/>
    <s v="Commerce &amp; Management"/>
    <s v="EM"/>
    <x v="18"/>
    <s v="Completed"/>
    <s v="Stellenbosch University"/>
    <s v="Masters in Development finance"/>
    <s v="Finance"/>
    <d v="2026-04-01T00:00:00"/>
    <n v="2"/>
    <s v="_x000d__x000a_110554_x000d__x000a_"/>
    <s v="_x000d__x000a_110768_x000d__x000a_"/>
    <s v="_x000d__x000a_0_x000d__x000a_"/>
  </r>
  <r>
    <s v="10/12/2025"/>
    <s v="2025-8695"/>
    <s v="Higher Education Awards"/>
    <s v="Samantha Brink"/>
    <s v="samantha.rogers072@gmail.com"/>
    <x v="1"/>
    <x v="0"/>
    <x v="1"/>
    <x v="1"/>
    <x v="1"/>
    <x v="2"/>
    <s v="Humanities"/>
    <s v="EM"/>
    <x v="15"/>
    <s v="Completed"/>
    <s v="University of Edinburgh"/>
    <s v="Masters"/>
    <s v="Digital Education"/>
    <d v="2025-09-01T00:00:00"/>
    <n v="2"/>
    <s v="_x000d__x000a_1_x000d__x000a_"/>
    <s v="_x000d__x000a_1_x000d__x000a_"/>
    <s v="_x000d__x000a_1_x000d__x000a_"/>
  </r>
  <r>
    <s v="10/12/2025"/>
    <s v="2025-8699"/>
    <s v="Higher Education Awards"/>
    <s v="Bongeka Gabela"/>
    <s v="mamkhondo03@gmail.com"/>
    <x v="0"/>
    <x v="0"/>
    <x v="0"/>
    <x v="1"/>
    <x v="0"/>
    <x v="4"/>
    <s v="Commerce &amp; Management"/>
    <s v="EM"/>
    <x v="0"/>
    <s v="Completed"/>
    <s v="University of Johannesburg"/>
    <s v="Master of Administration"/>
    <s v="Enhancing Service Delivery and Socio-economic Empowerment in Maluti-A-Phofung Local Municipality through Innovative Local Entrepreneurship"/>
    <d v="2026-01-01T00:00:00"/>
    <n v="1"/>
    <s v="_x000d__x000a_128800_x000d__x000a_"/>
    <s v="_x000d__x000a_0_x000d__x000a_"/>
    <s v="_x000d__x000a_0_x000d__x000a_"/>
  </r>
  <r>
    <s v="10/12/2025"/>
    <s v="2025-8706"/>
    <s v="Higher Education Awards"/>
    <s v="Gerhard Franco Ruiters"/>
    <s v="gfruiters@gmail.com"/>
    <x v="1"/>
    <x v="0"/>
    <x v="2"/>
    <x v="0"/>
    <x v="0"/>
    <x v="4"/>
    <s v="Commerce &amp; Management"/>
    <s v="EM"/>
    <x v="1"/>
    <s v="Completed"/>
    <s v="Regent Business School"/>
    <s v="Masters in Business Administration"/>
    <s v="Public Sector Management"/>
    <d v="2025-08-04T00:00:00"/>
    <n v="2"/>
    <s v="_x000d__x000a_48850_x000d__x000a_"/>
    <s v="_x000d__x000a_41850_x000d__x000a_"/>
    <s v="_x000d__x000a_0_x000d__x000a_"/>
  </r>
  <r>
    <s v="10/12/2025"/>
    <s v="2025-8721"/>
    <s v="Higher Education Awards"/>
    <s v="NAKEDI RUDWAL MANAKA"/>
    <s v="nakedimanaka@gmail.com"/>
    <x v="3"/>
    <x v="0"/>
    <x v="0"/>
    <x v="0"/>
    <x v="0"/>
    <x v="8"/>
    <s v="Health Sciences"/>
    <s v="EM"/>
    <x v="15"/>
    <s v="Draft"/>
    <s v="sefako makgato university"/>
    <s v="MASTERS IN PUBLIC HEALTH"/>
    <s v="NUTRITIONAL KNOWLEDGE OF CAREGIVERS IN CHILDREN 2-5 YEARS OF AGE IN Thabazimbi Limpopo"/>
    <d v="2024-01-01T00:00:00"/>
    <n v="2"/>
    <s v="_x000d__x000a_35000_x000d__x000a_"/>
    <s v="_x000d__x000a_79470_x000d__x000a_"/>
    <s v="_x000d__x000a_0_x000d__x000a_"/>
  </r>
  <r>
    <s v="10/12/2025"/>
    <s v="2025-8722"/>
    <s v="Higher Education Awards"/>
    <s v="Leo Boonzaier"/>
    <s v="leoboon@gmail.com"/>
    <x v="3"/>
    <x v="3"/>
    <x v="1"/>
    <x v="0"/>
    <x v="1"/>
    <x v="7"/>
    <s v="Law"/>
    <s v="EM"/>
    <x v="0"/>
    <s v="Completed"/>
    <s v="Max Planck Institute for Comparative and International Private Law"/>
    <s v="Comparative law of delict at the MPI"/>
    <s v="Delict; legal reasoning; comparative private law."/>
    <d v="2026-01-01T00:00:00"/>
    <n v="1"/>
    <s v="_x000d__x000a_216890.38_x000d__x000a_"/>
    <s v="_x000d__x000a_0_x000d__x000a_"/>
    <s v="_x000d__x000a_0_x000d__x000a_"/>
  </r>
  <r>
    <s v="10/12/2025"/>
    <s v="2025-8746"/>
    <s v="Higher Education Awards"/>
    <s v="Welcome Lihle Chavango"/>
    <s v="wl.chavango@gmail.com"/>
    <x v="1"/>
    <x v="1"/>
    <x v="0"/>
    <x v="0"/>
    <x v="0"/>
    <x v="7"/>
    <s v="Law"/>
    <s v="EM"/>
    <x v="1"/>
    <s v="Completed"/>
    <s v="University of the Free State"/>
    <s v="Doctoral of Laws with specialisation in International Economic Law"/>
    <s v="International Investment Law"/>
    <d v="2025-01-22T00:00:00"/>
    <n v="2"/>
    <s v="_x000d__x000a_160000_x000d__x000a_"/>
    <s v="_x000d__x000a_160000_x000d__x000a_"/>
    <s v="_x000d__x000a_0_x000d__x000a_"/>
  </r>
  <r>
    <s v="10/12/2025"/>
    <s v="2025-8749"/>
    <s v="Higher Education Awards"/>
    <s v="Lucky Mawasha"/>
    <s v="696831@students.wits.ac.za"/>
    <x v="3"/>
    <x v="1"/>
    <x v="0"/>
    <x v="0"/>
    <x v="0"/>
    <x v="2"/>
    <s v="Humanities"/>
    <s v="EM"/>
    <x v="0"/>
    <s v="Completed"/>
    <s v="University of Witwatersrand"/>
    <s v="Public health"/>
    <s v="A SOCIOCULTURAL HEALTH PROMOTION MESSAGES MODEL FOR BLACK MEN WITH PROSTATE CANCER IN LIMPOPO"/>
    <d v="2023-04-10T00:00:00"/>
    <n v="3"/>
    <s v="_x000d__x000a_391431_x000d__x000a_"/>
    <s v="_x000d__x000a_391431_x000d__x000a_"/>
    <s v="_x000d__x000a_151300_x000d__x000a_"/>
  </r>
  <r>
    <s v="10/12/2025"/>
    <s v="2025-8754"/>
    <s v="Higher Education Awards"/>
    <s v="Yonela Mlambo"/>
    <s v="mlmyon001@myuct.ac.za"/>
    <x v="0"/>
    <x v="1"/>
    <x v="0"/>
    <x v="0"/>
    <x v="0"/>
    <x v="2"/>
    <s v="Humanities"/>
    <s v="EM"/>
    <x v="22"/>
    <s v="Draft"/>
    <s v="University of Cape Town"/>
    <s v="Doctoral Degree"/>
    <s v="Parenting and Growing up under the Shadows of Apartheid Legacy: A Case Study of Langa Hostel"/>
    <d v="2024-02-12T00:00:00"/>
    <n v="2"/>
    <s v="_x000d__x000a_20000_x000d__x000a_"/>
    <s v="_x000d__x000a_-95000_x000d__x000a_"/>
    <s v="_x000d__x000a_0_x000d__x000a_"/>
  </r>
  <r>
    <s v="10/12/2025"/>
    <s v="2025-8758"/>
    <s v="Higher Education Awards"/>
    <s v="Diimakatso Sarah Ngeyi"/>
    <s v="dimakatsosarah.ngeyi@standardbank.co.za"/>
    <x v="3"/>
    <x v="0"/>
    <x v="0"/>
    <x v="1"/>
    <x v="0"/>
    <x v="4"/>
    <s v="Commerce &amp; Management"/>
    <s v="EM"/>
    <x v="23"/>
    <s v="Draft"/>
    <s v="Regent Business School"/>
    <s v="Masters In Management"/>
    <s v="Fintech Disruption in Financial Services"/>
    <d v="2025-08-01T00:00:00"/>
    <n v="1"/>
    <s v="_x000d__x000a_90700_x000d__x000a_"/>
    <s v="_x000d__x000a_0_x000d__x000a_"/>
    <s v="_x000d__x000a_0_x000d__x000a_"/>
  </r>
  <r>
    <s v="10/12/2025"/>
    <s v="2025-8783"/>
    <s v="Higher Education Awards"/>
    <s v="Feziwe Shongwe"/>
    <s v="2135313@students.wits.ac.za"/>
    <x v="0"/>
    <x v="1"/>
    <x v="0"/>
    <x v="0"/>
    <x v="0"/>
    <x v="0"/>
    <s v="Applied Sciences"/>
    <s v="EM"/>
    <x v="0"/>
    <s v="Completed"/>
    <s v="university of the Witwatersrand"/>
    <s v="PhD Computer Science"/>
    <s v="Enhancing Smallholder Farming in Africa through Cloud-based Deep Learning Models"/>
    <d v="2026-02-02T00:00:00"/>
    <n v="3"/>
    <s v="_x000d__x000a_167000_x000d__x000a_"/>
    <s v="_x000d__x000a_167000_x000d__x000a_"/>
    <s v="_x000d__x000a_167000_x000d__x000a_"/>
  </r>
  <r>
    <s v="10/12/2025"/>
    <s v="2025-8803"/>
    <s v="Higher Education Awards"/>
    <s v="Indrani Nair"/>
    <s v="indrani.nair@gmail.com"/>
    <x v="0"/>
    <x v="1"/>
    <x v="4"/>
    <x v="1"/>
    <x v="0"/>
    <x v="7"/>
    <s v="Law"/>
    <s v="EM"/>
    <x v="24"/>
    <s v="Draft"/>
    <s v="University of Witwatersrand"/>
    <s v="PhD"/>
    <s v="Bullying within the SA School Environment"/>
    <d v="2025-07-01T00:00:00"/>
    <n v="3"/>
    <s v="_x000d__x000a_10073_x000d__x000a_"/>
    <s v="_x000d__x000a_25000_x000d__x000a_"/>
    <s v="_x000d__x000a_25000_x000d__x000a_"/>
  </r>
  <r>
    <s v="10/12/2025"/>
    <s v="2025-8804"/>
    <s v="Higher Education Awards"/>
    <s v="Jared Calaca"/>
    <s v="2368319@students.wits.ac.za"/>
    <x v="0"/>
    <x v="0"/>
    <x v="1"/>
    <x v="0"/>
    <x v="0"/>
    <x v="5"/>
    <s v="Natural Sciences"/>
    <s v="EM"/>
    <x v="0"/>
    <s v="Completed"/>
    <s v="University of the Witwatersrand"/>
    <s v="MSc Environmental Studies"/>
    <s v="Aquatic Ecotoxicology"/>
    <d v="2025-01-01T00:00:00"/>
    <n v="1"/>
    <s v="_x000d__x000a_170000_x000d__x000a_"/>
    <s v="_x000d__x000a_0_x000d__x000a_"/>
    <s v="_x000d__x000a_0_x000d__x000a_"/>
  </r>
  <r>
    <s v="10/12/2025"/>
    <s v="2025-8809"/>
    <s v="Higher Education Awards"/>
    <s v="Bonginkosi Thango"/>
    <s v="3058047@students.wits.ac.za"/>
    <x v="1"/>
    <x v="1"/>
    <x v="0"/>
    <x v="0"/>
    <x v="0"/>
    <x v="4"/>
    <s v="Commerce &amp; Management"/>
    <s v="EM"/>
    <x v="1"/>
    <s v="Completed"/>
    <s v="University of the Witwatersrand"/>
    <s v="PhD Business Science"/>
    <s v="A Decision Support Framework for Solar PV System Selection in SMMEs: A Multi-Objective Optimization Approach Using MOORA"/>
    <d v="2025-04-01T00:00:00"/>
    <n v="3"/>
    <s v="_x000d__x000a_45000_x000d__x000a_"/>
    <s v="_x000d__x000a_45000_x000d__x000a_"/>
    <s v="_x000d__x000a_45000_x000d__x000a_"/>
  </r>
  <r>
    <s v="10/12/2025"/>
    <s v="2025-8825"/>
    <s v="Higher Education Awards"/>
    <s v="Lukhanyo Mtshingana"/>
    <s v="lukhanyomtshingana@gmail.com"/>
    <x v="1"/>
    <x v="1"/>
    <x v="0"/>
    <x v="0"/>
    <x v="0"/>
    <x v="4"/>
    <s v="Commerce &amp; Management"/>
    <s v="EM"/>
    <x v="1"/>
    <s v="Completed"/>
    <s v="University of South Africa (UNISA)"/>
    <s v="Doctor of Philosophy in Management Studies"/>
    <s v="Topic: Impact of COVID-19 Pandemic on Sovereign Debt in BRICS Countries"/>
    <d v="2025-08-01T00:00:00"/>
    <n v="3"/>
    <s v="_x000d__x000a_34000_x000d__x000a_"/>
    <s v="_x000d__x000a_34000_x000d__x000a_"/>
    <s v="_x000d__x000a_32000_x000d__x000a_"/>
  </r>
  <r>
    <s v="10/12/2025"/>
    <s v="2025-8843"/>
    <s v="Higher Education Awards"/>
    <s v="Mashadi Lebogo"/>
    <s v="mashadilebogo@yahoo.com"/>
    <x v="3"/>
    <x v="0"/>
    <x v="0"/>
    <x v="1"/>
    <x v="0"/>
    <x v="8"/>
    <s v="Health Sciences"/>
    <s v="EM"/>
    <x v="24"/>
    <s v="Draft"/>
    <s v="University of the Witwatersrand"/>
    <s v="Masters in nursing"/>
    <s v="Perceptions and attitudes of un-booked pregnant women at a public hospital in Gauteng"/>
    <d v="2025-02-26T00:00:00"/>
    <n v="2"/>
    <s v="_x000d__x000a_30_x000d__x000a_"/>
    <s v="_x000d__x000a_30_x000d__x000a_"/>
    <s v="_x000d__x000a_0_x000d__x000a_"/>
  </r>
  <r>
    <s v="10/12/2025"/>
    <s v="2025-8849"/>
    <s v="Higher Education Awards"/>
    <s v="Sthembile Thabani Mbuyane"/>
    <s v="sthembilethabani8@gmail.com"/>
    <x v="3"/>
    <x v="0"/>
    <x v="0"/>
    <x v="0"/>
    <x v="0"/>
    <x v="8"/>
    <s v="Health Sciences"/>
    <s v="EM"/>
    <x v="10"/>
    <s v="Draft"/>
    <s v="University of Cape Town"/>
    <s v="Master of Public Health (MPH) in Environmental Health (EH)"/>
    <s v="Agroecological School Feeding programmes and their long-term impact on child health,  academic performance, and community resilience in South Africa"/>
    <d v="2026-02-02T00:00:00"/>
    <n v="3"/>
    <s v="_x000d__x000a_340000_x000d__x000a_"/>
    <s v="_x000d__x000a_340000_x000d__x000a_"/>
    <s v="_x000d__x000a_340000_x000d__x000a_"/>
  </r>
  <r>
    <s v="10/12/2025"/>
    <s v="2025-8853"/>
    <s v="Higher Education Awards"/>
    <s v="Buhle Ncube"/>
    <s v="buhle2017p@gmail.com"/>
    <x v="1"/>
    <x v="3"/>
    <x v="0"/>
    <x v="1"/>
    <x v="0"/>
    <x v="2"/>
    <s v="Humanities"/>
    <s v="EM"/>
    <x v="6"/>
    <s v="Completed"/>
    <e v="#N/A"/>
    <e v="#N/A"/>
    <e v="#N/A"/>
    <e v="#N/A"/>
    <e v="#N/A"/>
    <e v="#N/A"/>
    <e v="#N/A"/>
    <e v="#N/A"/>
  </r>
  <r>
    <s v="10/12/2025"/>
    <s v="2025-8855"/>
    <s v="Higher Education Awards"/>
    <s v="Mathew Aibinu"/>
    <s v="moaibinu@yahoo.com"/>
    <x v="0"/>
    <x v="2"/>
    <x v="0"/>
    <x v="0"/>
    <x v="0"/>
    <x v="0"/>
    <s v="Applied Sciences"/>
    <s v="EM"/>
    <x v="0"/>
    <s v="Completed"/>
    <s v="Stellenbosch University"/>
    <s v="Applied Mathematics"/>
    <s v="Economic Growth Models and Analysis in the Context of Fractional Calculus”"/>
    <d v="2026-01-12T00:00:00"/>
    <n v="2"/>
    <s v="_x000d__x000a_350000_x000d__x000a_"/>
    <s v="_x000d__x000a_350000_x000d__x000a_"/>
    <s v="_x000d__x000a_0_x000d__x000a_"/>
  </r>
  <r>
    <s v="10/12/2025"/>
    <s v="2025-8856"/>
    <s v="Higher Education Awards"/>
    <s v="Sphesihle Mndzebele"/>
    <s v="1851398@students.wits.ac.za"/>
    <x v="3"/>
    <x v="1"/>
    <x v="0"/>
    <x v="1"/>
    <x v="0"/>
    <x v="1"/>
    <s v="Engineering &amp; the Built Environment"/>
    <s v="EM"/>
    <x v="0"/>
    <s v="Completed"/>
    <s v="University of Witwatersrand"/>
    <s v="Doctor of Philosophy (Civil)"/>
    <s v="Improving work readiness for early career project managers through curriculum reform and industry and academia collaborations"/>
    <d v="2025-02-10T00:00:00"/>
    <n v="2"/>
    <s v="_x000d__x000a_93213_x000d__x000a_"/>
    <s v="_x000d__x000a_93213_x000d__x000a_"/>
    <s v="_x000d__x000a_0_x000d__x000a_"/>
  </r>
  <r>
    <s v="10/12/2025"/>
    <s v="2025-8860"/>
    <s v="Higher Education Awards"/>
    <s v="Michael Musengi Ndlovu"/>
    <s v="ndlovu.michaelmusengi@gmail.com"/>
    <x v="3"/>
    <x v="0"/>
    <x v="0"/>
    <x v="0"/>
    <x v="0"/>
    <x v="1"/>
    <s v="Engineering &amp; the Built Environment"/>
    <s v="EM"/>
    <x v="0"/>
    <s v="Completed"/>
    <s v="University of the Witwatersrand"/>
    <s v="Master of Science in Industrial Engineering"/>
    <s v="Engineering"/>
    <d v="2025-04-16T00:00:00"/>
    <n v="2"/>
    <s v="_x000d__x000a_84000_x000d__x000a_"/>
    <s v="_x000d__x000a_86000_x000d__x000a_"/>
    <s v="_x000d__x000a_0_x000d__x000a_"/>
  </r>
  <r>
    <s v="10/12/2025"/>
    <s v="2025-8865"/>
    <s v="Higher Education Awards"/>
    <s v="Siyasanga James"/>
    <s v="siyasanga1998james@gmail.com"/>
    <x v="1"/>
    <x v="0"/>
    <x v="0"/>
    <x v="0"/>
    <x v="0"/>
    <x v="7"/>
    <s v="Law"/>
    <s v="EM"/>
    <x v="1"/>
    <s v="Completed"/>
    <s v="University of Pretoria"/>
    <s v="Master of Law"/>
    <s v="Rule of Law"/>
    <d v="2025-07-21T00:00:00"/>
    <n v="1"/>
    <s v="_x000d__x000a_29355_x000d__x000a_"/>
    <s v="_x000d__x000a_0_x000d__x000a_"/>
    <s v="_x000d__x000a_0_x000d__x000a_"/>
  </r>
  <r>
    <s v="10/12/2025"/>
    <s v="2025-8866"/>
    <s v="Higher Education Awards"/>
    <s v="dzimani managa"/>
    <s v="managa.neani@gmail.com"/>
    <x v="0"/>
    <x v="0"/>
    <x v="0"/>
    <x v="0"/>
    <x v="0"/>
    <x v="4"/>
    <s v="Commerce &amp; Management"/>
    <s v="EM"/>
    <x v="0"/>
    <s v="Completed"/>
    <s v="Witwatersrand"/>
    <s v="Master of Management (Public and Development Sector Monitoring and Evaluation)"/>
    <s v="An investigation into the Influence of Information and Communication Technology (ICT) Resources on Integrating ICT during Teaching and Learning in South African Rural Schools."/>
    <d v="2025-02-01T00:00:00"/>
    <n v="1"/>
    <s v="_x000d__x000a_70000_x000d__x000a_"/>
    <s v="_x000d__x000a_0_x000d__x000a_"/>
    <s v="_x000d__x000a_0_x000d__x000a_"/>
  </r>
  <r>
    <s v="10/12/2025"/>
    <s v="2025-8871"/>
    <s v="Higher Education Awards"/>
    <s v="Benediter Nomakhalwa Nontenja"/>
    <s v="907458@students.wits.ac.za"/>
    <x v="3"/>
    <x v="0"/>
    <x v="0"/>
    <x v="1"/>
    <x v="0"/>
    <x v="4"/>
    <s v="Other"/>
    <s v="EM"/>
    <x v="0"/>
    <s v="Completed"/>
    <s v="University of the Witwatersrand"/>
    <s v="Mcom in Information Systems (by research)"/>
    <s v="Understanding Organisational Cultural Conflicts in Cyber Risk Assessment within Fintech: Regional Finetech Case Study"/>
    <d v="2025-01-13T00:00:00"/>
    <n v="1"/>
    <s v="_x000d__x000a_24600_x000d__x000a_"/>
    <s v="_x000d__x000a_0_x000d__x000a_"/>
    <s v="_x000d__x000a_0_x000d__x000a_"/>
  </r>
  <r>
    <s v="10/12/2025"/>
    <s v="2025-8892"/>
    <s v="Higher Education Awards"/>
    <s v="Sophy Makoti Tlholoe"/>
    <s v="tlaletlholoe7@gmail.com"/>
    <x v="3"/>
    <x v="0"/>
    <x v="0"/>
    <x v="1"/>
    <x v="0"/>
    <x v="2"/>
    <s v="Other"/>
    <s v="EM"/>
    <x v="24"/>
    <s v="Draft"/>
    <s v="North-West University"/>
    <s v="Masters"/>
    <s v="How prepared are the graduates teachers in dealing with learners with reading difficulties"/>
    <d v="2026-02-02T00:00:00"/>
    <n v="2"/>
    <s v="_x000d__x000a_70000_x000d__x000a_"/>
    <s v="_x000d__x000a_60000_x000d__x000a_"/>
    <s v="_x000d__x000a_0_x000d__x000a_"/>
  </r>
  <r>
    <s v="10/12/2025"/>
    <s v="2025-8893"/>
    <s v="Higher Education Awards"/>
    <s v="Silibaziso Fiona Masuku"/>
    <s v="fiona@pheonixly.co.za"/>
    <x v="1"/>
    <x v="0"/>
    <x v="0"/>
    <x v="1"/>
    <x v="0"/>
    <x v="4"/>
    <s v="Commerce &amp; Management"/>
    <s v="EM"/>
    <x v="18"/>
    <s v="Completed"/>
    <s v="Graduate School of Business at the University of Cape Town"/>
    <s v="Executive Master of Business Administration (EMBA)"/>
    <s v="Business Administration"/>
    <d v="2025-01-01T00:00:00"/>
    <n v="1"/>
    <s v="_x000d__x000a_315570_x000d__x000a_"/>
    <s v="_x000d__x000a_0_x000d__x000a_"/>
    <s v="_x000d__x000a_0_x000d__x000a_"/>
  </r>
  <r>
    <s v="10/12/2025"/>
    <s v="2025-8902"/>
    <s v="Higher Education Awards"/>
    <s v="Eddie Mofokeng"/>
    <s v="mofokengeddie91@gmail.com"/>
    <x v="0"/>
    <x v="1"/>
    <x v="0"/>
    <x v="0"/>
    <x v="0"/>
    <x v="3"/>
    <s v="Humanities"/>
    <s v="EM"/>
    <x v="0"/>
    <s v="Completed"/>
    <s v="University of Witwatersrand"/>
    <s v="PhD Creative Arts (Part - time)"/>
    <s v="Exploring the limitations of a young lyric baritone repertoire"/>
    <d v="2025-07-01T00:00:00"/>
    <n v="3"/>
    <s v="_x000d__x000a_50000_x000d__x000a_"/>
    <s v="_x000d__x000a_50000_x000d__x000a_"/>
    <s v="_x000d__x000a_50000_x000d__x000a_"/>
  </r>
  <r>
    <s v="10/12/2025"/>
    <s v="2025-8920"/>
    <s v="Higher Education Awards"/>
    <s v="Sabelo Zuma"/>
    <s v="1472118@students.wits.ac.za"/>
    <x v="3"/>
    <x v="0"/>
    <x v="0"/>
    <x v="0"/>
    <x v="0"/>
    <x v="2"/>
    <s v="Humanities"/>
    <s v="EM"/>
    <x v="0"/>
    <s v="Completed"/>
    <s v="Wits University"/>
    <s v="Master of Education"/>
    <s v="Impact of Various Leadership Styles on teacher well-being"/>
    <d v="2026-01-13T00:00:00"/>
    <n v="1"/>
    <s v="_x000d__x000a_181000_x000d__x000a_"/>
    <s v="_x000d__x000a_0_x000d__x000a_"/>
    <s v="_x000d__x000a_0_x000d__x000a_"/>
  </r>
  <r>
    <s v="10/12/2025"/>
    <s v="2025-8926"/>
    <s v="Higher Education Awards"/>
    <s v="Dan Kajingulu"/>
    <s v="2220586@students.wits.ac.za"/>
    <x v="3"/>
    <x v="0"/>
    <x v="0"/>
    <x v="0"/>
    <x v="0"/>
    <x v="1"/>
    <s v="Engineering &amp; the Built Environment"/>
    <s v="EM"/>
    <x v="0"/>
    <s v="Completed"/>
    <s v="University of the Witwatersrand"/>
    <s v="Master of Science in Engineering in Electrical engineering"/>
    <s v="high-speed breakdown and recovery in switchgear for SF6 alternatives"/>
    <d v="2025-01-01T00:00:00"/>
    <n v="2"/>
    <s v="_x000d__x000a_117220.8_x000d__x000a_"/>
    <s v="_x000d__x000a_117220.8_x000d__x000a_"/>
    <s v="_x000d__x000a_0_x000d__x000a_"/>
  </r>
  <r>
    <s v="10/12/2025"/>
    <s v="2025-8928"/>
    <s v="Higher Education Awards"/>
    <s v="Nicolan Stefaan Govender"/>
    <s v="218001489@student.uj.ac.za"/>
    <x v="3"/>
    <x v="1"/>
    <x v="4"/>
    <x v="0"/>
    <x v="0"/>
    <x v="4"/>
    <s v="Other"/>
    <s v="EM"/>
    <x v="0"/>
    <s v="Completed"/>
    <s v="University of Johannesburg"/>
    <s v="PhD in Education"/>
    <s v="Diversity, equity, and inclusion in public South African Educational Management"/>
    <d v="2025-01-31T00:00:00"/>
    <n v="2"/>
    <s v="_x000d__x000a_35000_x000d__x000a_"/>
    <s v="_x000d__x000a_30000_x000d__x000a_"/>
    <s v="_x000d__x000a_0_x000d__x000a_"/>
  </r>
  <r>
    <s v="10/12/2025"/>
    <s v="2025-8931"/>
    <s v="Higher Education Awards"/>
    <s v="Njabulo Tshabalala"/>
    <s v="njabulotshabalala95@gmail.com"/>
    <x v="3"/>
    <x v="0"/>
    <x v="0"/>
    <x v="0"/>
    <x v="0"/>
    <x v="4"/>
    <s v="Commerce &amp; Management"/>
    <s v="EM"/>
    <x v="25"/>
    <s v="Draft"/>
    <s v="University of the Witwatersrand"/>
    <s v="Masters - Full Time"/>
    <s v="Investigating the influence of humanoid service robots on brand preservation: a case of Pinot Noir"/>
    <d v="2025-02-13T00:00:00"/>
    <n v="1"/>
    <s v="_x000d__x000a_32939_x000d__x000a_"/>
    <s v="_x000d__x000a_0_x000d__x000a_"/>
    <s v="_x000d__x000a_0_x000d__x000a_"/>
  </r>
  <r>
    <s v="10/12/2025"/>
    <s v="2025-8941"/>
    <s v="Higher Education Awards"/>
    <s v="Lungisani Khumalo"/>
    <s v="lungisanin06@gmail.com"/>
    <x v="0"/>
    <x v="0"/>
    <x v="0"/>
    <x v="0"/>
    <x v="0"/>
    <x v="5"/>
    <s v="Natural Sciences"/>
    <s v="EM"/>
    <x v="0"/>
    <s v="Completed"/>
    <s v="University of the Free State"/>
    <s v="Master of Science in Agriculture measuring in Animal Science"/>
    <s v="The demographic, phenotypic and genomic status of the South African Shorthorn beef breed"/>
    <d v="2026-01-01T00:00:00"/>
    <n v="2"/>
    <s v="_x000d__x000a_145000_x000d__x000a_"/>
    <s v="_x000d__x000a_145000_x000d__x000a_"/>
    <s v="_x000d__x000a_0_x000d__x000a_"/>
  </r>
  <r>
    <s v="10/12/2025"/>
    <s v="2025-8961"/>
    <s v="Higher Education Awards"/>
    <s v="Batseba Moloto"/>
    <s v="molotobpa@gmail.com"/>
    <x v="0"/>
    <x v="0"/>
    <x v="0"/>
    <x v="1"/>
    <x v="0"/>
    <x v="6"/>
    <s v="Social Sciences"/>
    <s v="EM"/>
    <x v="0"/>
    <s v="Draft"/>
    <s v="University of the Free State"/>
    <s v="Master of Social Sciences with Specialisation in Political Science"/>
    <s v="Climate Change and Ontological (in)security: How Bangladesh, China and South Africa Negotiate Uncertainty and Pursue Climate Justice in the age of the Anthropocene"/>
    <d v="2025-02-03T00:00:00"/>
    <n v="2"/>
    <s v="_x000d__x000a_79000_x000d__x000a_"/>
    <s v="_x000d__x000a_85000_x000d__x000a_"/>
    <s v="_x000d__x000a_0_x000d__x000a_"/>
  </r>
  <r>
    <s v="10/12/2025"/>
    <s v="2025-8962"/>
    <s v="Higher Education Awards"/>
    <s v="Ethel Maliti"/>
    <s v="Emaliti35@gmail.com"/>
    <x v="0"/>
    <x v="0"/>
    <x v="0"/>
    <x v="1"/>
    <x v="0"/>
    <x v="2"/>
    <s v="Humanities"/>
    <s v="EM"/>
    <x v="26"/>
    <s v="Draft"/>
    <s v="The university of Witswatersrand"/>
    <s v="Masters of education"/>
    <s v="The influence of school climate on primary school learners emotional wellbeing"/>
    <d v="2026-01-13T00:00:00"/>
    <n v="2"/>
    <s v="_x000d__x000a_75730_x000d__x000a_"/>
    <s v="_x000d__x000a_30000_x000d__x000a_"/>
    <s v="_x000d__x000a_0_x000d__x000a_"/>
  </r>
  <r>
    <s v="10/12/2025"/>
    <s v="2025-8971"/>
    <s v="Higher Education Awards"/>
    <s v="Adila Ally"/>
    <s v="adilaally@gmail.com"/>
    <x v="1"/>
    <x v="1"/>
    <x v="4"/>
    <x v="1"/>
    <x v="0"/>
    <x v="2"/>
    <s v="Humanities"/>
    <s v="EM"/>
    <x v="1"/>
    <s v="Completed"/>
    <s v="University of the Witwatersrand"/>
    <s v="PhD"/>
    <s v="Education"/>
    <d v="2024-02-01T00:00:00"/>
    <n v="1"/>
    <s v="_x000d__x000a_1_x000d__x000a_"/>
    <s v="_x000d__x000a_0_x000d__x000a_"/>
    <s v="_x000d__x000a_0_x000d__x000a_"/>
  </r>
  <r>
    <s v="10/12/2025"/>
    <s v="2025-8980"/>
    <s v="Higher Education Awards"/>
    <s v="Kgoeloefelo Mbungela"/>
    <s v="sharonmbungela@gmail.com"/>
    <x v="3"/>
    <x v="0"/>
    <x v="0"/>
    <x v="1"/>
    <x v="0"/>
    <x v="4"/>
    <s v="Commerce &amp; Management"/>
    <s v="EM"/>
    <x v="24"/>
    <s v="Draft"/>
    <s v="University of Pretoria"/>
    <s v="Masters in Public Administration"/>
    <s v="Public policy"/>
    <d v="2026-01-12T00:00:00"/>
    <n v="1"/>
    <s v="_x000d__x000a_-13210_x000d__x000a_"/>
    <s v="_x000d__x000a_0_x000d__x000a_"/>
    <s v="_x000d__x000a_0_x000d__x000a_"/>
  </r>
  <r>
    <s v="10/12/2025"/>
    <s v="2025-8994"/>
    <s v="Higher Education Awards"/>
    <s v="Tanya Magaisa"/>
    <s v="tanyatmagaisa@gmail.com"/>
    <x v="3"/>
    <x v="0"/>
    <x v="0"/>
    <x v="1"/>
    <x v="0"/>
    <x v="7"/>
    <s v="Law"/>
    <s v="EM"/>
    <x v="18"/>
    <s v="Draft"/>
    <s v="University of Pretoria and Wits"/>
    <s v="LLM in Mercantile Law"/>
    <s v="Competition Law"/>
    <d v="2026-01-06T00:00:00"/>
    <n v="1"/>
    <s v="_x000d__x000a_100750_x000d__x000a_"/>
    <s v="_x000d__x000a_0_x000d__x000a_"/>
    <s v="_x000d__x000a_0_x000d__x000a_"/>
  </r>
  <r>
    <s v="10/12/2025"/>
    <s v="2025-8996"/>
    <s v="Higher Education Awards"/>
    <s v="Buren Moodley"/>
    <s v="21607117@sun.ac.za"/>
    <x v="0"/>
    <x v="1"/>
    <x v="4"/>
    <x v="0"/>
    <x v="0"/>
    <x v="1"/>
    <s v="Engineering &amp; the Built Environment"/>
    <s v="EM"/>
    <x v="0"/>
    <s v="Completed"/>
    <s v="Stellenbosch University"/>
    <s v="PhD in Chemical Engineering"/>
    <s v="Bioprocess development for the production of alginate lyase via heterologous expression"/>
    <d v="2025-02-01T00:00:00"/>
    <n v="2"/>
    <s v="_x000d__x000a_151885_x000d__x000a_"/>
    <s v="_x000d__x000a_151885_x000d__x000a_"/>
    <s v="_x000d__x000a_0_x000d__x000a_"/>
  </r>
  <r>
    <s v="10/12/2025"/>
    <s v="2025-9002"/>
    <s v="Higher Education Awards"/>
    <s v="Mahlatse Mpobane"/>
    <s v="2502884@students.wits.ac.za"/>
    <x v="3"/>
    <x v="0"/>
    <x v="0"/>
    <x v="1"/>
    <x v="0"/>
    <x v="4"/>
    <s v="Commerce &amp; Management"/>
    <s v="EM"/>
    <x v="14"/>
    <s v="Completed"/>
    <s v="Wits Business School"/>
    <s v="Master of Management"/>
    <s v="The Importance of Digital Technology in Building Successful Video Streaming Platforms"/>
    <d v="2023-01-10T00:00:00"/>
    <n v="2"/>
    <s v="_x000d__x000a_109000_x000d__x000a_"/>
    <s v="_x000d__x000a_102173_x000d__x000a_"/>
    <s v="_x000d__x000a_0_x000d__x000a_"/>
  </r>
  <r>
    <s v="10/12/2025"/>
    <s v="2025-9014"/>
    <s v="Higher Education Awards"/>
    <s v="Montasha Batjes"/>
    <s v="batjesmontasha@gmail.com"/>
    <x v="0"/>
    <x v="0"/>
    <x v="2"/>
    <x v="1"/>
    <x v="0"/>
    <x v="2"/>
    <s v="Humanities"/>
    <s v="EM"/>
    <x v="0"/>
    <s v="Completed"/>
    <s v="University of the Free State"/>
    <s v="Masters Degree"/>
    <s v="Visual support and linguistic components"/>
    <d v="2025-06-30T00:00:00"/>
    <n v="2"/>
    <s v="_x000d__x000a_23900_x000d__x000a_"/>
    <s v="_x000d__x000a_36100_x000d__x000a_"/>
    <s v="_x000d__x000a_0_x000d__x000a_"/>
  </r>
  <r>
    <s v="10/12/2025"/>
    <s v="2025-9020"/>
    <s v="Higher Education Awards"/>
    <s v="Thandokuhle Ngqamba"/>
    <s v="ngqambathando@gmail.com"/>
    <x v="1"/>
    <x v="0"/>
    <x v="0"/>
    <x v="0"/>
    <x v="0"/>
    <x v="4"/>
    <s v="Commerce &amp; Management"/>
    <s v="EM"/>
    <x v="18"/>
    <s v="Completed"/>
    <s v="University of Cape Town"/>
    <s v="Interest in Master of Philosophy - MPhil, Financial Technology"/>
    <s v="Financial Tehcnology"/>
    <d v="2026-01-02T00:00:00"/>
    <n v="2"/>
    <s v="_x000d__x000a_92770_x000d__x000a_"/>
    <s v="_x000d__x000a_92770_x000d__x000a_"/>
    <s v="_x000d__x000a_0_x000d__x000a_"/>
  </r>
  <r>
    <s v="10/12/2025"/>
    <s v="2025-9023"/>
    <s v="Higher Education Awards"/>
    <s v="Tebalelo Lehlaleroa"/>
    <s v="tebalelolehlaleroa@gmail.com"/>
    <x v="0"/>
    <x v="1"/>
    <x v="0"/>
    <x v="0"/>
    <x v="0"/>
    <x v="8"/>
    <s v="Health Sciences"/>
    <s v="EM"/>
    <x v="27"/>
    <s v="Draft"/>
    <s v="University of the Free State"/>
    <s v="Biomedical Sciences"/>
    <s v="Neurophysiology"/>
    <d v="2024-04-01T00:00:00"/>
    <n v="1"/>
    <s v="_x000d__x000a_120000_x000d__x000a_"/>
    <s v="_x000d__x000a_0_x000d__x000a_"/>
    <s v="_x000d__x000a_0_x000d__x000a_"/>
  </r>
  <r>
    <s v="10/12/2025"/>
    <s v="2025-9029"/>
    <s v="Higher Education Awards"/>
    <s v="Tlou Segodi"/>
    <s v="tlousegodi5@gmail.com"/>
    <x v="3"/>
    <x v="2"/>
    <x v="0"/>
    <x v="1"/>
    <x v="0"/>
    <x v="4"/>
    <s v="Commerce &amp; Management"/>
    <s v="EM"/>
    <x v="1"/>
    <s v="Completed"/>
    <s v="University of Johannesburg and Northwest university"/>
    <s v="Internal Auditing"/>
    <s v="Enhancing the Effectiveness of Internal Audit Functions in Strengthening Public Sector Governance in South Africa"/>
    <d v="2026-02-16T00:00:00"/>
    <n v="1"/>
    <s v="_x000d__x000a_-2_x000d__x000a_"/>
    <s v="_x000d__x000a_0_x000d__x000a_"/>
    <s v="_x000d__x000a_0_x000d__x000a_"/>
  </r>
  <r>
    <s v="10/12/2025"/>
    <s v="2025-9031"/>
    <s v="Higher Education Awards"/>
    <s v="Hayley Budge"/>
    <s v="hayley@budgeonline.com"/>
    <x v="3"/>
    <x v="0"/>
    <x v="1"/>
    <x v="1"/>
    <x v="0"/>
    <x v="8"/>
    <s v="Health Sciences"/>
    <s v="EM"/>
    <x v="0"/>
    <s v="Completed"/>
    <s v="The University of Cape Town &amp; Wits University"/>
    <s v="Master's degree in Genetic Counselling"/>
    <s v="Genetic Counselling"/>
    <d v="2026-02-14T00:00:00"/>
    <n v="2"/>
    <s v="_x000d__x000a_156000_x000d__x000a_"/>
    <s v="_x000d__x000a_165000_x000d__x000a_"/>
    <s v="_x000d__x000a_0_x000d__x000a_"/>
  </r>
  <r>
    <s v="10/12/2025"/>
    <s v="2025-9035"/>
    <s v="Higher Education Awards"/>
    <s v="Sydney Lethukuthula"/>
    <s v="Sydneysambo6@gmail.com"/>
    <x v="3"/>
    <x v="1"/>
    <x v="0"/>
    <x v="0"/>
    <x v="0"/>
    <x v="0"/>
    <s v="Applied Sciences"/>
    <s v="EM"/>
    <x v="28"/>
    <s v="Draft"/>
    <s v="University of KwaZulu Natal"/>
    <s v="PhD in Statistics"/>
    <s v="Advanced Statistical Modelling for Improving Clinical Data Analysis and Decision-Making in Drug Development"/>
    <d v="2026-02-01T00:00:00"/>
    <n v="3"/>
    <s v="_x000d__x000a_100000_x000d__x000a_"/>
    <s v="_x000d__x000a_100000_x000d__x000a_"/>
    <s v="_x000d__x000a_100000_x000d__x000a_"/>
  </r>
  <r>
    <s v="10/12/2025"/>
    <s v="2025-9039"/>
    <s v="Higher Education Awards"/>
    <s v="Frieda Nalitaandele Amwaalwa-Baffloe"/>
    <s v="famwaalwa@gmail.com"/>
    <x v="3"/>
    <x v="1"/>
    <x v="0"/>
    <x v="1"/>
    <x v="0"/>
    <x v="4"/>
    <s v="Commerce &amp; Management"/>
    <s v="EM"/>
    <x v="0"/>
    <s v="Draft"/>
    <s v="University of Free State Bloemfontein"/>
    <s v="Doctor of Philosophy with specialization in Development Studies"/>
    <s v="Transformation impact by Development Partners towards Socio-Economic Development of National Development Plan 5 achievements"/>
    <d v="2026-01-15T00:00:00"/>
    <n v="3"/>
    <s v="_x000d__x000a_80000_x000d__x000a_"/>
    <s v="_x000d__x000a_80000_x000d__x000a_"/>
    <s v="_x000d__x000a_80000_x000d__x000a_"/>
  </r>
  <r>
    <s v="10/12/2025"/>
    <s v="2025-9042"/>
    <s v="Higher Education Awards"/>
    <s v="William Day"/>
    <s v="william.day.za@gmail.com"/>
    <x v="0"/>
    <x v="0"/>
    <x v="1"/>
    <x v="0"/>
    <x v="0"/>
    <x v="5"/>
    <s v="Natural Sciences"/>
    <s v="EM"/>
    <x v="0"/>
    <s v="Completed"/>
    <s v="Stellenbosch University"/>
    <s v="Earth Sciences"/>
    <s v="Environmental Science: Marine geochemistry"/>
    <d v="2026-02-09T00:00:00"/>
    <n v="2"/>
    <s v="_x000d__x000a_143458_x000d__x000a_"/>
    <s v="_x000d__x000a_143458_x000d__x000a_"/>
    <s v="_x000d__x000a_0_x000d__x000a_"/>
  </r>
  <r>
    <s v="10/12/2025"/>
    <s v="2025-9044"/>
    <s v="Higher Education Awards"/>
    <s v="Asanda Mbengo"/>
    <s v="asandambengo@yahoo.com"/>
    <x v="3"/>
    <x v="1"/>
    <x v="0"/>
    <x v="0"/>
    <x v="0"/>
    <x v="4"/>
    <s v="Commerce &amp; Management"/>
    <s v="EM"/>
    <x v="8"/>
    <s v="Draft"/>
    <s v="University of Johannesburg"/>
    <s v="PhD Accounting Sciences"/>
    <s v="How can assurance services reporting be enhanced and the audit expectation gap reduced in Eastern Cape municipalities?"/>
    <d v="2026-02-01T00:00:00"/>
    <n v="3"/>
    <s v="_x000d__x000a_126905_x000d__x000a_"/>
    <s v="_x000d__x000a_121864.45_x000d__x000a_"/>
    <s v="_x000d__x000a_117229.47_x000d__x000a_"/>
  </r>
  <r>
    <s v="10/12/2025"/>
    <s v="2025-9062"/>
    <s v="Higher Education Awards"/>
    <s v="Shaydine Bosman"/>
    <s v="2922389@students.wits.ac.za"/>
    <x v="0"/>
    <x v="0"/>
    <x v="2"/>
    <x v="1"/>
    <x v="0"/>
    <x v="2"/>
    <s v="Humanities"/>
    <s v="EM"/>
    <x v="0"/>
    <s v="Completed"/>
    <s v="University of Witwatersrand"/>
    <s v="Cultural Policies and Management"/>
    <s v="The Cycle of Stagnation: Understanding the repetitive content at SABC"/>
    <d v="2024-07-15T00:00:00"/>
    <n v="1"/>
    <s v="_x000d__x000a_-36887.81_x000d__x000a_"/>
    <s v="_x000d__x000a_0_x000d__x000a_"/>
    <s v="_x000d__x000a_0_x000d__x000a_"/>
  </r>
  <r>
    <s v="10/12/2025"/>
    <s v="2025-9064"/>
    <s v="Higher Education Awards"/>
    <s v="Mia Jorgensen"/>
    <s v="25903632@sun.ac.za"/>
    <x v="0"/>
    <x v="0"/>
    <x v="1"/>
    <x v="1"/>
    <x v="0"/>
    <x v="8"/>
    <s v="Health Sciences"/>
    <s v="EM"/>
    <x v="0"/>
    <s v="Completed"/>
    <s v="Stellenbsoch University"/>
    <s v="MSc Pharmacology"/>
    <s v="LC-MS method development and validation"/>
    <d v="2026-02-02T00:00:00"/>
    <n v="2"/>
    <s v="_x000d__x000a_148404_x000d__x000a_"/>
    <s v="_x000d__x000a_111246_x000d__x000a_"/>
    <s v="_x000d__x000a_0_x000d__x000a_"/>
  </r>
  <r>
    <s v="10/12/2025"/>
    <s v="2025-9065"/>
    <s v="Higher Education Awards"/>
    <s v="Sandile Mkhize"/>
    <s v="0703594t@students.wits.ac.za"/>
    <x v="0"/>
    <x v="1"/>
    <x v="0"/>
    <x v="0"/>
    <x v="0"/>
    <x v="8"/>
    <s v="Natural Sciences"/>
    <s v="EM"/>
    <x v="0"/>
    <s v="Completed"/>
    <s v="University of the Witwatersrand"/>
    <s v="Medicinal Chemistry"/>
    <s v="Structure based design of non-covalent, non-peptidic and orally active inhibitors of the Severe Acute Respiratory Syndrome Corona Virus-2(SARS-CoV-2)."/>
    <d v="2022-09-14T00:00:00"/>
    <n v="1"/>
    <s v="_x000d__x000a_119412.92_x000d__x000a_"/>
    <s v="_x000d__x000a_0_x000d__x000a_"/>
    <s v="_x000d__x000a_0_x000d__x000a_"/>
  </r>
  <r>
    <s v="10/12/2025"/>
    <s v="2025-9076"/>
    <s v="Higher Education Awards"/>
    <s v="Hlengiwe Maswanganyi"/>
    <s v="hgmaswanganyi1@gmail.com"/>
    <x v="0"/>
    <x v="0"/>
    <x v="0"/>
    <x v="1"/>
    <x v="0"/>
    <x v="4"/>
    <s v="Commerce &amp; Management"/>
    <s v="EM"/>
    <x v="0"/>
    <s v="Draft"/>
    <s v="University of Johannesburg"/>
    <s v="Masters In Strategic Management"/>
    <s v="Investigating the Impact of Artificial Intelligence Applications on the Strategic Management in Local Municipality"/>
    <d v="2025-08-30T00:00:00"/>
    <n v="2"/>
    <s v="_x000d__x000a_80000_x000d__x000a_"/>
    <s v="_x000d__x000a_60000_x000d__x000a_"/>
    <s v="_x000d__x000a_0_x000d__x000a_"/>
  </r>
  <r>
    <s v="10/12/2025"/>
    <s v="2025-9078"/>
    <s v="Higher Education Awards"/>
    <s v="Asanele Lamba"/>
    <s v="asanelelamba67@gmail.com"/>
    <x v="1"/>
    <x v="0"/>
    <x v="0"/>
    <x v="1"/>
    <x v="0"/>
    <x v="4"/>
    <s v="Commerce &amp; Management"/>
    <s v="EM"/>
    <x v="5"/>
    <s v="Completed"/>
    <s v="Nelson Mandela University"/>
    <s v="Masters in Economics (course work)"/>
    <s v="The Role of Microfinance Institutions in Poverty Reduction and Economic Empowerment in Post-Apartheid South Africa."/>
    <d v="2025-02-11T00:00:00"/>
    <n v="2"/>
    <s v="_x000d__x000a_60000_x000d__x000a_"/>
    <s v="_x000d__x000a_60000_x000d__x000a_"/>
    <s v="_x000d__x000a_0_x000d__x000a_"/>
  </r>
  <r>
    <s v="10/12/2025"/>
    <s v="2025-9083"/>
    <s v="Higher Education Awards"/>
    <s v="Firidaus Precious Mononyane"/>
    <s v="www.firidausmononyane@gmail.com"/>
    <x v="1"/>
    <x v="0"/>
    <x v="0"/>
    <x v="1"/>
    <x v="0"/>
    <x v="5"/>
    <s v="Natural Sciences"/>
    <s v="EM"/>
    <x v="1"/>
    <s v="Completed"/>
    <s v="University of the Witwatersrand"/>
    <s v="Masters"/>
    <s v="Wildfire Probability Modeling"/>
    <d v="2025-08-01T00:00:00"/>
    <n v="1"/>
    <s v="_x000d__x000a_95253.85_x000d__x000a_"/>
    <s v="_x000d__x000a_0_x000d__x000a_"/>
    <s v="_x000d__x000a_0_x000d__x000a_"/>
  </r>
  <r>
    <s v="10/12/2025"/>
    <s v="2025-9108"/>
    <s v="Higher Education Awards"/>
    <s v="Divinia Malatji"/>
    <s v="3055342@students.wits.ac.za"/>
    <x v="3"/>
    <x v="0"/>
    <x v="0"/>
    <x v="1"/>
    <x v="0"/>
    <x v="8"/>
    <s v="Health Sciences"/>
    <s v="EM"/>
    <x v="15"/>
    <s v="Draft"/>
    <s v="Witwatersrand University"/>
    <s v="Masters of science in nursing"/>
    <s v="Antibiotic stewardship literacy of  mothers with newborn babies"/>
    <d v="2025-08-03T00:00:00"/>
    <n v="2"/>
    <s v="_x000d__x000a_30000_x000d__x000a_"/>
    <s v="_x000d__x000a_30000_x000d__x000a_"/>
    <s v="_x000d__x000a_0_x000d__x000a_"/>
  </r>
  <r>
    <s v="10/12/2025"/>
    <s v="2025-9180"/>
    <s v="Higher Education Awards"/>
    <s v="Dorcas Khumalo"/>
    <s v="Dorcaskhumalon@gmail.com"/>
    <x v="3"/>
    <x v="1"/>
    <x v="0"/>
    <x v="1"/>
    <x v="1"/>
    <x v="1"/>
    <s v="Engineering &amp; the Built Environment"/>
    <s v="EM"/>
    <x v="0"/>
    <s v="Completed"/>
    <s v="University of Edinburgh"/>
    <s v="Phd Civil Engineering"/>
    <s v="Numerical Modelling and simulation of tailing dams"/>
    <d v="2026-07-01T00:00:00"/>
    <n v="3"/>
    <s v="_x000d__x000a_110061.25_x000d__x000a_"/>
    <s v="_x000d__x000a_425668.75_x000d__x000a_"/>
    <s v="_x000d__x000a_437076.25_x000d__x000a_"/>
  </r>
  <r>
    <s v="10/12/2025"/>
    <s v="2025-9215"/>
    <s v="Higher Education Awards"/>
    <s v="Erin Domingo"/>
    <s v="erindomingo0705@gmail.com"/>
    <x v="0"/>
    <x v="0"/>
    <x v="2"/>
    <x v="1"/>
    <x v="0"/>
    <x v="3"/>
    <s v="Humanities"/>
    <s v="EM"/>
    <x v="0"/>
    <s v="Completed"/>
    <s v="University of Johannesburg"/>
    <s v="Masters in Visual Art"/>
    <s v="An investigation into the therapeutic potential of contemporary visual art practices in processing grief and trauma, with a focus on intentional and intuitive methods of art-making."/>
    <d v="2026-01-01T00:00:00"/>
    <n v="2"/>
    <s v="_x000d__x000a_30000_x000d__x000a_"/>
    <s v="_x000d__x000a_30000_x000d__x000a_"/>
    <s v="_x000d__x000a_0_x000d__x000a_"/>
  </r>
  <r>
    <s v="10/12/2025"/>
    <s v="2025-9230"/>
    <s v="Higher Education Awards"/>
    <s v="Esmerelda Williams"/>
    <s v="ebwilliams916@gmail.com"/>
    <x v="3"/>
    <x v="0"/>
    <x v="2"/>
    <x v="1"/>
    <x v="0"/>
    <x v="8"/>
    <s v="Health Sciences"/>
    <s v="EM"/>
    <x v="0"/>
    <s v="Completed"/>
    <s v="University of the Witwatersrand"/>
    <s v="MSc (Med)  by dissertation in Chemical Pathology"/>
    <s v="A Survey Of Toxicology Across South Africa"/>
    <d v="2025-01-01T00:00:00"/>
    <n v="2"/>
    <s v="_x000d__x000a_206578_x000d__x000a_"/>
    <s v="_x000d__x000a_196578_x000d__x000a_"/>
    <s v="_x000d__x000a_0_x000d__x000a_"/>
  </r>
  <r>
    <s v="10/12/2025"/>
    <s v="2025-9258"/>
    <s v="Higher Education Awards"/>
    <s v="Refiloe Kente"/>
    <s v="karenkente3@gmail.com"/>
    <x v="3"/>
    <x v="0"/>
    <x v="0"/>
    <x v="1"/>
    <x v="0"/>
    <x v="8"/>
    <s v="Health Sciences"/>
    <s v="EM"/>
    <x v="0"/>
    <s v="Completed"/>
    <s v="University of Johannesburg"/>
    <s v="MPhil Biokinetics"/>
    <s v="Biomechanical effects of fatigue on jump landing in long distance runners using a 3D motion analysis"/>
    <d v="2026-02-09T00:00:00"/>
    <n v="2"/>
    <s v="_x000d__x000a_135825_x000d__x000a_"/>
    <s v="_x000d__x000a_120400_x000d__x000a_"/>
    <s v="_x000d__x000a_0_x000d__x000a_"/>
  </r>
  <r>
    <s v="10/12/2025"/>
    <s v="2025-9287"/>
    <s v="Higher Education Awards"/>
    <s v="Hendrik Baird"/>
    <s v="hendrik@baird.media"/>
    <x v="0"/>
    <x v="1"/>
    <x v="1"/>
    <x v="0"/>
    <x v="0"/>
    <x v="2"/>
    <s v="Humanities"/>
    <s v="EM"/>
    <x v="0"/>
    <s v="Completed"/>
    <s v="University of Pretoria"/>
    <s v="PhD specialising in Digital Culture and Media"/>
    <s v="Indie Voices in a Platform World: The Political Economy of South African Podcasters Guild Member Podcasts"/>
    <d v="2026-01-01T00:00:00"/>
    <n v="2"/>
    <s v="_x000d__x000a_268240_x000d__x000a_"/>
    <s v="_x000d__x000a_265764_x000d__x000a_"/>
    <s v="_x000d__x000a_0_x000d__x000a_"/>
  </r>
  <r>
    <s v="10/12/2025"/>
    <s v="2025-9313"/>
    <s v="Higher Education Awards"/>
    <s v="Naftal Nyakundi"/>
    <s v="nyakundinaftali1986@gmail.com"/>
    <x v="0"/>
    <x v="2"/>
    <x v="0"/>
    <x v="0"/>
    <x v="0"/>
    <x v="6"/>
    <s v="Social Sciences"/>
    <s v="EM"/>
    <x v="0"/>
    <s v="Draft"/>
    <s v="University of Cape Town, department of linguistics and language practice"/>
    <s v="Gender, Humour, and Social Cohesion in African Media and Oral Traditions"/>
    <s v="Linguistic sexism and gendered humour:A critical Discourse study of Kenyan stand up comedy"/>
    <d v="2026-03-01T00:00:00"/>
    <n v="1"/>
    <s v="_x000d__x000a_225000_x000d__x000a_"/>
    <s v="_x000d__x000a_0_x000d__x000a_"/>
    <s v="_x000d__x000a_0_x000d__x000a_"/>
  </r>
  <r>
    <s v="10/12/2025"/>
    <s v="2025-9320"/>
    <s v="Higher Education Awards"/>
    <s v="Sanele Donald Dlamini"/>
    <s v="saneleddlamini@gmail.com"/>
    <x v="0"/>
    <x v="1"/>
    <x v="0"/>
    <x v="0"/>
    <x v="0"/>
    <x v="5"/>
    <s v="Natural Sciences"/>
    <s v="EM"/>
    <x v="29"/>
    <s v="Completed"/>
    <s v="University of Pretoria"/>
    <s v="PhD Soil Science"/>
    <s v="Dynamics of microplastics in the soil-water-plant system of agricultural lands and implications for food and water safety"/>
    <d v="2026-02-02T00:00:00"/>
    <n v="3"/>
    <s v="_x000d__x000a_200000_x000d__x000a_"/>
    <s v="_x000d__x000a_215000_x000d__x000a_"/>
    <s v="_x000d__x000a_230000_x000d__x000a_"/>
  </r>
  <r>
    <s v="10/12/2025"/>
    <s v="2025-9321"/>
    <s v="Higher Education Awards"/>
    <s v="Claude Mbonigaba"/>
    <s v="mbonigabaclaude@gmail.com"/>
    <x v="1"/>
    <x v="0"/>
    <x v="0"/>
    <x v="0"/>
    <x v="1"/>
    <x v="5"/>
    <s v="Natural Sciences"/>
    <s v="EM"/>
    <x v="15"/>
    <s v="Completed"/>
    <s v="Kenyatta University"/>
    <s v="Mater of Science (physics)"/>
    <s v="Theoretical Atomic Collisions Physics"/>
    <d v="2025-08-26T00:00:00"/>
    <n v="2"/>
    <s v="_x000d__x000a_1226925_x000d__x000a_"/>
    <s v="_x000d__x000a_1226925_x000d__x000a_"/>
    <s v="_x000d__x000a_0_x000d__x000a_"/>
  </r>
  <r>
    <s v="10/12/2025"/>
    <s v="2025-9360"/>
    <s v="Higher Education Awards"/>
    <s v="Gavin Krastin"/>
    <s v="gavinkrastin@gmail.com"/>
    <x v="0"/>
    <x v="1"/>
    <x v="1"/>
    <x v="0"/>
    <x v="0"/>
    <x v="3"/>
    <s v="Performing &amp; Creative Arts"/>
    <s v="EM"/>
    <x v="0"/>
    <s v="Completed"/>
    <s v="I have been accepted to the University of Cape Town's Centre for Theatre, Dance and Performance Studies"/>
    <s v="Live Art, Interdisciplinary and Public Art"/>
    <s v="Decolonial framework in curating live art performance"/>
    <d v="2026-01-01T00:00:00"/>
    <n v="1"/>
    <s v="_x000d__x000a_30000_x000d__x000a_"/>
    <s v="_x000d__x000a_0_x000d__x000a_"/>
    <s v="_x000d__x000a_0_x000d__x000a_"/>
  </r>
  <r>
    <s v="10/12/2025"/>
    <s v="2025-9372"/>
    <s v="Higher Education Awards"/>
    <s v="NONKAZIMULO PHETHA"/>
    <s v="nonkangidi34@gmail.com"/>
    <x v="1"/>
    <x v="0"/>
    <x v="0"/>
    <x v="1"/>
    <x v="0"/>
    <x v="2"/>
    <s v="Humanities"/>
    <s v="EM"/>
    <x v="1"/>
    <s v="Completed"/>
    <s v="University of KwaZulu Natal"/>
    <s v="Master of Science Education"/>
    <s v="Pre-service teachers experience of teaching gaseous exchange in a rural context"/>
    <d v="2025-01-31T00:00:00"/>
    <n v="2"/>
    <s v="_x000d__x000a_12500_x000d__x000a_"/>
    <s v="_x000d__x000a_4500_x000d__x000a_"/>
    <s v="_x000d__x000a_0_x000d__x000a_"/>
  </r>
  <r>
    <s v="10/12/2025"/>
    <s v="2025-9375"/>
    <s v="Higher Education Awards"/>
    <s v="Simangele  Mchunu"/>
    <s v="simangelenomcebo@gmail.com"/>
    <x v="1"/>
    <x v="0"/>
    <x v="0"/>
    <x v="1"/>
    <x v="0"/>
    <x v="2"/>
    <s v="Humanities"/>
    <s v="EM"/>
    <x v="1"/>
    <s v="Completed"/>
    <s v="University Of Kwa-Zulu Natal"/>
    <n v="1"/>
    <s v="An Exploration of the Ethical Implications of Commercial Surrogacy in South Africa"/>
    <d v="2026-02-10T00:00:00"/>
    <n v="1"/>
    <s v="_x000d__x000a_45000_x000d__x000a_"/>
    <s v="_x000d__x000a_0_x000d__x000a_"/>
    <s v="_x000d__x000a_0_x000d__x000a_"/>
  </r>
  <r>
    <s v="10/12/2025"/>
    <s v="2025-9381"/>
    <s v="Higher Education Awards"/>
    <s v="Nicholas Onkoba"/>
    <s v="ososinick1985@gmail.com"/>
    <x v="0"/>
    <x v="1"/>
    <x v="0"/>
    <x v="0"/>
    <x v="0"/>
    <x v="0"/>
    <s v="Natural Sciences"/>
    <s v="EM"/>
    <x v="0"/>
    <s v="Completed"/>
    <s v="University of South Africa"/>
    <s v="PhD physics"/>
    <s v="Renewable Energy- Hydrogen Fuel cells"/>
    <d v="2026-01-15T00:00:00"/>
    <n v="2"/>
    <s v="_x000d__x000a_380760_x000d__x000a_"/>
    <s v="_x000d__x000a_390760_x000d__x000a_"/>
    <s v="_x000d__x000a_0_x000d__x000a_"/>
  </r>
  <r>
    <s v="10/12/2025"/>
    <s v="2025-9383"/>
    <s v="Higher Education Awards"/>
    <s v="Semola kabelo Mojapelo"/>
    <s v="Semola.770@gmail.com"/>
    <x v="0"/>
    <x v="1"/>
    <x v="0"/>
    <x v="0"/>
    <x v="0"/>
    <x v="8"/>
    <s v="Natural Sciences"/>
    <s v="EM"/>
    <x v="0"/>
    <s v="Completed"/>
    <s v="University of Kwazulu Natal"/>
    <s v="Doctoral"/>
    <s v="Design , synthesis and potential antiviral activity against SARS-COV-2 of the functionalised amino and hydrazine benzothiazole-based pharmacopoeia compounds"/>
    <d v="2026-01-12T00:00:00"/>
    <n v="3"/>
    <s v="_x000d__x000a_300000_x000d__x000a_"/>
    <s v="_x000d__x000a_300000_x000d__x000a_"/>
    <s v="_x000d__x000a_300000_x000d__x000a_"/>
  </r>
  <r>
    <s v="10/12/2025"/>
    <s v="2025-9387"/>
    <s v="Higher Education Awards"/>
    <s v="Clement Sichangi sichangi"/>
    <s v="26579154@mylife.unisa.ac.za"/>
    <x v="0"/>
    <x v="1"/>
    <x v="0"/>
    <x v="0"/>
    <x v="0"/>
    <x v="0"/>
    <s v="Natural Sciences"/>
    <s v="EM"/>
    <x v="0"/>
    <s v="Completed"/>
    <s v="University of south Africa"/>
    <s v="Ph.D."/>
    <s v="Material science- Photoluminescence"/>
    <d v="2025-01-01T00:00:00"/>
    <n v="3"/>
    <s v="_x000d__x000a_305394_x000d__x000a_"/>
    <s v="_x000d__x000a_417880_x000d__x000a_"/>
    <s v="_x000d__x000a_547380_x000d__x000a_"/>
  </r>
  <r>
    <s v="10/12/2025"/>
    <s v="2025-9400"/>
    <s v="Higher Education Awards"/>
    <s v="ABEL KITINDIO MUTAMBU"/>
    <s v="abelmutambu@gmail.com"/>
    <x v="0"/>
    <x v="1"/>
    <x v="0"/>
    <x v="0"/>
    <x v="0"/>
    <x v="0"/>
    <s v="Natural Sciences"/>
    <s v="EM"/>
    <x v="0"/>
    <s v="Completed"/>
    <s v="University of South Africa"/>
    <s v="PHD"/>
    <s v="SYNTHESIS,MODIFICATION AND CO-DOPING OF COPPER OXIDE (CuO) FOR ENHANCED THERMOLUMINESCENCE (TL) DOSIMETRIC PERFORMANCE"/>
    <d v="2025-05-07T00:00:00"/>
    <n v="3"/>
    <s v="_x000d__x000a_748380_x000d__x000a_"/>
    <s v="_x000d__x000a_748380_x000d__x000a_"/>
    <s v="_x000d__x000a_748380_x000d__x000a_"/>
  </r>
  <r>
    <s v="10/12/2025"/>
    <s v="2025-9406"/>
    <s v="Higher Education Awards"/>
    <s v="Ngwanase Tembe"/>
    <s v="phakamanitembe996@yahoo.com"/>
    <x v="1"/>
    <x v="0"/>
    <x v="0"/>
    <x v="0"/>
    <x v="0"/>
    <x v="4"/>
    <s v="Commerce &amp; Management"/>
    <s v="EM"/>
    <x v="1"/>
    <s v="Completed"/>
    <s v="Sol Plaatjie University"/>
    <s v="Masters in Public Management"/>
    <s v="Youth Unemployment in Galeshewe Township"/>
    <d v="2026-01-01T00:00:00"/>
    <n v="1"/>
    <s v="_x000d__x000a_22500_x000d__x000a_"/>
    <s v="_x000d__x000a_0_x000d__x000a_"/>
    <s v="_x000d__x000a_0_x000d__x000a_"/>
  </r>
  <r>
    <s v="10/12/2025"/>
    <s v="2025-9417"/>
    <s v="Higher Education Awards"/>
    <s v="Lutho Makhofola"/>
    <s v="luthomakhofola@gmail.com"/>
    <x v="3"/>
    <x v="0"/>
    <x v="0"/>
    <x v="0"/>
    <x v="0"/>
    <x v="7"/>
    <s v="Law"/>
    <s v="EM"/>
    <x v="25"/>
    <s v="Draft"/>
    <s v="University of the Free State"/>
    <s v="Master of Laws"/>
    <s v="Criminal Law"/>
    <d v="2026-01-26T00:00:00"/>
    <n v="1"/>
    <s v="_x000d__x000a_74470_x000d__x000a_"/>
    <s v="_x000d__x000a_0_x000d__x000a_"/>
    <s v="_x000d__x000a_0_x000d__x000a_"/>
  </r>
  <r>
    <s v="10/12/2025"/>
    <s v="2025-9427"/>
    <s v="Higher Education Awards"/>
    <s v="Boipelo Motone"/>
    <s v="202003079@spu.ac.za"/>
    <x v="4"/>
    <x v="0"/>
    <x v="0"/>
    <x v="1"/>
    <x v="0"/>
    <x v="4"/>
    <s v="Commerce &amp; Management"/>
    <s v="EM"/>
    <x v="1"/>
    <s v="Completed"/>
    <s v="Regenesys Business school"/>
    <s v="Postgraduate diploma in public management"/>
    <s v="Public management"/>
    <d v="2025-10-01T00:00:00"/>
    <n v="1"/>
    <s v="_x000d__x000a_120000_x000d__x000a_"/>
    <s v="_x000d__x000a_0_x000d__x000a_"/>
    <s v="_x000d__x000a_0_x000d__x000a_"/>
  </r>
  <r>
    <s v="10/12/2025"/>
    <s v="2025-9428"/>
    <s v="Higher Education Awards"/>
    <s v="Sandiso Mbulawa"/>
    <s v="sandismbulawa50@gmail.com"/>
    <x v="1"/>
    <x v="0"/>
    <x v="0"/>
    <x v="0"/>
    <x v="0"/>
    <x v="7"/>
    <s v="Law"/>
    <s v="EM"/>
    <x v="18"/>
    <s v="Completed"/>
    <s v="Stellenbosch University, University of Johannesburg, Nelson Mandela University  and University of Free State"/>
    <s v="Law"/>
    <s v="Competition regulation in digital markets"/>
    <d v="2026-01-19T00:00:00"/>
    <n v="2"/>
    <s v="_x000d__x000a_100000_x000d__x000a_"/>
    <s v="_x000d__x000a_100000_x000d__x000a_"/>
    <s v="_x000d__x000a_0_x000d__x000a_"/>
  </r>
  <r>
    <s v="10/12/2025"/>
    <s v="2025-9431"/>
    <s v="Higher Education Awards"/>
    <s v="TARISAI MUDZANI"/>
    <s v="tmudzani@gmail.com"/>
    <x v="3"/>
    <x v="0"/>
    <x v="0"/>
    <x v="0"/>
    <x v="0"/>
    <x v="8"/>
    <s v="Health Sciences"/>
    <s v="EM"/>
    <x v="25"/>
    <s v="Draft"/>
    <s v="university of Witwatersrand"/>
    <s v="Biostatistics and Epidemiology"/>
    <s v=": Classification of Stages of Prostate Cancer Using PET/CT Images and Hospital Notes by Machine Learning in a Low-Income Country Introduction"/>
    <d v="2026-01-12T00:00:00"/>
    <n v="2"/>
    <s v="_x000d__x000a_75000_x000d__x000a_"/>
    <s v="_x000d__x000a_75000_x000d__x000a_"/>
    <s v="_x000d__x000a_0_x000d__x000a_"/>
  </r>
  <r>
    <s v="10/12/2025"/>
    <s v="2025-8271"/>
    <s v="Higher Education Awards"/>
    <s v="Hlengiwe Zwane"/>
    <s v="Mazwanepostgradstudies@gmail.com"/>
    <x v="0"/>
    <x v="0"/>
    <x v="0"/>
    <x v="1"/>
    <x v="0"/>
    <x v="2"/>
    <s v="Humanities"/>
    <s v="CB"/>
    <x v="0"/>
    <s v="Completed"/>
    <s v="University of Pretoria"/>
    <s v="Master of Education in Mathematics Education"/>
    <s v="Misconceptions in the strategies of mathematical problem-solving (not only focusing on the final answer)"/>
    <d v="2026-02-09T00:00:00"/>
    <n v="2"/>
    <s v="_x000d__x000a_357555_x000d__x000a_"/>
    <s v="_x000d__x000a_407555_x000d__x000a_"/>
    <s v="_x000d__x000a_0_x000d__x000a_"/>
  </r>
  <r>
    <s v="10/12/2025"/>
    <s v="2025-8310"/>
    <s v="Higher Education Awards"/>
    <s v="Thulisile Tassia Mashabela"/>
    <s v="thulisilemashabela42@gmail.com"/>
    <x v="3"/>
    <x v="0"/>
    <x v="0"/>
    <x v="1"/>
    <x v="0"/>
    <x v="2"/>
    <s v="Humanities"/>
    <s v="CB"/>
    <x v="0"/>
    <s v="Completed"/>
    <s v="University of Limpopo"/>
    <s v="Masters"/>
    <s v="Exploring Unemployment Among University Graduates: Addressing Job Creation in the Mopani District, Limpopo Province."/>
    <d v="2026-01-01T00:00:00"/>
    <n v="2"/>
    <s v="_x000d__x000a_33850_x000d__x000a_"/>
    <s v="_x000d__x000a_33850_x000d__x000a_"/>
    <s v="_x000d__x000a_0_x000d__x000a_"/>
  </r>
  <r>
    <s v="10/12/2025"/>
    <s v="2025-8367"/>
    <s v="Higher Education Awards"/>
    <s v="Awonke Nomandondo"/>
    <s v="nomandondo.awonke@icloud.com"/>
    <x v="0"/>
    <x v="0"/>
    <x v="0"/>
    <x v="0"/>
    <x v="0"/>
    <x v="0"/>
    <s v="Applied Sciences"/>
    <s v="CB"/>
    <x v="0"/>
    <s v="Draft"/>
    <s v="Wits University"/>
    <s v="MSc IN COMPUTER &amp; INFO SCI (DATA SCIENCE)"/>
    <s v="Advancing Deepfake Detection through Explainable Multimodal Artificial Intelligence: A Deep Learning Approach to Securing Audio-Visual Media"/>
    <d v="2026-02-01T00:00:00"/>
    <n v="2"/>
    <s v="_x000d__x000a_180000_x000d__x000a_"/>
    <s v="_x000d__x000a_180000_x000d__x000a_"/>
    <s v="_x000d__x000a_0_x000d__x000a_"/>
  </r>
  <r>
    <s v="10/12/2025"/>
    <s v="2025-8527"/>
    <s v="Higher Education Awards"/>
    <s v="TLHOLOHELO LEHLEKISO"/>
    <s v="tlehlekiso@gmail.com"/>
    <x v="0"/>
    <x v="1"/>
    <x v="0"/>
    <x v="1"/>
    <x v="0"/>
    <x v="7"/>
    <s v="Law"/>
    <s v="CB"/>
    <x v="0"/>
    <s v="Draft"/>
    <s v="University of Cape Town"/>
    <s v="Doctor of Philosophy in Law"/>
    <s v="A Seat at the Table: Reclaiming African Agency and Reproductive Justice through a Decolonial Framework for Regulating Cross-Border Surrogacy"/>
    <d v="2025-02-11T00:00:00"/>
    <n v="3"/>
    <s v="_x000d__x000a_350000_x000d__x000a_"/>
    <s v="_x000d__x000a_350000_x000d__x000a_"/>
    <s v="_x000d__x000a_350000_x000d__x000a_"/>
  </r>
  <r>
    <s v="10/12/2025"/>
    <s v="2025-8550"/>
    <s v="Higher Education Awards"/>
    <s v="Emma Daitz"/>
    <s v="Emma.frieda.daitz@gmail.com"/>
    <x v="0"/>
    <x v="2"/>
    <x v="1"/>
    <x v="1"/>
    <x v="0"/>
    <x v="2"/>
    <s v="Humanities"/>
    <s v="CB"/>
    <x v="0"/>
    <s v="Draft"/>
    <s v="UWC"/>
    <s v="History"/>
    <s v="Rethinking the Liberal Tradition in South Africa"/>
    <d v="2026-01-01T00:00:00"/>
    <n v="2"/>
    <s v="_x000d__x000a_450000_x000d__x000a_"/>
    <s v="_x000d__x000a_0_x000d__x000a_"/>
    <s v="_x000d__x000a_0_x000d__x000a_"/>
  </r>
  <r>
    <s v="10/12/2025"/>
    <s v="2025-8641"/>
    <s v="Higher Education Awards"/>
    <s v="Ayanda Mandlazi"/>
    <s v="ayandamandlazi@gmail.com"/>
    <x v="3"/>
    <x v="0"/>
    <x v="0"/>
    <x v="1"/>
    <x v="1"/>
    <x v="3"/>
    <s v="Performing &amp; Creative Arts"/>
    <s v="CB"/>
    <x v="15"/>
    <s v="Completed"/>
    <s v="Brunel University London"/>
    <s v=" Creative Writing MA"/>
    <s v="Staging Grief: A Memoir in Performance"/>
    <d v="2026-09-01T00:00:00"/>
    <n v="1"/>
    <s v="_x000d__x000a_884384.54_x000d__x000a_"/>
    <s v="_x000d__x000a_0_x000d__x000a_"/>
    <s v="_x000d__x000a_0_x000d__x000a_"/>
  </r>
  <r>
    <s v="10/12/2025"/>
    <s v="2025-8702"/>
    <s v="Higher Education Awards"/>
    <s v="Akanyang Marogoa"/>
    <s v="akanyang.marogoa10@gmail.com"/>
    <x v="1"/>
    <x v="0"/>
    <x v="0"/>
    <x v="0"/>
    <x v="1"/>
    <x v="7"/>
    <s v="Law"/>
    <s v="CB"/>
    <x v="15"/>
    <s v="Completed"/>
    <s v="University of Edinburgh"/>
    <s v="Law"/>
    <s v="Commercial Law (Tax Law)"/>
    <d v="2025-09-01T00:00:00"/>
    <n v="1"/>
    <s v="_x000d__x000a_585960_x000d__x000a_"/>
    <s v="_x000d__x000a_0_x000d__x000a_"/>
    <s v="_x000d__x000a_0_x000d__x000a_"/>
  </r>
  <r>
    <s v="10/12/2025"/>
    <s v="2025-8711"/>
    <s v="Higher Education Awards"/>
    <s v="Nyavanhu Mapendere"/>
    <s v="npendera@gmail.com"/>
    <x v="3"/>
    <x v="1"/>
    <x v="0"/>
    <x v="0"/>
    <x v="0"/>
    <x v="8"/>
    <s v="Health Sciences"/>
    <s v="CB"/>
    <x v="0"/>
    <s v="Completed"/>
    <s v="University of Cape Town"/>
    <s v="PhD in Disability Studies"/>
    <s v="Disability inclusiveness strategies for equal opportunities and success in higher education at two selected Universities in South Africa."/>
    <d v="2026-01-01T00:00:00"/>
    <n v="3"/>
    <s v="_x000d__x000a_202210_x000d__x000a_"/>
    <s v="_x000d__x000a_212176_x000d__x000a_"/>
    <s v="_x000d__x000a_229676_x000d__x000a_"/>
  </r>
  <r>
    <s v="10/12/2025"/>
    <s v="2025-8734"/>
    <s v="Higher Education Awards"/>
    <s v="Leona Claasen"/>
    <s v="3332962@myuwc.ac.za"/>
    <x v="0"/>
    <x v="1"/>
    <x v="2"/>
    <x v="1"/>
    <x v="0"/>
    <x v="2"/>
    <s v="Other"/>
    <s v="CB"/>
    <x v="0"/>
    <s v="Completed"/>
    <s v="University of the Western Cape"/>
    <s v="FT PhD - Education (Language and Literacy)"/>
    <s v="Investigating Critical Translanguaging in the design and implementation of Kaaps/English bilingual learning materials - An ethnographic case study of a Primary School in Cape Town."/>
    <d v="2025-03-03T00:00:00"/>
    <n v="3"/>
    <s v="_x000d__x000a_89000_x000d__x000a_"/>
    <s v="_x000d__x000a_104900_x000d__x000a_"/>
    <s v="_x000d__x000a_104900_x000d__x000a_"/>
  </r>
  <r>
    <s v="10/12/2025"/>
    <s v="2025-8744"/>
    <s v="Higher Education Awards"/>
    <s v="Kabelo Peter Mbuyisa"/>
    <s v="petermbuyisa3@gmail.com"/>
    <x v="0"/>
    <x v="1"/>
    <x v="0"/>
    <x v="0"/>
    <x v="1"/>
    <x v="6"/>
    <s v="Social Sciences"/>
    <s v="CB"/>
    <x v="0"/>
    <s v="Completed"/>
    <s v="University of Oxford, UK"/>
    <s v="Doctor of Philosophy in International Development"/>
    <s v="Green Industrialisation in Resource-Rich Countries in Africa: Pathways for Technology Investment, Education Development, and Economic Diversification in South Africa, Nigeria, and Algeria"/>
    <d v="2026-01-14T00:00:00"/>
    <n v="3"/>
    <s v="_x000d__x000a_1943500_x000d__x000a_"/>
    <s v="_x000d__x000a_2197000_x000d__x000a_"/>
    <s v="_x000d__x000a_2450500_x000d__x000a_"/>
  </r>
  <r>
    <s v="10/12/2025"/>
    <s v="2025-8801"/>
    <s v="Higher Education Awards"/>
    <s v="Frema Osei-Annor"/>
    <s v="3058333@students.wits.ac.za"/>
    <x v="3"/>
    <x v="1"/>
    <x v="0"/>
    <x v="1"/>
    <x v="0"/>
    <x v="8"/>
    <s v="Health Sciences"/>
    <s v="CB"/>
    <x v="21"/>
    <s v="Completed"/>
    <s v="University of Witwatersrand"/>
    <s v="Phd in Nursing"/>
    <s v="DEVELOPMENT AND PILOT TESTING OF A PSYCHOSOCIAL SUPPORT PROGRAMME FOR INFORMAL CAREGIVERS OF CHILDREN LIVING WITH ADVANCED CANCER IN GHANA"/>
    <d v="2025-04-17T00:00:00"/>
    <n v="3"/>
    <s v="_x000d__x000a_93688_x000d__x000a_"/>
    <s v="_x000d__x000a_94000_x000d__x000a_"/>
    <s v="_x000d__x000a_95000_x000d__x000a_"/>
  </r>
  <r>
    <s v="10/12/2025"/>
    <s v="2025-8806"/>
    <s v="Higher Education Awards"/>
    <s v="Ammaarah Maal"/>
    <s v="amymaal18@gmail.com"/>
    <x v="3"/>
    <x v="1"/>
    <x v="4"/>
    <x v="1"/>
    <x v="0"/>
    <x v="2"/>
    <s v="Humanities"/>
    <s v="CB"/>
    <x v="0"/>
    <s v="Completed"/>
    <s v="Wits University"/>
    <s v="Doctoral Degree - Education"/>
    <s v="Capacity Building for Muslim Female Scholars at Wits University"/>
    <d v="2025-09-01T00:00:00"/>
    <n v="3"/>
    <s v="_x000d__x000a_99000_x000d__x000a_"/>
    <s v="_x000d__x000a_102000_x000d__x000a_"/>
    <s v="_x000d__x000a_102000_x000d__x000a_"/>
  </r>
  <r>
    <s v="10/12/2025"/>
    <s v="2025-8935"/>
    <s v="Higher Education Awards"/>
    <s v="Ndivhuwo Pearl Murunzi"/>
    <s v="Murunzindivhuwo@gmail.com"/>
    <x v="0"/>
    <x v="0"/>
    <x v="0"/>
    <x v="1"/>
    <x v="0"/>
    <x v="8"/>
    <s v="Health Sciences"/>
    <s v="CB"/>
    <x v="0"/>
    <s v="Draft"/>
    <s v="University of Cape Town"/>
    <s v="MSc Medical Biochemistry"/>
    <s v="Investigating the anti-cancer effects of wild rooibos on cancers of high prevalence in South Africa"/>
    <d v="2026-02-02T00:00:00"/>
    <n v="2"/>
    <s v="_x000d__x000a_190000_x000d__x000a_"/>
    <s v="_x000d__x000a_200000_x000d__x000a_"/>
    <s v="_x000d__x000a_0_x000d__x000a_"/>
  </r>
  <r>
    <s v="10/12/2025"/>
    <s v="2025-8969"/>
    <s v="Higher Education Awards"/>
    <s v="Simphiwe Hlongwa"/>
    <s v="Simphiwehlongwa@gmail.com"/>
    <x v="0"/>
    <x v="0"/>
    <x v="0"/>
    <x v="0"/>
    <x v="0"/>
    <x v="0"/>
    <s v="Natural Sciences"/>
    <s v="CB"/>
    <x v="0"/>
    <s v="Completed"/>
    <s v="University of the Witwatersrand"/>
    <s v="Master of Science in Biochemistry"/>
    <s v="Proteins-Proteins Interaction of the Transcription Factors"/>
    <d v="2025-01-29T00:00:00"/>
    <n v="2"/>
    <s v="_x000d__x000a_74775.11_x000d__x000a_"/>
    <s v="_x000d__x000a_117136_x000d__x000a_"/>
    <s v="_x000d__x000a_0_x000d__x000a_"/>
  </r>
  <r>
    <s v="10/12/2025"/>
    <s v="2025-9003"/>
    <s v="Higher Education Awards"/>
    <s v="Siyabonga Kawana"/>
    <s v="siyabonga.makawee@gmail.com"/>
    <x v="0"/>
    <x v="0"/>
    <x v="0"/>
    <x v="0"/>
    <x v="0"/>
    <x v="3"/>
    <s v="Performing &amp; Creative Arts"/>
    <s v="CB"/>
    <x v="25"/>
    <s v="Completed"/>
    <s v="University of Cape Town and Stellenbosch University"/>
    <s v="Masters in Music"/>
    <s v="Preserving a Xhosa indigenous singing style, umngqokolo through African contemporary music."/>
    <d v="2026-02-16T00:00:00"/>
    <n v="2"/>
    <s v="_x000d__x000a_150000_x000d__x000a_"/>
    <s v="_x000d__x000a_150000_x000d__x000a_"/>
    <s v="_x000d__x000a_0_x000d__x000a_"/>
  </r>
  <r>
    <s v="10/12/2025"/>
    <s v="2025-9021"/>
    <s v="Higher Education Awards"/>
    <s v="Tokollo Molapo"/>
    <s v="thibosehappy@gmail.com"/>
    <x v="0"/>
    <x v="0"/>
    <x v="0"/>
    <x v="0"/>
    <x v="0"/>
    <x v="3"/>
    <s v="Humanities"/>
    <s v="CB"/>
    <x v="0"/>
    <s v="Draft"/>
    <s v="University of the Witwatersrand"/>
    <s v="MA-Applied Drama: Theatre in Education, Communities &amp; Social Contexts"/>
    <s v="Reviving the Absent Stage: Exploring the Role of Applied Drama in the Re-imagining of Culturally Grounded Rites of Passage in Tsuvulani"/>
    <d v="2026-01-26T00:00:00"/>
    <n v="2"/>
    <s v="_x000d__x000a_193080_x000d__x000a_"/>
    <s v="_x000d__x000a_183080_x000d__x000a_"/>
    <s v="_x000d__x000a_0_x000d__x000a_"/>
  </r>
  <r>
    <s v="10/12/2025"/>
    <s v="2025-9034"/>
    <s v="Higher Education Awards"/>
    <s v="Yentl Gamiet"/>
    <s v="yentl@live.co.za"/>
    <x v="3"/>
    <x v="0"/>
    <x v="2"/>
    <x v="1"/>
    <x v="1"/>
    <x v="8"/>
    <s v="Health Sciences"/>
    <s v="CB"/>
    <x v="8"/>
    <s v="Draft"/>
    <s v="Harvard Medical School"/>
    <s v="Surgical Leadership"/>
    <s v="Alternative private/npo/research consortium partnership for medical funding"/>
    <d v="2026-04-26T00:00:00"/>
    <n v="1"/>
    <s v="_x000d__x000a_591210_x000d__x000a_"/>
    <s v="_x000d__x000a_0_x000d__x000a_"/>
    <s v="_x000d__x000a_0_x000d__x000a_"/>
  </r>
  <r>
    <s v="10/12/2025"/>
    <s v="2025-9060"/>
    <s v="Higher Education Awards"/>
    <s v="Sekai Joy Chengetanai Gochera"/>
    <s v="sekaijcgochera@gmail.com"/>
    <x v="0"/>
    <x v="1"/>
    <x v="0"/>
    <x v="1"/>
    <x v="0"/>
    <x v="4"/>
    <s v="Commerce &amp; Management"/>
    <s v="CB"/>
    <x v="21"/>
    <s v="Completed"/>
    <s v="University of Johannesburg"/>
    <s v="Finance"/>
    <s v="The Impact of green finance on environmental sustainability in BRICS Countries"/>
    <d v="2025-01-01T00:00:00"/>
    <n v="2"/>
    <s v="_x000d__x000a_40000_x000d__x000a_"/>
    <s v="_x000d__x000a_40000_x000d__x000a_"/>
    <s v="_x000d__x000a_0_x000d__x000a_"/>
  </r>
  <r>
    <s v="10/12/2025"/>
    <s v="2025-9089"/>
    <s v="Higher Education Awards"/>
    <s v="Emmanuella Owusu"/>
    <s v="emmaaaantwi@gmail.com"/>
    <x v="0"/>
    <x v="0"/>
    <x v="0"/>
    <x v="1"/>
    <x v="0"/>
    <x v="8"/>
    <s v="Health Sciences"/>
    <s v="CB"/>
    <x v="0"/>
    <s v="Completed"/>
    <s v="Sefako Makgatho Health Sciences University"/>
    <s v="Masters in Pharmacy"/>
    <s v="Clinical Pharmacy"/>
    <d v="2025-01-22T00:00:00"/>
    <n v="1"/>
    <s v="_x000d__x000a_175240_x000d__x000a_"/>
    <s v="_x000d__x000a_0_x000d__x000a_"/>
    <s v="_x000d__x000a_0_x000d__x000a_"/>
  </r>
  <r>
    <s v="10/12/2025"/>
    <s v="2025-9144"/>
    <s v="Higher Education Awards"/>
    <s v="kabelo moroko kabelo moroko"/>
    <s v="kabelo.moroko@wits.ac.za"/>
    <x v="3"/>
    <x v="1"/>
    <x v="0"/>
    <x v="0"/>
    <x v="0"/>
    <x v="8"/>
    <s v="Health Sciences"/>
    <s v="CB"/>
    <x v="1"/>
    <s v="Completed"/>
    <s v="University of witwatersrand"/>
    <s v="doctor of philosophy"/>
    <s v="A Model to facilitate monitoring of PLHIV in Primary healthcare facilities  by registered nurses in Gauteng"/>
    <d v="2025-01-21T00:00:00"/>
    <n v="3"/>
    <s v="_x000d__x000a_38000_x000d__x000a_"/>
    <s v="_x000d__x000a_70000_x000d__x000a_"/>
    <s v="_x000d__x000a_70000_x000d__x000a_"/>
  </r>
  <r>
    <s v="10/12/2025"/>
    <s v="2025-9150"/>
    <s v="Higher Education Awards"/>
    <s v="ITUMELENG CHAKANE"/>
    <s v="itumelengchakane5@gmail.com"/>
    <x v="0"/>
    <x v="0"/>
    <x v="0"/>
    <x v="0"/>
    <x v="0"/>
    <x v="4"/>
    <s v="Commerce &amp; Management"/>
    <s v="CB"/>
    <x v="0"/>
    <s v="Draft"/>
    <s v="Wits University"/>
    <s v="Entrepreneurship and New Ventrure Creation"/>
    <s v="Assessing the success and effectiveness of KDJI Small, Medium, and Micro Entreprises"/>
    <d v="2025-02-03T00:00:00"/>
    <n v="2"/>
    <s v="_x000d__x000a_168471_x000d__x000a_"/>
    <s v="_x000d__x000a_96750_x000d__x000a_"/>
    <s v="_x000d__x000a_0_x000d__x000a_"/>
  </r>
  <r>
    <s v="10/12/2025"/>
    <s v="2025-9153"/>
    <s v="Higher Education Awards"/>
    <s v="Vusani Munzhedzi"/>
    <s v="prettyvusani@gmail.com"/>
    <x v="3"/>
    <x v="0"/>
    <x v="0"/>
    <x v="1"/>
    <x v="0"/>
    <x v="4"/>
    <s v="Commerce &amp; Management"/>
    <s v="CB"/>
    <x v="8"/>
    <s v="Draft"/>
    <s v="University of Limpopo"/>
    <s v="Master Commerce (Economics)"/>
    <s v="The impact of exchange rate volatility and inflation on foreign direct investment: An analysis of BRICS Countries"/>
    <d v="2025-01-17T00:00:00"/>
    <n v="1"/>
    <s v="_x000d__x000a_115920_x000d__x000a_"/>
    <s v="_x000d__x000a_0_x000d__x000a_"/>
    <s v="_x000d__x000a_0_x000d__x000a_"/>
  </r>
  <r>
    <s v="10/12/2025"/>
    <s v="2025-9191"/>
    <s v="Higher Education Awards"/>
    <s v="Chérien Roux"/>
    <s v="cherienroux@gmail.com"/>
    <x v="1"/>
    <x v="1"/>
    <x v="1"/>
    <x v="1"/>
    <x v="0"/>
    <x v="8"/>
    <s v="Health Sciences"/>
    <s v="CB"/>
    <x v="1"/>
    <s v="Completed"/>
    <s v="University of Witwatersrand"/>
    <s v="Therapeutic Sciences"/>
    <s v="Evaluating exercise therapy in managing breast cancer-related lymphedema in South African breast cancer survivors"/>
    <d v="2024-04-04T00:00:00"/>
    <n v="2"/>
    <s v="_x000d__x000a_70231.32_x000d__x000a_"/>
    <s v="_x000d__x000a_53768_x000d__x000a_"/>
    <s v="_x000d__x000a_0_x000d__x000a_"/>
  </r>
  <r>
    <s v="10/12/2025"/>
    <s v="2025-9214"/>
    <s v="Higher Education Awards"/>
    <s v="Nkululeko Ngubane"/>
    <s v="1471556@students.wits.ac.za"/>
    <x v="0"/>
    <x v="1"/>
    <x v="0"/>
    <x v="0"/>
    <x v="0"/>
    <x v="2"/>
    <s v="Humanities"/>
    <s v="CB"/>
    <x v="0"/>
    <s v="Draft"/>
    <s v="WITS University"/>
    <s v="Doctoral degree in Education"/>
    <s v="Transforming the Teaching of Algebraic Functions in AI-Enabled Learning Systems within an Activity Theory Framework 'A case of Grade 10 Under-Resourced Gauteng Province Schools'"/>
    <d v="2026-01-29T00:00:00"/>
    <n v="3"/>
    <s v="_x000d__x000a_100000_x000d__x000a_"/>
    <s v="_x000d__x000a_100000_x000d__x000a_"/>
    <s v="_x000d__x000a_100000_x000d__x000a_"/>
  </r>
  <r>
    <s v="10/12/2025"/>
    <s v="2025-9219"/>
    <s v="Higher Education Awards"/>
    <s v="Nonhlanhla Silindokuhle Nkosi"/>
    <s v="okuhlenkosi540@gmail.com"/>
    <x v="1"/>
    <x v="0"/>
    <x v="0"/>
    <x v="1"/>
    <x v="0"/>
    <x v="5"/>
    <s v="Natural Sciences"/>
    <s v="CB"/>
    <x v="5"/>
    <s v="Completed"/>
    <s v="University of KwaZulu-Natal"/>
    <s v="Master of Science in Chemistry"/>
    <s v="Synthesis,  Characterisation and Biological Studies of Oxovanadium(IV) Schiff Base  Complexes of O,N,N′-Imidazole-aminophenol and Phenanthroline-Derived  Bases."/>
    <d v="2025-02-18T00:00:00"/>
    <n v="1"/>
    <s v="_x000d__x000a_129000_x000d__x000a_"/>
    <s v="_x000d__x000a_0_x000d__x000a_"/>
    <s v="_x000d__x000a_0_x000d__x000a_"/>
  </r>
  <r>
    <s v="10/12/2025"/>
    <s v="2025-9241"/>
    <s v="Higher Education Awards"/>
    <s v="Christen Rao"/>
    <s v="christenrao7@gmail.com"/>
    <x v="0"/>
    <x v="0"/>
    <x v="4"/>
    <x v="1"/>
    <x v="1"/>
    <x v="7"/>
    <s v="Law"/>
    <s v="CB"/>
    <x v="0"/>
    <s v="Completed"/>
    <s v="University of Edinburgh"/>
    <s v="LLM in Innovation, Technology and the Law"/>
    <s v="AI Safety and Governance"/>
    <d v="2026-01-07T00:00:00"/>
    <n v="2"/>
    <s v="_x000d__x000a_301525.25_x000d__x000a_"/>
    <s v="_x000d__x000a_301525.25_x000d__x000a_"/>
    <s v="_x000d__x000a_0_x000d__x000a_"/>
  </r>
  <r>
    <s v="10/12/2025"/>
    <s v="2025-9244"/>
    <s v="Higher Education Awards"/>
    <s v="Nobesuthu Adelaide Ngwenya"/>
    <s v="nobesuthu91@gmail.com"/>
    <x v="0"/>
    <x v="1"/>
    <x v="0"/>
    <x v="1"/>
    <x v="0"/>
    <x v="5"/>
    <s v="Natural Sciences"/>
    <s v="CB"/>
    <x v="0"/>
    <s v="Draft"/>
    <s v="Nelson Mandela University"/>
    <s v="PhD in Nature Conservation"/>
    <s v="Understanding and managing human elephant interactions in a multi land use landscape: The case of the Zimbabwe component of the Kavango Zambezi Trans-frontier Conservation Area"/>
    <d v="2024-10-31T00:00:00"/>
    <n v="2"/>
    <s v="_x000d__x000a_393500_x000d__x000a_"/>
    <s v="_x000d__x000a_200500_x000d__x000a_"/>
    <s v="_x000d__x000a_0_x000d__x000a_"/>
  </r>
  <r>
    <s v="10/12/2025"/>
    <s v="2025-9255"/>
    <s v="Higher Education Awards"/>
    <s v="Ntobeko David Ndimande"/>
    <s v="ntobekodavidn1@gmail.com"/>
    <x v="1"/>
    <x v="0"/>
    <x v="0"/>
    <x v="0"/>
    <x v="0"/>
    <x v="5"/>
    <s v="Other"/>
    <s v="CB"/>
    <x v="1"/>
    <s v="Completed"/>
    <s v="University of Johannesburg"/>
    <s v="Greenhouse gas emissions"/>
    <s v="Comparison of pristine and dry Peatland Greenhouse Gas emissions in Maputaland."/>
    <d v="2026-01-01T00:00:00"/>
    <n v="2"/>
    <s v="_x000d__x000a_170000_x000d__x000a_"/>
    <s v="_x000d__x000a_170000_x000d__x000a_"/>
    <s v="_x000d__x000a_0_x000d__x000a_"/>
  </r>
  <r>
    <s v="10/12/2025"/>
    <s v="2025-9268"/>
    <s v="Higher Education Awards"/>
    <s v="Lungelo Ntuli"/>
    <s v="lungelosntuli@gmail.com"/>
    <x v="3"/>
    <x v="0"/>
    <x v="0"/>
    <x v="0"/>
    <x v="0"/>
    <x v="8"/>
    <s v="Health Sciences"/>
    <s v="CB"/>
    <x v="15"/>
    <s v="Draft"/>
    <s v="Foundation of professional development (FPD)"/>
    <s v="Public health"/>
    <s v="Rise of medical cases in obstetric units"/>
    <d v="2025-07-01T00:00:00"/>
    <n v="1"/>
    <s v="_x000d__x000a_96000_x000d__x000a_"/>
    <s v="_x000d__x000a_56000_x000d__x000a_"/>
    <s v="_x000d__x000a_0_x000d__x000a_"/>
  </r>
  <r>
    <s v="10/12/2025"/>
    <s v="2025-9269"/>
    <s v="Higher Education Awards"/>
    <s v="Zhane Kinnear"/>
    <s v="zkinnear210@gmail.com"/>
    <x v="0"/>
    <x v="0"/>
    <x v="2"/>
    <x v="1"/>
    <x v="0"/>
    <x v="8"/>
    <s v="Health Sciences"/>
    <s v="CB"/>
    <x v="0"/>
    <s v="Draft"/>
    <s v="University of Witwatersrand"/>
    <s v="MSc(Med/Research)"/>
    <s v="Drug discovery -molecular techniques"/>
    <d v="2026-01-01T00:00:00"/>
    <n v="1"/>
    <s v="_x000d__x000a_77000_x000d__x000a_"/>
    <s v="_x000d__x000a_0_x000d__x000a_"/>
    <s v="_x000d__x000a_0_x000d__x000a_"/>
  </r>
  <r>
    <s v="10/12/2025"/>
    <s v="2025-9291"/>
    <s v="Higher Education Awards"/>
    <s v="Shonisani Musetha"/>
    <s v="Shonisani.Musetha@echealth.gov.za"/>
    <x v="3"/>
    <x v="0"/>
    <x v="0"/>
    <x v="0"/>
    <x v="0"/>
    <x v="8"/>
    <s v="Health Sciences"/>
    <s v="CB"/>
    <x v="15"/>
    <s v="Draft"/>
    <s v="University of Walter Sisulu"/>
    <s v="Public Health"/>
    <s v="Barriers to access public eye health care in the Nelson Mandela bay Municipality, Eastern Cape"/>
    <d v="2025-08-08T00:00:00"/>
    <n v="2"/>
    <s v="_x000d__x000a_25000_x000d__x000a_"/>
    <s v="_x000d__x000a_25000_x000d__x000a_"/>
    <s v="_x000d__x000a_0_x000d__x000a_"/>
  </r>
  <r>
    <s v="10/12/2025"/>
    <s v="2025-9298"/>
    <s v="Higher Education Awards"/>
    <s v="Iqbal Ceza"/>
    <s v="222016794@stu.ukzn.ac.za"/>
    <x v="3"/>
    <x v="0"/>
    <x v="0"/>
    <x v="0"/>
    <x v="0"/>
    <x v="0"/>
    <s v="Applied Sciences"/>
    <s v="CB"/>
    <x v="21"/>
    <s v="Completed"/>
    <s v="UKZN"/>
    <s v="Master of Chemistry"/>
    <s v="Catalyst"/>
    <d v="2026-01-08T00:00:00"/>
    <n v="2"/>
    <s v="_x000d__x000a_50000_x000d__x000a_"/>
    <s v="_x000d__x000a_50000_x000d__x000a_"/>
    <s v="_x000d__x000a_0_x000d__x000a_"/>
  </r>
  <r>
    <s v="10/12/2025"/>
    <s v="2025-9513"/>
    <s v="Higher Education Awards"/>
    <s v="Hlayisani Rihlampfu"/>
    <s v="hlayisanirihlampfu99@gmail.com"/>
    <x v="1"/>
    <x v="0"/>
    <x v="0"/>
    <x v="1"/>
    <x v="0"/>
    <x v="8"/>
    <s v="Natural Sciences"/>
    <s v="EM"/>
    <x v="5"/>
    <s v="Completed"/>
    <s v="Sefako Makgatho Health Sciences University"/>
    <s v="MSc Zoology (Molecular biology)"/>
    <s v="Molecular biology"/>
    <d v="2026-01-05T00:00:00"/>
    <n v="1"/>
    <s v="_x000d__x000a_104057_x000d__x000a_"/>
    <s v="_x000d__x000a_0_x000d__x000a_"/>
    <s v="_x000d__x000a_0_x000d__x000a_"/>
  </r>
  <r>
    <s v="10/12/2025"/>
    <s v="2025-8989"/>
    <s v="Higher Education Awards"/>
    <s v="Muhle Ndlovu"/>
    <s v="muhlendlovu03@gmail.com"/>
    <x v="3"/>
    <x v="0"/>
    <x v="0"/>
    <x v="1"/>
    <x v="0"/>
    <x v="8"/>
    <s v="Health Sciences"/>
    <s v="EM"/>
    <x v="10"/>
    <s v="Draft"/>
    <s v="University of Witwatersrand"/>
    <s v="Masters in Chemical pathology"/>
    <s v="How glycemic status is monitored accurately."/>
    <d v="2026-01-19T00:00:00"/>
    <n v="2"/>
    <s v="_x000d__x000a_186948.4_x000d__x000a_"/>
    <s v="_x000d__x000a_186948.4_x000d__x000a_"/>
    <s v="_x000d__x000a_0_x000d__x000a_"/>
  </r>
  <r>
    <s v="10/12/2025"/>
    <s v="2025-9126"/>
    <s v="Higher Education Awards"/>
    <s v="Ayatolah September"/>
    <s v="ayasept@gmail.com"/>
    <x v="0"/>
    <x v="1"/>
    <x v="0"/>
    <x v="1"/>
    <x v="0"/>
    <x v="8"/>
    <s v="Health Sciences"/>
    <s v="EM"/>
    <x v="0"/>
    <s v="Completed"/>
    <s v="Wits, Stellenbosch University"/>
    <s v="Psychology"/>
    <s v="Unheard and Unhealed: Exploring the Long-Term Psychosocial and Public Health Impacts of Sexual and Gender-Based Violence on African Adolescent Boys in South Africa."/>
    <d v="2026-04-01T00:00:00"/>
    <n v="3"/>
    <s v="_x000d__x000a_145000_x000d__x000a_"/>
    <s v="_x000d__x000a_65000_x000d__x000a_"/>
    <s v="_x000d__x000a_65000_x000d__x000a_"/>
  </r>
  <r>
    <s v="10/12/2025"/>
    <s v="2025-9024"/>
    <s v="Higher Education Awards"/>
    <s v="Julia Arbuckle"/>
    <s v="Julz.arbuckle@gmail.com"/>
    <x v="0"/>
    <x v="1"/>
    <x v="1"/>
    <x v="1"/>
    <x v="0"/>
    <x v="2"/>
    <s v="Humanities"/>
    <s v="EM"/>
    <x v="0"/>
    <s v="Completed"/>
    <s v="University of Johannesburg"/>
    <s v="Art history"/>
    <s v="Decolonial Theory and South African Artists’ Books"/>
    <d v="2026-01-01T00:00:00"/>
    <n v="1"/>
    <s v="_x000d__x000a_304000_x000d__x000a_"/>
    <s v="_x000d__x000a_0_x000d__x000a_"/>
    <s v="_x000d__x000a_0_x000d__x000a_"/>
  </r>
  <r>
    <s v="10/12/2025"/>
    <s v="2025-8671"/>
    <s v="Higher Education Awards"/>
    <s v="Nokuthula Hlongwane"/>
    <s v="hlongwane.tula@gmail.com"/>
    <x v="0"/>
    <x v="0"/>
    <x v="0"/>
    <x v="1"/>
    <x v="0"/>
    <x v="8"/>
    <s v="Health Sciences"/>
    <s v="EM"/>
    <x v="0"/>
    <s v="Completed"/>
    <s v="University of Cape Town"/>
    <s v="Masters in Epidemiology and Biostatistics"/>
    <s v="Effect of Bacterial Vaginosis on Cervicovaginal Inflammation Among Adolescents in South Africa: The Modifying Role of Hormonal Contraceptive Type"/>
    <d v="2026-03-17T00:00:00"/>
    <n v="2"/>
    <s v="_x000d__x000a_110010_x000d__x000a_"/>
    <s v="_x000d__x000a_136050_x000d__x000a_"/>
    <s v="_x000d__x000a_0_x000d__x000a_"/>
  </r>
  <r>
    <s v="10/12/2025"/>
    <s v="2025-9349"/>
    <s v="Higher Education Awards"/>
    <s v="Natalie Sifuma"/>
    <s v="nsifuma@gmail.com"/>
    <x v="0"/>
    <x v="0"/>
    <x v="0"/>
    <x v="1"/>
    <x v="0"/>
    <x v="4"/>
    <s v="Commerce &amp; Management"/>
    <s v="EM"/>
    <x v="0"/>
    <s v="Completed"/>
    <s v="University of Cape Town"/>
    <s v="Master of Philosophy (MPhil) in Inclusive Innovation"/>
    <s v="Inclusive Climate Governance: Integrating African Women’s Knowledge and Leadership into Adaptation Policymaking"/>
    <d v="2026-02-16T00:00:00"/>
    <n v="2"/>
    <s v="_x000d__x000a_217500_x000d__x000a_"/>
    <s v="_x000d__x000a_252500_x000d__x000a_"/>
    <s v="_x000d__x000a_0_x000d__x000a_"/>
  </r>
  <r>
    <s v="10/12/2025"/>
    <s v="2025-9285"/>
    <s v="Higher Education Awards"/>
    <s v="Chewe Fwalo"/>
    <s v="fwalochewe99@gmail.com"/>
    <x v="0"/>
    <x v="2"/>
    <x v="0"/>
    <x v="0"/>
    <x v="0"/>
    <x v="0"/>
    <s v="Natural Sciences"/>
    <s v="EM"/>
    <x v="30"/>
    <s v="Draft"/>
    <s v="University of Pretoria"/>
    <s v="Computational Physics (Research)"/>
    <s v="Investigating the catalytic effects  of graphene-(beta12)borophene cathode on various discharge products of lithium and sodium-oxides for efficient metal-oxygen batteries: A first-principles study"/>
    <d v="2026-01-01T00:00:00"/>
    <n v="2"/>
    <s v="_x000d__x000a_664400_x000d__x000a_"/>
    <s v="_x000d__x000a_664400_x000d__x000a_"/>
    <s v="_x000d__x000a_0_x000d__x000a_"/>
  </r>
  <r>
    <s v="10/12/2025"/>
    <s v="2025-8603"/>
    <s v="Higher Education Awards"/>
    <s v="Conrad Addikah"/>
    <s v="addikah.conrad@up.ac.za"/>
    <x v="0"/>
    <x v="1"/>
    <x v="0"/>
    <x v="0"/>
    <x v="0"/>
    <x v="5"/>
    <s v="Applied Sciences"/>
    <s v="EM"/>
    <x v="0"/>
    <s v="Completed"/>
    <s v="University of Pretoria"/>
    <s v="PhD Agronomy"/>
    <s v="Climate change, Food security"/>
    <d v="2026-01-05T00:00:00"/>
    <n v="2"/>
    <s v="_x000d__x000a_200750_x000d__x000a_"/>
    <s v="_x000d__x000a_200750_x000d__x000a_"/>
    <s v="_x000d__x000a_0_x000d__x000a_"/>
  </r>
  <r>
    <s v="10/12/2025"/>
    <s v="2025-9318"/>
    <s v="Higher Education Awards"/>
    <s v="Julia Ross"/>
    <s v="joolibean@gmail.com"/>
    <x v="3"/>
    <x v="1"/>
    <x v="1"/>
    <x v="1"/>
    <x v="0"/>
    <x v="2"/>
    <s v="Humanities"/>
    <s v="EM"/>
    <x v="0"/>
    <s v="Completed"/>
    <s v="University of Johannesburg"/>
    <s v="PhD of Education"/>
    <s v="Feedback Practices in Undergraduate Teaching: How Do Lecturers Learn to Give Effective Feedback?"/>
    <d v="2026-01-01T00:00:00"/>
    <n v="3"/>
    <s v="_x000d__x000a_60000_x000d__x000a_"/>
    <s v="_x000d__x000a_60000_x000d__x000a_"/>
    <s v="_x000d__x000a_60000_x000d__x000a_"/>
  </r>
  <r>
    <s v="10/12/2025"/>
    <s v="2025-9245"/>
    <s v="Higher Education Awards"/>
    <s v="Rutendo Ngirazi"/>
    <s v="rutendohildah@gmail.com"/>
    <x v="3"/>
    <x v="0"/>
    <x v="0"/>
    <x v="1"/>
    <x v="0"/>
    <x v="1"/>
    <s v="Engineering &amp; the Built Environment"/>
    <s v="EM"/>
    <x v="10"/>
    <s v="Draft"/>
    <s v="University of the Witwatersrand"/>
    <s v="Power Engineer"/>
    <s v="Advancing Electric Rotating Machines Innovation"/>
    <d v="2025-03-03T00:00:00"/>
    <n v="1"/>
    <s v="_x000d__x000a_102036_x000d__x000a_"/>
    <s v="_x000d__x000a_0_x000d__x000a_"/>
    <s v="_x000d__x000a_0_x000d__x000a_"/>
  </r>
  <r>
    <s v="10/12/2025"/>
    <s v="2025-9409"/>
    <s v="Higher Education Awards"/>
    <s v="Jeffrey Som Kwale"/>
    <s v="26787032@mylife.unisa.ac.za"/>
    <x v="0"/>
    <x v="1"/>
    <x v="0"/>
    <x v="0"/>
    <x v="0"/>
    <x v="0"/>
    <s v="Natural Sciences"/>
    <s v="EM"/>
    <x v="0"/>
    <s v="Completed"/>
    <s v="University of South Africa"/>
    <s v="PhD in Physics"/>
    <s v="Probing Luminescent and Magnetic Phenomena in FeTaO4-based Nanoparticles for Application in Medical Imaging"/>
    <d v="2025-02-03T00:00:00"/>
    <n v="2"/>
    <s v="_x000d__x000a_223380_x000d__x000a_"/>
    <s v="_x000d__x000a_223380_x000d__x000a_"/>
    <s v="_x000d__x000a_0_x000d__x000a_"/>
  </r>
  <r>
    <s v="10/12/2025"/>
    <s v="2025-8715"/>
    <s v="Higher Education Awards"/>
    <s v="Jones Muha"/>
    <s v="jones.muha@gmail.com"/>
    <x v="1"/>
    <x v="0"/>
    <x v="0"/>
    <x v="0"/>
    <x v="1"/>
    <x v="8"/>
    <s v="Health Sciences"/>
    <s v="EM"/>
    <x v="15"/>
    <s v="Completed"/>
    <s v="university of liverpool"/>
    <s v="Master's Degree in Public Health"/>
    <s v="prevalence of other malaria species other than plasmodium falciparum"/>
    <d v="2025-09-22T00:00:00"/>
    <n v="3"/>
    <s v="_x000d__x000a_141257.13_x000d__x000a_"/>
    <s v="_x000d__x000a_141257.13_x000d__x000a_"/>
    <s v="_x000d__x000a_141257.13_x000d__x000a_"/>
  </r>
  <r>
    <s v="10/12/2025"/>
    <s v="2025-9472"/>
    <s v="Higher Education Awards"/>
    <s v="Matladi Masete"/>
    <s v="u20818336@tuks.co.za"/>
    <x v="0"/>
    <x v="2"/>
    <x v="0"/>
    <x v="0"/>
    <x v="0"/>
    <x v="8"/>
    <s v="Health Sciences"/>
    <s v="EM"/>
    <x v="0"/>
    <s v="Completed"/>
    <s v="South African Medical Research Council"/>
    <s v="Post doctotoral in Molecular Biology"/>
    <s v="Exploring risk predictive models for hyperglycaemia in pregnancy"/>
    <d v="2026-04-01T00:00:00"/>
    <n v="3"/>
    <s v="_x000d__x000a_222265_x000d__x000a_"/>
    <s v="_x000d__x000a_288456_x000d__x000a_"/>
    <s v="_x000d__x000a_283664_x000d__x000a_"/>
  </r>
  <r>
    <s v="10/12/2025"/>
    <s v="2025-9475"/>
    <s v="Higher Education Awards"/>
    <s v="Neha Manhas"/>
    <s v="nehamanhas09@gmail.com"/>
    <x v="0"/>
    <x v="2"/>
    <x v="4"/>
    <x v="1"/>
    <x v="0"/>
    <x v="8"/>
    <s v="Natural Sciences"/>
    <s v="EM"/>
    <x v="0"/>
    <s v="Completed"/>
    <s v="University of KwaZulu-Natal, Durban, South Africa"/>
    <s v="Development of Anti-Tubercular Drugs"/>
    <s v="Isoniazid–Quinolone Molecular Hybrids as Dual-Target Inhibitors to Overcome Drug Resistance in Tuberculosis Treatment"/>
    <d v="2026-01-01T00:00:00"/>
    <n v="2"/>
    <s v="_x000d__x000a_285000_x000d__x000a_"/>
    <s v="_x000d__x000a_320000_x000d__x000a_"/>
    <s v="_x000d__x000a_0_x000d__x000a_"/>
  </r>
  <r>
    <s v="10/12/2025"/>
    <s v="2025-8755"/>
    <s v="Higher Education Awards"/>
    <s v="Saheed Abiola Raheem"/>
    <s v="saheedabiola9@gmail.com"/>
    <x v="0"/>
    <x v="2"/>
    <x v="0"/>
    <x v="0"/>
    <x v="0"/>
    <x v="1"/>
    <s v="Engineering &amp; the Built Environment"/>
    <s v="EM"/>
    <x v="0"/>
    <s v="Completed"/>
    <s v="University of the Witwatersrand"/>
    <s v="Chemical &amp; Metallurgical Engineering"/>
    <s v="Electrocatalysis for green hydrogen production"/>
    <d v="2026-01-01T00:00:00"/>
    <n v="2"/>
    <s v="_x000d__x000a_510000_x000d__x000a_"/>
    <s v="_x000d__x000a_480000_x000d__x000a_"/>
    <s v="_x000d__x000a_0_x000d__x000a_"/>
  </r>
  <r>
    <s v="10/12/2025"/>
    <s v="2025-9103"/>
    <s v="Higher Education Awards"/>
    <s v="Nkazimulo Myaka"/>
    <s v="nkazimyaka@gmail.com"/>
    <x v="3"/>
    <x v="0"/>
    <x v="0"/>
    <x v="0"/>
    <x v="0"/>
    <x v="8"/>
    <s v="Health Sciences"/>
    <s v="EM"/>
    <x v="0"/>
    <s v="Completed"/>
    <s v="University of Cape Town"/>
    <s v="Master of Public Health in Environmental Health"/>
    <s v="Investigating the relationship between nutrition (diets) and anthropometric outcomes among adolescents in the rural Western Cape, South Africa."/>
    <d v="2026-01-13T00:00:00"/>
    <n v="2"/>
    <s v="_x000d__x000a_134770_x000d__x000a_"/>
    <s v="_x000d__x000a_101830_x000d__x000a_"/>
    <s v="_x000d__x000a_0_x000d__x000a_"/>
  </r>
  <r>
    <s v="10/12/2025"/>
    <s v="2025-9411"/>
    <s v="Higher Education Awards"/>
    <s v="Adebowale Adeniran"/>
    <s v="adebowaleebenezer1@gmail.com"/>
    <x v="0"/>
    <x v="1"/>
    <x v="0"/>
    <x v="0"/>
    <x v="0"/>
    <x v="1"/>
    <s v="Engineering &amp; the Built Environment"/>
    <s v="EM"/>
    <x v="0"/>
    <s v="Completed"/>
    <s v="University of Johannesburg"/>
    <s v="Metallurgical Engineering"/>
    <s v="Smart Composite Materials for Renewable Hydrogen Storage Systems"/>
    <d v="2025-02-03T00:00:00"/>
    <n v="3"/>
    <s v="_x000d__x000a_270000_x000d__x000a_"/>
    <s v="_x000d__x000a_210000_x000d__x000a_"/>
    <s v="_x000d__x000a_210000_x000d__x000a_"/>
  </r>
  <r>
    <s v="10/12/2025"/>
    <s v="2025-8582"/>
    <s v="Higher Education Awards"/>
    <s v="Thenjiwe Dubazane"/>
    <s v="thedii@outlook.com"/>
    <x v="0"/>
    <x v="1"/>
    <x v="0"/>
    <x v="1"/>
    <x v="0"/>
    <x v="8"/>
    <s v="Health Sciences"/>
    <s v="EM"/>
    <x v="0"/>
    <s v="Completed"/>
    <s v="University of the Witwatersrand, Johannesburg"/>
    <s v="Public Health"/>
    <s v="The relationship between Parenting Practices and Adolescent Girls’ Mental Health: A Cross-Sectional Nested Study"/>
    <d v="2025-07-01T00:00:00"/>
    <n v="3"/>
    <s v="_x000d__x000a_95000_x000d__x000a_"/>
    <s v="_x000d__x000a_102000_x000d__x000a_"/>
    <s v="_x000d__x000a_79000_x000d__x000a_"/>
  </r>
  <r>
    <s v="10/12/2025"/>
    <s v="2025-9457"/>
    <s v="Higher Education Awards"/>
    <s v="Cyril Chironda"/>
    <s v="cyril.chironda@wits.ac.za"/>
    <x v="1"/>
    <x v="1"/>
    <x v="0"/>
    <x v="0"/>
    <x v="0"/>
    <x v="8"/>
    <s v="Health Sciences"/>
    <s v="EM"/>
    <x v="5"/>
    <s v="Completed"/>
    <s v="University of the Witwatersrand"/>
    <s v="Public health"/>
    <s v="Multimorbidity trends and changes in Rural South Africa: A clustering, competing risk and simulation modelling approach"/>
    <d v="2024-07-01T00:00:00"/>
    <n v="3"/>
    <s v="_x000d__x000a_473000_x000d__x000a_"/>
    <s v="_x000d__x000a_453000_x000d__x000a_"/>
    <s v="_x000d__x000a_563000_x000d__x000a_"/>
  </r>
  <r>
    <s v="10/12/2025"/>
    <s v="2025-9449"/>
    <s v="Higher Education Awards"/>
    <s v="Lenah Kitenge"/>
    <s v="lenah.kit@gmail.com"/>
    <x v="0"/>
    <x v="0"/>
    <x v="0"/>
    <x v="1"/>
    <x v="0"/>
    <x v="4"/>
    <s v="Commerce &amp; Management"/>
    <s v="EM"/>
    <x v="0"/>
    <s v="Completed"/>
    <s v="University of Cape Town"/>
    <s v="Inclusive Innovation"/>
    <s v="Innovation"/>
    <d v="2026-02-02T00:00:00"/>
    <n v="2"/>
    <s v="_x000d__x000a_83670_x000d__x000a_"/>
    <s v="_x000d__x000a_115670_x000d__x000a_"/>
    <s v="_x000d__x000a_0_x000d__x000a_"/>
  </r>
  <r>
    <s v="10/12/2025"/>
    <s v="2025-8915"/>
    <s v="Higher Education Awards"/>
    <s v="Lea Sixtl"/>
    <s v="lea.sixtl@live.at"/>
    <x v="0"/>
    <x v="1"/>
    <x v="1"/>
    <x v="1"/>
    <x v="0"/>
    <x v="2"/>
    <s v="Humanities"/>
    <s v="EM"/>
    <x v="0"/>
    <s v="Completed"/>
    <s v="University of Witwatersrand"/>
    <s v="PhD"/>
    <s v="Interdisciplinary Environmental Humanities"/>
    <d v="2025-06-01T00:00:00"/>
    <n v="3"/>
    <s v="_x000d__x000a_306852.88_x000d__x000a_"/>
    <s v="_x000d__x000a_363944.46_x000d__x000a_"/>
    <s v="_x000d__x000a_391888.82_x000d__x000a_"/>
  </r>
  <r>
    <s v="10/12/2025"/>
    <s v="2025-8509"/>
    <s v="Higher Education Awards"/>
    <s v="David Makateng"/>
    <s v="dmakateng55@gmail.com"/>
    <x v="0"/>
    <x v="2"/>
    <x v="0"/>
    <x v="0"/>
    <x v="0"/>
    <x v="6"/>
    <s v="Social Sciences"/>
    <s v="EM"/>
    <x v="30"/>
    <s v="Draft"/>
    <s v="University of Johannesburg"/>
    <s v="Sociology"/>
    <s v="A Sociological perspective of social ontology of Orania town and selected townships in South Africa: A comparative study."/>
    <d v="2025-08-05T00:00:00"/>
    <n v="1"/>
    <s v="_x000d__x000a_250000_x000d__x000a_"/>
    <s v="_x000d__x000a_0_x000d__x000a_"/>
    <s v="_x000d__x000a_0_x000d__x000a_"/>
  </r>
  <r>
    <s v="10/12/2025"/>
    <s v="2025-8473"/>
    <s v="Higher Education Awards"/>
    <s v="Michelle Risi"/>
    <s v="Mish.risi22@gmail.com"/>
    <x v="0"/>
    <x v="1"/>
    <x v="1"/>
    <x v="1"/>
    <x v="0"/>
    <x v="5"/>
    <s v="Natural Sciences"/>
    <s v="EM"/>
    <x v="0"/>
    <s v="Completed"/>
    <s v="FitzPatrick Institute of African Ornithology, University of Cape Town"/>
    <s v="Ph.D. in Biological Sciences"/>
    <s v="Understanding the Drivers of Seabird Demography in a Changing Ocean: Insights from Long-term Studies of Giant Petrels"/>
    <d v="2026-02-01T00:00:00"/>
    <n v="3"/>
    <s v="_x000d__x000a_316000_x000d__x000a_"/>
    <s v="_x000d__x000a_271000_x000d__x000a_"/>
    <s v="_x000d__x000a_313000_x000d__x000a_"/>
  </r>
  <r>
    <s v="10/12/2025"/>
    <s v="2025-9026"/>
    <s v="Higher Education Awards"/>
    <s v="Awande Nkambule"/>
    <s v="acmnkambule@gmail.com"/>
    <x v="0"/>
    <x v="0"/>
    <x v="0"/>
    <x v="0"/>
    <x v="0"/>
    <x v="8"/>
    <s v="Health Sciences"/>
    <s v="EM"/>
    <x v="0"/>
    <s v="Completed"/>
    <s v="University of Pretoria"/>
    <s v="Masters in Public Health"/>
    <s v="Health Economics"/>
    <d v="2026-01-17T00:00:00"/>
    <n v="2"/>
    <s v="_x000d__x000a_195500_x000d__x000a_"/>
    <s v="_x000d__x000a_195500_x000d__x000a_"/>
    <s v="_x000d__x000a_0_x000d__x000a_"/>
  </r>
  <r>
    <s v="10/12/2025"/>
    <s v="2025-9470"/>
    <s v="Higher Education Awards"/>
    <s v="Gabrielle De Klerk"/>
    <s v="gabbydeklerk@gmail.com"/>
    <x v="1"/>
    <x v="0"/>
    <x v="2"/>
    <x v="1"/>
    <x v="1"/>
    <x v="8"/>
    <s v="Other"/>
    <s v="EM"/>
    <x v="15"/>
    <s v="Draft"/>
    <s v="University College of London"/>
    <s v="Medical Physics and Biomedical Engineering"/>
    <s v="MSc Physics and Engineering in Medicine by distance learning"/>
    <d v="2025-09-22T00:00:00"/>
    <n v="3"/>
    <s v="_x000d__x000a_234381.56_x000d__x000a_"/>
    <s v="_x000d__x000a_368661.62_x000d__x000a_"/>
    <s v="_x000d__x000a_335700.15_x000d__x000a_"/>
  </r>
  <r>
    <s v="10/12/2025"/>
    <s v="2025-9780"/>
    <s v="Higher Education Awards"/>
    <s v="Thabiso Ndzantsi"/>
    <s v="thabisomaphakela06@gmail.com"/>
    <x v="3"/>
    <x v="0"/>
    <x v="0"/>
    <x v="0"/>
    <x v="0"/>
    <x v="4"/>
    <s v="Commerce &amp; Management"/>
    <s v="EM"/>
    <x v="8"/>
    <s v="Draft"/>
    <s v="University of Cape Town"/>
    <s v="Applied Economics"/>
    <s v="Macroeconomics"/>
    <d v="2026-01-26T00:00:00"/>
    <n v="2"/>
    <s v="_x000d__x000a_56000_x000d__x000a_"/>
    <s v="_x000d__x000a_56000_x000d__x000a_"/>
    <s v="_x000d__x000a_0_x000d__x000a_"/>
  </r>
  <r>
    <s v="10/12/2025"/>
    <s v="2025-8596"/>
    <s v="Higher Education Awards"/>
    <s v="Burnet Adriaan Meyer"/>
    <s v="adriaanmeyer2@gmail.com"/>
    <x v="0"/>
    <x v="1"/>
    <x v="1"/>
    <x v="0"/>
    <x v="0"/>
    <x v="8"/>
    <s v="Health Sciences"/>
    <s v="EM"/>
    <x v="0"/>
    <s v="Completed"/>
    <s v="Stellenbosch University"/>
    <s v="PhD in Medical Physiology"/>
    <s v="Cardiometabolic risk prediction in people living with HIV from the Western Cape utilizing conventional statistics and artificial intelligence"/>
    <d v="2026-01-01T00:00:00"/>
    <n v="3"/>
    <s v="_x000d__x000a_215350_x000d__x000a_"/>
    <s v="_x000d__x000a_232877_x000d__x000a_"/>
    <s v="_x000d__x000a_234496_x000d__x000a_"/>
  </r>
  <r>
    <s v="10/12/2025"/>
    <s v="2025-9181"/>
    <s v="Higher Education Awards"/>
    <s v="Samkele Mnyango"/>
    <s v="2020916736@ufs4life.ac.za"/>
    <x v="0"/>
    <x v="1"/>
    <x v="0"/>
    <x v="0"/>
    <x v="0"/>
    <x v="5"/>
    <s v="Natural Sciences"/>
    <s v="EM"/>
    <x v="0"/>
    <s v="Draft"/>
    <s v="University of the Free State"/>
    <s v="PhD with Specialization in Land Rehabilitation"/>
    <s v="Holistic Approaches to Mitigating Eutrophication in South African Water Resources"/>
    <d v="2025-03-06T00:00:00"/>
    <n v="3"/>
    <s v="_x000d__x000a_-303800_x000d__x000a_"/>
    <s v="_x000d__x000a_-294300_x000d__x000a_"/>
    <s v="_x000d__x000a_-284000_x000d__x000a_"/>
  </r>
  <r>
    <s v="10/12/2025"/>
    <s v="2025-9639"/>
    <s v="Higher Education Awards"/>
    <s v="Jonathan Tembo"/>
    <s v="tembojonathan@yahoo.com"/>
    <x v="3"/>
    <x v="2"/>
    <x v="0"/>
    <x v="0"/>
    <x v="0"/>
    <x v="4"/>
    <s v="Commerce &amp; Management"/>
    <s v="EM"/>
    <x v="14"/>
    <s v="Completed"/>
    <s v="University of Johannesburg"/>
    <s v="Postdoctoral Fellowship"/>
    <s v="Real Estate Investment Trusts and Sustainable Investments: A Performance Study of Alternative Investments in the South African Market."/>
    <d v="2026-01-01T00:00:00"/>
    <n v="2"/>
    <s v="_x000d__x000a_360000_x000d__x000a_"/>
    <s v="_x000d__x000a_360000_x000d__x000a_"/>
    <s v="_x000d__x000a_0_x000d__x000a_"/>
  </r>
  <r>
    <s v="10/12/2025"/>
    <s v="2025-8253"/>
    <s v="Higher Education Awards"/>
    <s v="KELEBOGILE MOTSUMI"/>
    <s v="kelebogile.kkm@gmail.com"/>
    <x v="1"/>
    <x v="0"/>
    <x v="0"/>
    <x v="1"/>
    <x v="1"/>
    <x v="3"/>
    <s v="Performing &amp; Creative Arts"/>
    <s v="EM"/>
    <x v="15"/>
    <s v="Completed"/>
    <s v="Howard University"/>
    <s v="Masters in Jazz studies"/>
    <s v="Jazz"/>
    <d v="2025-06-18T00:00:00"/>
    <n v="2"/>
    <s v="_x000d__x000a_9104634_x000d__x000a_"/>
    <s v="_x000d__x000a_9104634_x000d__x000a_"/>
    <s v="_x000d__x000a_0_x000d__x000a_"/>
  </r>
  <r>
    <s v="10/12/2025"/>
    <s v="2025-8697"/>
    <s v="Higher Education Awards"/>
    <s v="Wendy Nkosi"/>
    <s v="wendynkosi1412@gmail.com"/>
    <x v="3"/>
    <x v="1"/>
    <x v="0"/>
    <x v="1"/>
    <x v="0"/>
    <x v="4"/>
    <s v="Commerce &amp; Management"/>
    <s v="EM"/>
    <x v="31"/>
    <s v="Draft"/>
    <s v="University of Witwatersrand"/>
    <s v="1st"/>
    <s v="The implementation of Pan-Africanism:RECs in promoting peace and security"/>
    <d v="2026-02-02T00:00:00"/>
    <n v="3"/>
    <s v="_x000d__x000a_-166140_x000d__x000a_"/>
    <s v="_x000d__x000a_-138140_x000d__x000a_"/>
    <s v="_x000d__x000a_-107140_x000d__x000a_"/>
  </r>
  <r>
    <s v="10/12/2025"/>
    <s v="2025-8633"/>
    <s v="Higher Education Awards"/>
    <s v="Asavela Mehlwana"/>
    <s v="asamehlwana@gmail.com"/>
    <x v="0"/>
    <x v="0"/>
    <x v="0"/>
    <x v="1"/>
    <x v="0"/>
    <x v="0"/>
    <s v="Natural Sciences"/>
    <s v="EM"/>
    <x v="0"/>
    <s v="Completed"/>
    <s v="Nelson Mandela University"/>
    <s v="Masters of Sciences in  Chemistry"/>
    <s v="Fabrication and evaluation of ligand-functionalized resins for the recovery of precious metals from mine waste rocks"/>
    <d v="2025-02-01T00:00:00"/>
    <n v="2"/>
    <s v="_x000d__x000a_100000_x000d__x000a_"/>
    <s v="_x000d__x000a_0_x000d__x000a_"/>
    <s v="_x000d__x000a_0_x000d__x000a_"/>
  </r>
  <r>
    <s v="10/12/2025"/>
    <s v="2025-9764"/>
    <s v="Higher Education Awards"/>
    <s v="DELRON DANANAI MUTI"/>
    <s v="delronm69@gmail.com"/>
    <x v="3"/>
    <x v="0"/>
    <x v="0"/>
    <x v="0"/>
    <x v="0"/>
    <x v="1"/>
    <s v="Engineering &amp; the Built Environment"/>
    <s v="EM"/>
    <x v="11"/>
    <s v="Draft"/>
    <s v="UNIVERSITY OF JOHANNESBURG"/>
    <s v="Master in Engineering Electrical and Electronic Engineering (RD)"/>
    <s v="Machine Learning-Based Analysis of PCB Test Data"/>
    <d v="2025-01-02T00:00:00"/>
    <n v="2"/>
    <s v="_x000d__x000a_103000_x000d__x000a_"/>
    <s v="_x000d__x000a_103000_x000d__x000a_"/>
    <s v="_x000d__x000a_0_x000d__x000a_"/>
  </r>
  <r>
    <s v="10/12/2025"/>
    <s v="2025-8437"/>
    <s v="Higher Education Awards"/>
    <s v="Athembile Centane"/>
    <s v="athembile785@gmail.com"/>
    <x v="0"/>
    <x v="0"/>
    <x v="0"/>
    <x v="1"/>
    <x v="0"/>
    <x v="8"/>
    <s v="Natural Sciences"/>
    <s v="EM"/>
    <x v="0"/>
    <s v="Completed"/>
    <s v="University of the Western Cape"/>
    <s v="Master of Science"/>
    <s v="Pharmaceutical Sciences"/>
    <d v="2025-03-10T00:00:00"/>
    <n v="1"/>
    <s v="_x000d__x000a_158000_x000d__x000a_"/>
    <s v="_x000d__x000a_0_x000d__x000a_"/>
    <s v="_x000d__x000a_0_x000d__x000a_"/>
  </r>
  <r>
    <s v="10/12/2025"/>
    <s v="2025-9758"/>
    <s v="Higher Education Awards"/>
    <s v="Sizwe Njapha"/>
    <s v="njaphasc@gmail.com"/>
    <x v="3"/>
    <x v="1"/>
    <x v="0"/>
    <x v="0"/>
    <x v="0"/>
    <x v="2"/>
    <s v="Humanities"/>
    <s v="EM"/>
    <x v="0"/>
    <s v="Completed"/>
    <s v="Rhodes University"/>
    <s v="PhD (Education) in Education Leadership and Management"/>
    <s v="The role of principals in fostering school culture, supporting staff relationships and enhancing student achievement in South African schools."/>
    <d v="2026-01-13T00:00:00"/>
    <n v="2"/>
    <s v="_x000d__x000a_80000_x000d__x000a_"/>
    <s v="_x000d__x000a_80000_x000d__x000a_"/>
    <s v="_x000d__x000a_0_x000d__x000a_"/>
  </r>
  <r>
    <s v="10/12/2025"/>
    <s v="2025-9754"/>
    <s v="Higher Education Awards"/>
    <s v="Ntombikayise  Nkosi"/>
    <s v="ntombikayisenkosi.nn@gmail.com"/>
    <x v="3"/>
    <x v="0"/>
    <x v="0"/>
    <x v="1"/>
    <x v="0"/>
    <x v="4"/>
    <s v="Commerce &amp; Management"/>
    <s v="EM"/>
    <x v="19"/>
    <s v="Draft"/>
    <s v="University of Johannesburg"/>
    <s v="Masters of Sustainability Management"/>
    <s v="ESG Risk and Affordability in Underwriting: A Study of how South African Insurers balance climate risks   Social Inclusion"/>
    <d v="2026-01-12T00:00:00"/>
    <n v="2"/>
    <s v="_x000d__x000a_67000_x000d__x000a_"/>
    <s v="_x000d__x000a_67000_x000d__x000a_"/>
    <s v="_x000d__x000a_0_x000d__x000a_"/>
  </r>
  <r>
    <s v="10/12/2025"/>
    <s v="2025-9567"/>
    <s v="Higher Education Awards"/>
    <s v="Christena Pieterse"/>
    <s v="christenapieterse@gmail.com"/>
    <x v="0"/>
    <x v="0"/>
    <x v="1"/>
    <x v="1"/>
    <x v="0"/>
    <x v="8"/>
    <s v="Health Sciences"/>
    <s v="EM"/>
    <x v="0"/>
    <s v="Completed"/>
    <s v="University of Cape Town"/>
    <s v="Behavioural Medicine"/>
    <s v="Investigating the Driving Factors of IPV Perpetration Among Men Living with HIV: A Mixed Methods Study"/>
    <d v="2025-01-12T00:00:00"/>
    <n v="1"/>
    <s v="_x000d__x000a_31490_x000d__x000a_"/>
    <s v="_x000d__x000a_0_x000d__x000a_"/>
    <s v="_x000d__x000a_0_x000d__x000a_"/>
  </r>
  <r>
    <s v="10/12/2025"/>
    <s v="2025-9537"/>
    <s v="Higher Education Awards"/>
    <s v="Khanya Simelane"/>
    <s v="khanyad@gmail.com"/>
    <x v="0"/>
    <x v="0"/>
    <x v="0"/>
    <x v="1"/>
    <x v="0"/>
    <x v="4"/>
    <s v="Commerce &amp; Management"/>
    <s v="EM"/>
    <x v="0"/>
    <s v="Completed"/>
    <s v="UCT GSB"/>
    <s v="MPhil"/>
    <s v="Assessing the Impact of Housing Finance for Low-Income Earners in South Africa: Micro-Mortgages and Rent-to-Own Models"/>
    <d v="2026-01-01T00:00:00"/>
    <n v="2"/>
    <s v="_x000d__x000a_200000_x000d__x000a_"/>
    <s v="_x000d__x000a_27000_x000d__x000a_"/>
    <s v="_x000d__x000a_0_x000d__x000a_"/>
  </r>
  <r>
    <s v="10/12/2025"/>
    <s v="2025-9327"/>
    <s v="Higher Education Awards"/>
    <s v="Erica Moolman"/>
    <s v="ertjiesmoolman@gmail.com"/>
    <x v="0"/>
    <x v="0"/>
    <x v="1"/>
    <x v="1"/>
    <x v="0"/>
    <x v="8"/>
    <s v="Health Sciences"/>
    <s v="EM"/>
    <x v="0"/>
    <s v="Completed"/>
    <s v="University of the Free State"/>
    <s v="MSc Dietetics"/>
    <s v="Maternal Nutritional Profile and Neonatal Body Composition: A Study Utilising Air Displacement Plethysmography at Universitas Academic Hospital, Bloemfontein, South Africa"/>
    <d v="2025-01-01T00:00:00"/>
    <n v="1"/>
    <s v="_x000d__x000a_148157.26_x000d__x000a_"/>
    <s v="_x000d__x000a_0_x000d__x000a_"/>
    <s v="_x000d__x000a_0_x000d__x000a_"/>
  </r>
  <r>
    <s v="10/12/2025"/>
    <s v="2025-9548"/>
    <s v="Higher Education Awards"/>
    <s v="Sophia Gyasi"/>
    <s v="saagyasi@gmail.com"/>
    <x v="0"/>
    <x v="0"/>
    <x v="0"/>
    <x v="1"/>
    <x v="0"/>
    <x v="1"/>
    <s v="Engineering &amp; the Built Environment"/>
    <s v="EM"/>
    <x v="0"/>
    <s v="Completed"/>
    <s v="University of Pretoria"/>
    <s v="Water Utilization Engineering"/>
    <s v="Carbonization of Banana Peels as anode in Microbial Fuel Cell"/>
    <d v="2025-01-01T00:00:00"/>
    <n v="1"/>
    <s v="_x000d__x000a_81555_x000d__x000a_"/>
    <s v="_x000d__x000a_0_x000d__x000a_"/>
    <s v="_x000d__x000a_0_x000d__x000a_"/>
  </r>
  <r>
    <s v="10/12/2025"/>
    <s v="2025-8774"/>
    <s v="Higher Education Awards"/>
    <s v="Najohn J Supu Jr"/>
    <s v="supunajohn58@gmail.com"/>
    <x v="0"/>
    <x v="0"/>
    <x v="0"/>
    <x v="0"/>
    <x v="0"/>
    <x v="6"/>
    <s v="Health Sciences"/>
    <s v="EM"/>
    <x v="0"/>
    <s v="Completed"/>
    <s v="University of Cape Town"/>
    <s v="Environmental Health"/>
    <s v="Waste Management"/>
    <d v="2026-02-02T00:00:00"/>
    <n v="2"/>
    <s v="_x000d__x000a_177400_x000d__x000a_"/>
    <s v="_x000d__x000a_177400_x000d__x000a_"/>
    <s v="_x000d__x000a_0_x000d__x000a_"/>
  </r>
  <r>
    <s v="10/12/2025"/>
    <s v="2025-9723"/>
    <s v="Higher Education Awards"/>
    <s v="Sifiso Dlamini"/>
    <s v="sifisodlamini411@gmail.com"/>
    <x v="0"/>
    <x v="0"/>
    <x v="0"/>
    <x v="0"/>
    <x v="0"/>
    <x v="7"/>
    <s v="Law"/>
    <s v="EM"/>
    <x v="0"/>
    <s v="Completed"/>
    <s v="UCT, WITS, UP"/>
    <s v="LLM"/>
    <s v="Intellectual Property Law"/>
    <d v="2026-02-02T00:00:00"/>
    <n v="1"/>
    <s v="_x000d__x000a_100000_x000d__x000a_"/>
    <s v="_x000d__x000a_0_x000d__x000a_"/>
    <s v="_x000d__x000a_0_x000d__x000a_"/>
  </r>
  <r>
    <s v="10/12/2025"/>
    <s v="2025-8315"/>
    <s v="Higher Education Awards"/>
    <s v="Nashe Mucharambeyi"/>
    <s v="nmucharambeyi@outlook.com"/>
    <x v="3"/>
    <x v="0"/>
    <x v="0"/>
    <x v="0"/>
    <x v="1"/>
    <x v="1"/>
    <s v="Engineering &amp; the Built Environment"/>
    <s v="EM"/>
    <x v="25"/>
    <s v="Draft"/>
    <s v="Purdue University"/>
    <s v="Engineering"/>
    <s v="Combustion, Propulsion and Engineering"/>
    <d v="2026-01-12T00:00:00"/>
    <n v="2"/>
    <s v="_x000d__x000a_926229_x000d__x000a_"/>
    <s v="_x000d__x000a_926229_x000d__x000a_"/>
    <s v="_x000d__x000a_0_x000d__x000a_"/>
  </r>
  <r>
    <s v="10/12/2025"/>
    <s v="2025-8719"/>
    <s v="Higher Education Awards"/>
    <s v="Cairin van 't Hof"/>
    <s v="cairin.vanthof@up.ac.za"/>
    <x v="0"/>
    <x v="0"/>
    <x v="1"/>
    <x v="1"/>
    <x v="0"/>
    <x v="5"/>
    <s v="Natural Sciences"/>
    <s v="EM"/>
    <x v="0"/>
    <s v="Completed"/>
    <s v="University of Pretoria"/>
    <s v="MSc Genetics"/>
    <s v="Fungal genetics and pathology"/>
    <d v="2026-01-19T00:00:00"/>
    <n v="2"/>
    <s v="_x000d__x000a_193500_x000d__x000a_"/>
    <s v="_x000d__x000a_193500_x000d__x000a_"/>
    <s v="_x000d__x000a_0_x000d__x000a_"/>
  </r>
  <r>
    <s v="10/12/2025"/>
    <s v="2025-9519"/>
    <s v="Higher Education Awards"/>
    <s v="Vukosi Marivate"/>
    <s v="maphumzo@gmail.com"/>
    <x v="3"/>
    <x v="1"/>
    <x v="0"/>
    <x v="1"/>
    <x v="0"/>
    <x v="8"/>
    <s v="Health Sciences"/>
    <s v="EM"/>
    <x v="0"/>
    <s v="Completed"/>
    <s v="University of Johannesburg"/>
    <s v="Doctor of Philosophy in Health Sciences in Public Health"/>
    <s v="Application of big data analytics to develop machine learning algorithms for predicting adolescent girls and young women’s HIV risk behaviors in South Africa."/>
    <d v="2026-01-01T00:00:00"/>
    <n v="3"/>
    <s v="_x000d__x000a_25000_x000d__x000a_"/>
    <s v="_x000d__x000a_45000_x000d__x000a_"/>
    <s v="_x000d__x000a_33000_x000d__x000a_"/>
  </r>
  <r>
    <s v="10/12/2025"/>
    <s v="2025-8593"/>
    <s v="Higher Education Awards"/>
    <s v="Christopher Jones"/>
    <s v="chrisj22123@gmail.com"/>
    <x v="0"/>
    <x v="1"/>
    <x v="5"/>
    <x v="0"/>
    <x v="0"/>
    <x v="5"/>
    <s v="Natural Sciences"/>
    <s v="EM"/>
    <x v="0"/>
    <s v="Completed"/>
    <s v="FitzPatrick Institute Of African Ornithology, University of Cape Town"/>
    <s v="PhD in Biological Sciences"/>
    <s v="Climate change impacts on large surface-nesting seabirds at their breeding sites in the Southern Ocean."/>
    <d v="2026-01-15T00:00:00"/>
    <n v="3"/>
    <s v="_x000d__x000a_164000_x000d__x000a_"/>
    <s v="_x000d__x000a_279150_x000d__x000a_"/>
    <s v="_x000d__x000a_315207.5_x000d__x000a_"/>
  </r>
  <r>
    <s v="10/12/2025"/>
    <s v="2025-8978"/>
    <s v="Higher Education Awards"/>
    <s v="CHARMAINE NYATHI"/>
    <s v="charmainenyathi23@gmail.com"/>
    <x v="0"/>
    <x v="0"/>
    <x v="0"/>
    <x v="1"/>
    <x v="0"/>
    <x v="5"/>
    <s v="Natural Sciences"/>
    <s v="EM"/>
    <x v="10"/>
    <s v="Draft"/>
    <s v="University of Limpopo"/>
    <s v="Msc(Horticulture)"/>
    <s v="Effect of Different Growing Media on the Growth, Yield, Nutritional Composition, and Phytochemical properties of Cleome gynandra in Aquaponic Conditions"/>
    <d v="2026-02-03T00:00:00"/>
    <n v="2"/>
    <s v="_x000d__x000a_152100_x000d__x000a_"/>
    <s v="_x000d__x000a_0_x000d__x000a_"/>
    <s v="_x000d__x000a_0_x000d__x000a_"/>
  </r>
  <r>
    <s v="10/12/2025"/>
    <s v="2025-8763"/>
    <s v="Higher Education Awards"/>
    <s v="Dominique Saayman"/>
    <s v="niqisaayman@gmail.com"/>
    <x v="0"/>
    <x v="1"/>
    <x v="1"/>
    <x v="1"/>
    <x v="0"/>
    <x v="2"/>
    <s v="Humanities"/>
    <s v="EM"/>
    <x v="0"/>
    <s v="Completed"/>
    <s v="University of Johannesburg"/>
    <s v="PhD Art History"/>
    <s v="Feminism, Gender Studies"/>
    <d v="2025-02-01T00:00:00"/>
    <n v="3"/>
    <s v="_x000d__x000a_238732_x000d__x000a_"/>
    <s v="_x000d__x000a_259463_x000d__x000a_"/>
    <s v="_x000d__x000a_276281_x000d__x000a_"/>
  </r>
  <r>
    <s v="10/12/2025"/>
    <s v="2025-8963"/>
    <s v="Higher Education Awards"/>
    <s v="Tshwarelelo Sibilanga"/>
    <s v="lelosibilanga@gmail.com"/>
    <x v="0"/>
    <x v="0"/>
    <x v="0"/>
    <x v="1"/>
    <x v="0"/>
    <x v="8"/>
    <s v="Natural Sciences"/>
    <s v="EM"/>
    <x v="0"/>
    <s v="Completed"/>
    <s v="University of the Witwatersrand"/>
    <s v="MSc Biochemistry"/>
    <s v="Drug discovery"/>
    <d v="2025-01-31T00:00:00"/>
    <n v="1"/>
    <s v="_x000d__x000a_251562_x000d__x000a_"/>
    <s v="_x000d__x000a_0_x000d__x000a_"/>
    <s v="_x000d__x000a_0_x000d__x000a_"/>
  </r>
  <r>
    <s v="10/12/2025"/>
    <s v="2025-9352"/>
    <s v="Higher Education Awards"/>
    <s v="Vonakalani Thursday Mbhungele"/>
    <s v="thursdaym1@gmail.com"/>
    <x v="0"/>
    <x v="0"/>
    <x v="0"/>
    <x v="0"/>
    <x v="0"/>
    <x v="4"/>
    <s v="Commerce &amp; Management"/>
    <s v="EM"/>
    <x v="0"/>
    <s v="Completed"/>
    <s v="University of Cape Town"/>
    <s v="Master of Development Policy and Practice"/>
    <s v="My focus on the African Continental Free Trade Area (AfCFTA) and its implications for vulnerable children address several critical social justice issues."/>
    <d v="2025-01-15T00:00:00"/>
    <n v="2"/>
    <s v="_x000d__x000a_1732.4_x000d__x000a_"/>
    <s v="_x000d__x000a_95558.4_x000d__x000a_"/>
    <s v="_x000d__x000a_0_x000d__x000a_"/>
  </r>
  <r>
    <s v="10/12/2025"/>
    <s v="2025-9510"/>
    <s v="Higher Education Awards"/>
    <s v="Pearl Mahanuke"/>
    <s v="pearlmahanuke@gmail.com"/>
    <x v="3"/>
    <x v="0"/>
    <x v="0"/>
    <x v="1"/>
    <x v="0"/>
    <x v="8"/>
    <s v="Health Sciences"/>
    <s v="EM"/>
    <x v="0"/>
    <s v="Completed"/>
    <s v="Sefako Makgatho Health Sciences University"/>
    <s v="Master of Science in Clinical Psychology"/>
    <s v="Diabetes and people of colour: A qualitative study exploring the lived experiences of Black and Indian patients diagnosed with diabetes."/>
    <d v="2026-01-12T00:00:00"/>
    <n v="1"/>
    <s v="_x000d__x000a_125398_x000d__x000a_"/>
    <s v="_x000d__x000a_0_x000d__x000a_"/>
    <s v="_x000d__x000a_0_x000d__x000a_"/>
  </r>
  <r>
    <s v="10/12/2025"/>
    <s v="2025-9726"/>
    <s v="Higher Education Awards"/>
    <s v="Maxwell Madara"/>
    <s v="madaram253@gmail.com"/>
    <x v="0"/>
    <x v="1"/>
    <x v="0"/>
    <x v="0"/>
    <x v="0"/>
    <x v="2"/>
    <s v="Humanities"/>
    <s v="EM"/>
    <x v="0"/>
    <s v="Completed"/>
    <s v="Rhodes University, University of Cape Town, University of Johannesburg (Accepted at Rhodes, waiting UCT decision as my first choice, otherwise I will join Rhodes)"/>
    <s v="PhD -Journalism and Media Studies"/>
    <s v="From Hashtags to Firewalls: Digital Activism and AI’s Algorithmic Censorship, Implications for Media Freedom in Kenya"/>
    <d v="2026-02-15T00:00:00"/>
    <n v="3"/>
    <s v="_x000d__x000a_130000_x000d__x000a_"/>
    <s v="_x000d__x000a_105000_x000d__x000a_"/>
    <s v="_x000d__x000a_95000_x000d__x000a_"/>
  </r>
  <r>
    <s v="10/12/2025"/>
    <s v="2025-8821"/>
    <s v="Higher Education Awards"/>
    <s v="Gibbon Khathutshelo Ramaremisa"/>
    <s v="gibbonramaremisa@gmail.com"/>
    <x v="0"/>
    <x v="2"/>
    <x v="0"/>
    <x v="0"/>
    <x v="0"/>
    <x v="0"/>
    <s v="Natural Sciences"/>
    <s v="EM"/>
    <x v="0"/>
    <s v="Completed"/>
    <s v="University of the Witwatersrand"/>
    <s v="Chemistry"/>
    <s v="=Geochemical modelling of the physical-chemical behaviour of microplastics"/>
    <d v="2026-02-10T00:00:00"/>
    <n v="2"/>
    <s v="_x000d__x000a_370000_x000d__x000a_"/>
    <s v="_x000d__x000a_370000_x000d__x000a_"/>
    <s v="_x000d__x000a_0_x000d__x000a_"/>
  </r>
  <r>
    <s v="10/12/2025"/>
    <s v="2025-9717"/>
    <s v="Higher Education Awards"/>
    <s v="Pamela Suzzana Moyo"/>
    <s v="suzzanamoyo@gmail.com"/>
    <x v="0"/>
    <x v="2"/>
    <x v="0"/>
    <x v="1"/>
    <x v="0"/>
    <x v="0"/>
    <s v="Natural Sciences"/>
    <s v="EM"/>
    <x v="0"/>
    <s v="Completed"/>
    <s v="University of Witwatersrand, Johannesburg"/>
    <s v="Scholarship Postdoctoral study"/>
    <s v="Chemoselective transfer hydrogenation of ketones and aldehydes catalyzed by simple ruthenium(II) catalysts in water"/>
    <d v="2026-01-05T00:00:00"/>
    <n v="2"/>
    <s v="_x000d__x000a_110000_x000d__x000a_"/>
    <s v="_x000d__x000a_110000_x000d__x000a_"/>
    <s v="_x000d__x000a_0_x000d__x000a_"/>
  </r>
  <r>
    <s v="10/12/2025"/>
    <s v="2025-9440"/>
    <s v="Higher Education Awards"/>
    <s v="Sabela Rey Vila"/>
    <s v="sreyvila88@gmail.com"/>
    <x v="0"/>
    <x v="1"/>
    <x v="1"/>
    <x v="1"/>
    <x v="0"/>
    <x v="1"/>
    <s v="Engineering &amp; the Built Environment"/>
    <s v="CB"/>
    <x v="0"/>
    <s v="Draft"/>
    <s v="Universidad del Witwatersrand"/>
    <s v=""/>
    <s v="Architectural Competitions"/>
    <d v="2026-01-15T00:00:00"/>
    <n v="3"/>
    <s v="_x000d__x000a_93598_x000d__x000a_"/>
    <s v="_x000d__x000a_98981_x000d__x000a_"/>
    <s v="_x000d__x000a_102376_x000d__x000a_"/>
  </r>
  <r>
    <s v="10/12/2025"/>
    <s v="2025-8407"/>
    <s v="Higher Education Awards"/>
    <s v="Nokulunga Nkambule"/>
    <s v="nokulungankambule8@gmail.com"/>
    <x v="0"/>
    <x v="0"/>
    <x v="0"/>
    <x v="1"/>
    <x v="0"/>
    <x v="2"/>
    <s v="Humanities"/>
    <s v="CB"/>
    <x v="0"/>
    <s v="Completed"/>
    <s v="University of Johannesburg"/>
    <s v="Masters in Development Studies (RD)"/>
    <s v="Between global goals and continental goals: A critical study on the impact and effects of SDG dominance over agenda 2063 in Africa"/>
    <d v="2026-02-09T00:00:00"/>
    <n v="2"/>
    <s v="_x000d__x000a_118560_x000d__x000a_"/>
    <s v="_x000d__x000a_123560_x000d__x000a_"/>
    <s v="_x000d__x000a_0_x000d__x000a_"/>
  </r>
  <r>
    <s v="10/12/2025"/>
    <s v="2025-9392"/>
    <s v="Higher Education Awards"/>
    <s v="Lario Odendaal"/>
    <s v="lblom4@gmail.com"/>
    <x v="0"/>
    <x v="0"/>
    <x v="1"/>
    <x v="1"/>
    <x v="0"/>
    <x v="2"/>
    <s v="Humanities"/>
    <s v="CB"/>
    <x v="0"/>
    <s v="Draft"/>
    <s v="Rhodes University"/>
    <s v="Master of Education (Inclusive)"/>
    <s v="Investigating experiences of parents with autistic children in the Northern Cape, South Africa, regarding inclusivity and Ubuntu in the education system"/>
    <d v="2026-01-01T00:00:00"/>
    <n v="2"/>
    <s v="_x000d__x000a_30000_x000d__x000a_"/>
    <s v="_x000d__x000a_30000_x000d__x000a_"/>
    <s v="_x000d__x000a_0_x000d__x000a_"/>
  </r>
  <r>
    <s v="10/12/2025"/>
    <s v="2025-8736"/>
    <s v="Higher Education Awards"/>
    <s v="Achievement Malungani"/>
    <s v="malunganiachievement@gmail.com"/>
    <x v="3"/>
    <x v="0"/>
    <x v="0"/>
    <x v="1"/>
    <x v="0"/>
    <x v="2"/>
    <s v="Humanities"/>
    <s v="CB"/>
    <x v="21"/>
    <s v="Completed"/>
    <s v="University of Venda"/>
    <s v="Masters in theology"/>
    <s v="Exploring how faith communities can work to prevent GBV, support survivors and promote gender equality"/>
    <d v="2026-01-30T00:00:00"/>
    <n v="1"/>
    <s v="_x000d__x000a_66000_x000d__x000a_"/>
    <s v="_x000d__x000a_0_x000d__x000a_"/>
    <s v="_x000d__x000a_0_x000d__x000a_"/>
  </r>
  <r>
    <s v="10/12/2025"/>
    <s v="2025-8644"/>
    <s v="Higher Education Awards"/>
    <s v="Gabisile Radebe"/>
    <s v="gabisileradebe858@gmail.com"/>
    <x v="0"/>
    <x v="0"/>
    <x v="0"/>
    <x v="1"/>
    <x v="0"/>
    <x v="5"/>
    <s v="Natural Sciences"/>
    <s v="CB"/>
    <x v="21"/>
    <s v="Completed"/>
    <s v="University of Johannesburg"/>
    <s v="Biochemistry"/>
    <s v="16SrRNA-based bacterial community profiling of Haemonchus contortus infecting goats using nextgeneration sequencing "/>
    <d v="2026-02-02T00:00:00"/>
    <n v="2"/>
    <s v="_x000d__x000a_110000_x000d__x000a_"/>
    <s v="_x000d__x000a_110000_x000d__x000a_"/>
    <s v="_x000d__x000a_0_x000d__x000a_"/>
  </r>
  <r>
    <s v="10/12/2025"/>
    <s v="2025-8460"/>
    <s v="Higher Education Awards"/>
    <s v="August Herbert"/>
    <s v="augustherbert.professional@gmail.com"/>
    <x v="0"/>
    <x v="0"/>
    <x v="1"/>
    <x v="2"/>
    <x v="0"/>
    <x v="8"/>
    <s v="Health Sciences"/>
    <s v="CB"/>
    <x v="0"/>
    <s v="Completed"/>
    <s v="The University of Cape Town"/>
    <s v="Master's in Medical Science (Medical Cell Biology)"/>
    <s v="Neurodevelopmental Biology"/>
    <d v="2026-02-02T00:00:00"/>
    <n v="1"/>
    <s v="_x000d__x000a_197530_x000d__x000a_"/>
    <s v="_x000d__x000a_0_x000d__x000a_"/>
    <s v="_x000d__x000a_0_x000d__x000a_"/>
  </r>
  <r>
    <s v="10/12/2025"/>
    <s v="2025-9240"/>
    <s v="Higher Education Awards"/>
    <s v="Kenan Mpisi"/>
    <s v="202100109@spu.ac.za"/>
    <x v="3"/>
    <x v="0"/>
    <x v="0"/>
    <x v="0"/>
    <x v="0"/>
    <x v="2"/>
    <s v="Other"/>
    <s v="CB"/>
    <x v="19"/>
    <s v="Draft"/>
    <s v="Sol Plaatje University"/>
    <s v="Master Of Education"/>
    <s v="Kimberley High School Teachers Perceptions of Curriculum and Assessment Policy Statement History Curriculums Influence on their Well Being."/>
    <d v="2026-08-03T00:00:00"/>
    <n v="2"/>
    <s v="_x000d__x000a_170000_x000d__x000a_"/>
    <s v="_x000d__x000a_170000_x000d__x000a_"/>
    <s v="_x000d__x000a_0_x000d__x000a_"/>
  </r>
  <r>
    <s v="10/12/2025"/>
    <s v="2025-9145"/>
    <s v="Higher Education Awards"/>
    <s v="Nhlamulo Risenga"/>
    <s v="nhlamulorisenga1@gmail.com"/>
    <x v="3"/>
    <x v="0"/>
    <x v="0"/>
    <x v="1"/>
    <x v="0"/>
    <x v="8"/>
    <s v="Health Sciences"/>
    <s v="CB"/>
    <x v="15"/>
    <s v="Completed"/>
    <s v="University of the Witwatersrand"/>
    <s v="Master of Science in Medicine (Biokinetics)"/>
    <s v="The posture profiles and attitudes of adolescent high school learners in Limpopo on daily and classroom activities"/>
    <d v="2024-03-29T00:00:00"/>
    <n v="2"/>
    <s v="_x000d__x000a_45130.15_x000d__x000a_"/>
    <s v="_x000d__x000a_28305.72_x000d__x000a_"/>
    <s v="_x000d__x000a_0_x000d__x000a_"/>
  </r>
  <r>
    <s v="10/12/2025"/>
    <s v="2025-8997"/>
    <s v="Higher Education Awards"/>
    <s v="LONDOLANI BERTHA MUNZHEDZI"/>
    <s v="londolaniberthamunzhedzi@gmail.com"/>
    <x v="3"/>
    <x v="1"/>
    <x v="0"/>
    <x v="1"/>
    <x v="0"/>
    <x v="4"/>
    <s v="Commerce &amp; Management"/>
    <s v="CB"/>
    <x v="0"/>
    <s v="Completed"/>
    <s v="UNIVERSITY OF JOHANNESBURG"/>
    <s v="PHD IN PUBLIC MANAGEMENT AND GOVERNANCE"/>
    <s v="AN ASSESSMENT OF LEARNERSHIP AND INTERNSHIP PROGRAMMES IN ADDRESSING YOUTH EMPLOYMENT IN SOUTH AFRICA"/>
    <d v="2025-02-10T00:00:00"/>
    <n v="2"/>
    <s v="_x000d__x000a_82800_x000d__x000a_"/>
    <s v="_x000d__x000a_89800_x000d__x000a_"/>
    <s v="_x000d__x000a_0_x000d__x000a_"/>
  </r>
  <r>
    <s v="10/12/2025"/>
    <s v="2025-8504"/>
    <s v="Higher Education Awards"/>
    <s v="Tumelo Motlhabane"/>
    <s v="tkmotlh@gmail.com"/>
    <x v="3"/>
    <x v="0"/>
    <x v="0"/>
    <x v="0"/>
    <x v="0"/>
    <x v="4"/>
    <s v="Commerce &amp; Management"/>
    <s v="CB"/>
    <x v="8"/>
    <s v="Draft"/>
    <s v="Stellenbosch Business School"/>
    <s v="MPhil in Development Finance"/>
    <s v="Infrastructure Project Finance: Challenges and Opportunities in Advancing South Africa’s Mineral Beneficiation Strategy."/>
    <d v="2026-01-05T00:00:00"/>
    <n v="2"/>
    <s v="_x000d__x000a_110554_x000d__x000a_"/>
    <s v="_x000d__x000a_110768_x000d__x000a_"/>
    <s v="_x000d__x000a_0_x000d__x000a_"/>
  </r>
  <r>
    <s v="10/12/2025"/>
    <s v="2025-9054"/>
    <s v="Higher Education Awards"/>
    <s v="Nhlanhla Rihlampfu"/>
    <s v="nhlanhlarihlampfu@icloud.com"/>
    <x v="3"/>
    <x v="0"/>
    <x v="0"/>
    <x v="1"/>
    <x v="0"/>
    <x v="2"/>
    <s v="Humanities"/>
    <s v="CB"/>
    <x v="8"/>
    <s v="Draft"/>
    <s v="Sol Plaatje University, University of Johannesburg, Unisa"/>
    <s v="Masters of Education"/>
    <s v="Exploring the effect of a generation gap on teaching and learning in the intermediate phase"/>
    <d v="2026-03-10T00:00:00"/>
    <n v="2"/>
    <s v="_x000d__x000a_34000_x000d__x000a_"/>
    <s v="_x000d__x000a_43000_x000d__x000a_"/>
    <s v="_x000d__x000a_0_x000d__x000a_"/>
  </r>
  <r>
    <s v="10/12/2025"/>
    <s v="2025-8221"/>
    <s v="Higher Education Awards"/>
    <s v="Riyaaz Davids"/>
    <s v="riyaaz.davids@spu.ac.za"/>
    <x v="0"/>
    <x v="0"/>
    <x v="2"/>
    <x v="0"/>
    <x v="0"/>
    <x v="5"/>
    <s v="Natural Sciences"/>
    <s v="CB"/>
    <x v="0"/>
    <s v="Completed"/>
    <s v="Sol Plaatje University"/>
    <s v="Master of Science in Biological Sciences (Zoology)"/>
    <s v="Carnivore Ecology"/>
    <d v="2026-01-25T00:00:00"/>
    <n v="2"/>
    <s v="_x000d__x000a_150000_x000d__x000a_"/>
    <s v="_x000d__x000a_150000_x000d__x000a_"/>
    <s v="_x000d__x000a_0_x000d__x000a_"/>
  </r>
  <r>
    <s v="10/12/2025"/>
    <s v="2025-8900"/>
    <s v="Higher Education Awards"/>
    <s v="Busisiwe Motlogeloa"/>
    <s v="2398808@students.wits.ac.za"/>
    <x v="3"/>
    <x v="0"/>
    <x v="0"/>
    <x v="1"/>
    <x v="0"/>
    <x v="7"/>
    <s v="Law"/>
    <s v="CB"/>
    <x v="32"/>
    <s v="Completed"/>
    <s v="Wits University"/>
    <s v="Master of Laws by Coursework and Research Report"/>
    <s v="The Role of Social and Ethics Committees in Advancing ESG Governance"/>
    <d v="2026-02-09T00:00:00"/>
    <n v="1"/>
    <s v="_x000d__x000a_70000_x000d__x000a_"/>
    <s v="_x000d__x000a_0_x000d__x000a_"/>
    <s v="_x000d__x000a_0_x000d__x000a_"/>
  </r>
  <r>
    <s v="10/12/2025"/>
    <s v="2025-9672"/>
    <s v="Higher Education Awards"/>
    <s v="Emily Grant"/>
    <s v="emily01grant@gmail.com"/>
    <x v="0"/>
    <x v="0"/>
    <x v="1"/>
    <x v="1"/>
    <x v="0"/>
    <x v="5"/>
    <s v="Applied Sciences"/>
    <s v="CB"/>
    <x v="0"/>
    <s v="Completed"/>
    <s v="University of Cape Town"/>
    <s v="Data Science"/>
    <s v="Renewable Energy"/>
    <d v="2026-01-19T00:00:00"/>
    <n v="2"/>
    <s v="_x000d__x000a_180910_x000d__x000a_"/>
    <s v="_x000d__x000a_144780_x000d__x000a_"/>
    <s v="_x000d__x000a_0_x000d__x000a_"/>
  </r>
  <r>
    <s v="10/12/2025"/>
    <s v="2025-9263"/>
    <s v="Higher Education Awards"/>
    <s v="Tshedza Nethonzhe"/>
    <s v="nethtshedza4@gmail.com"/>
    <x v="0"/>
    <x v="0"/>
    <x v="0"/>
    <x v="1"/>
    <x v="0"/>
    <x v="2"/>
    <s v="Humanities"/>
    <s v="CB"/>
    <x v="0"/>
    <s v="Draft"/>
    <s v="University of Pretoria"/>
    <s v="Full time"/>
    <s v="Fictionalising the collective self: strategies of representation in selected African novels"/>
    <d v="2025-01-15T00:00:00"/>
    <n v="2"/>
    <s v="_x000d__x000a_120000_x000d__x000a_"/>
    <s v="_x000d__x000a_120000_x000d__x000a_"/>
    <s v="_x000d__x000a_0_x000d__x000a_"/>
  </r>
  <r>
    <s v="10/12/2025"/>
    <s v="2025-9666"/>
    <s v="Higher Education Awards"/>
    <s v="Wei-Yu Feng"/>
    <s v="wei.yu.louis.feng@gmail.com"/>
    <x v="0"/>
    <x v="1"/>
    <x v="6"/>
    <x v="0"/>
    <x v="0"/>
    <x v="0"/>
    <s v="Applied Sciences"/>
    <s v="CB"/>
    <x v="0"/>
    <s v="Draft"/>
    <s v="University of Cape Town"/>
    <s v="Artificial Intelligence Safety"/>
    <s v="Artificial Intelligence Safety in the African Context"/>
    <d v="2025-11-03T00:00:00"/>
    <n v="3"/>
    <s v="_x000d__x000a_350000_x000d__x000a_"/>
    <s v="_x000d__x000a_350000_x000d__x000a_"/>
    <s v="_x000d__x000a_350000_x000d__x000a_"/>
  </r>
  <r>
    <s v="10/12/2025"/>
    <s v="2025-8358"/>
    <s v="Higher Education Awards"/>
    <s v="MICHAEL IFEANYICHUKWU EDEH"/>
    <s v="edehmichael16@gmail.com"/>
    <x v="0"/>
    <x v="0"/>
    <x v="0"/>
    <x v="0"/>
    <x v="0"/>
    <x v="8"/>
    <s v="Other"/>
    <s v="CB"/>
    <x v="0"/>
    <s v="Draft"/>
    <s v="University of Johannesburg (UJ)"/>
    <s v="Master of Science (MSc) in Biochemistry (Research)"/>
    <s v="Application of structural biology techniques for rational discovery and design of druggable compounds against Mycobacterium tuberculosis and zika virus."/>
    <d v="2026-01-05T00:00:00"/>
    <n v="2"/>
    <s v="_x000d__x000a_171800_x000d__x000a_"/>
    <s v="_x000d__x000a_171800_x000d__x000a_"/>
    <s v="_x000d__x000a_0_x000d__x000a_"/>
  </r>
  <r>
    <s v="10/12/2025"/>
    <s v="2025-8914"/>
    <s v="Higher Education Awards"/>
    <s v="Asanda Ngwenya"/>
    <s v="sandamichelle22@gmail.com"/>
    <x v="0"/>
    <x v="0"/>
    <x v="0"/>
    <x v="1"/>
    <x v="0"/>
    <x v="0"/>
    <s v="Natural Sciences"/>
    <s v="CB"/>
    <x v="0"/>
    <s v="Completed"/>
    <s v="University of KwaZulu Natal"/>
    <s v="Chemistry"/>
    <s v="Homogeneous Catalysis"/>
    <d v="2026-02-09T00:00:00"/>
    <n v="1"/>
    <s v="_x000d__x000a_163385_x000d__x000a_"/>
    <s v="_x000d__x000a_0_x000d__x000a_"/>
    <s v="_x000d__x000a_0_x000d__x000a_"/>
  </r>
  <r>
    <s v="10/12/2025"/>
    <s v="2025-8751"/>
    <s v="Higher Education Awards"/>
    <s v="Yeukai Pedzisa"/>
    <s v="Pedzisayeukai@gmail.com"/>
    <x v="3"/>
    <x v="1"/>
    <x v="0"/>
    <x v="1"/>
    <x v="0"/>
    <x v="2"/>
    <s v="Humanities"/>
    <s v="CB"/>
    <x v="8"/>
    <s v="Draft"/>
    <s v="University of Pretoria"/>
    <s v="Social work"/>
    <s v="Efficacy of Specialised Training Programs for Frontline Social Workers Working with Asylum Seekers, Migrants, and Refugee Children: A Case Study of South Africa"/>
    <d v="2026-01-01T00:00:00"/>
    <n v="3"/>
    <s v="_x000d__x000a_258500_x000d__x000a_"/>
    <s v="_x000d__x000a_263500_x000d__x000a_"/>
    <s v="_x000d__x000a_273500_x000d__x000a_"/>
  </r>
  <r>
    <s v="10/12/2025"/>
    <s v="2025-8215"/>
    <s v="Higher Education Awards"/>
    <s v="Gabrielle Da Silva"/>
    <s v="22292519@sun.ac.za"/>
    <x v="0"/>
    <x v="1"/>
    <x v="2"/>
    <x v="1"/>
    <x v="0"/>
    <x v="2"/>
    <s v="Humanities"/>
    <s v="CB"/>
    <x v="0"/>
    <s v="Draft"/>
    <s v="Stellenbosch University"/>
    <s v="PhD Political Science"/>
    <s v="Comparative foreign Policy: comparing Brazilian and South African foreign policy positions towards Israel and Palestine since October 7 2023"/>
    <d v="2025-03-31T00:00:00"/>
    <n v="2"/>
    <s v="_x000d__x000a_133739.19_x000d__x000a_"/>
    <s v="_x000d__x000a_67550_x000d__x000a_"/>
    <s v="_x000d__x000a_0_x000d__x000a_"/>
  </r>
  <r>
    <s v="10/12/2025"/>
    <s v="2025-8392"/>
    <s v="Higher Education Awards"/>
    <s v="Andile Madlala"/>
    <s v="mandile251@gmail.com"/>
    <x v="0"/>
    <x v="1"/>
    <x v="0"/>
    <x v="0"/>
    <x v="0"/>
    <x v="2"/>
    <s v="Humanities"/>
    <s v="CB"/>
    <x v="0"/>
    <s v="Completed"/>
    <s v="University of KwaZulu-Natal"/>
    <s v="PhD in Science Education"/>
    <s v="Reimagining School Science Education: Interrogating Indigenous Knowledge Integration in Environmental Studies."/>
    <d v="2026-01-06T00:00:00"/>
    <n v="3"/>
    <s v="_x000d__x000a_276000_x000d__x000a_"/>
    <s v="_x000d__x000a_314000_x000d__x000a_"/>
    <s v="_x000d__x000a_340000_x000d__x000a_"/>
  </r>
  <r>
    <s v="10/12/2025"/>
    <s v="2025-9299"/>
    <s v="Higher Education Awards"/>
    <s v="Dorcas Njanjeni"/>
    <s v="dnjanjeni@gmail.com"/>
    <x v="3"/>
    <x v="1"/>
    <x v="0"/>
    <x v="1"/>
    <x v="0"/>
    <x v="8"/>
    <s v="Health Sciences"/>
    <s v="CB"/>
    <x v="21"/>
    <s v="Draft"/>
    <s v="University of Witwatersrand"/>
    <s v="PhD in Public Health"/>
    <s v="Exploring the effect of shift work on sleep quality and mental health among South African miners"/>
    <d v="2026-01-01T00:00:00"/>
    <n v="3"/>
    <s v="_x000d__x000a_92467_x000d__x000a_"/>
    <s v="_x000d__x000a_183667_x000d__x000a_"/>
    <s v="_x000d__x000a_90267_x000d__x000a_"/>
  </r>
  <r>
    <s v="10/12/2025"/>
    <s v="2025-9430"/>
    <s v="Higher Education Awards"/>
    <s v="Zerfie Marshet Mihabaw"/>
    <s v="ziye2112@gmail.com"/>
    <x v="0"/>
    <x v="1"/>
    <x v="0"/>
    <x v="1"/>
    <x v="0"/>
    <x v="0"/>
    <s v="Natural Sciences"/>
    <s v="CB"/>
    <x v="0"/>
    <s v="Completed"/>
    <s v="University of Pretoria"/>
    <s v="PhD in physics"/>
    <s v="CO2 conversion to Carbonates"/>
    <d v="2026-01-05T00:00:00"/>
    <n v="3"/>
    <s v="_x000d__x000a_223000_x000d__x000a_"/>
    <s v="_x000d__x000a_216000_x000d__x000a_"/>
    <s v="_x000d__x000a_223000_x000d__x000a_"/>
  </r>
  <r>
    <s v="10/12/2025"/>
    <s v="2025-8491"/>
    <s v="Higher Education Awards"/>
    <s v="Anthea le Roux"/>
    <s v="anthea735@gmail.com"/>
    <x v="0"/>
    <x v="1"/>
    <x v="1"/>
    <x v="1"/>
    <x v="0"/>
    <x v="8"/>
    <s v="Health Sciences"/>
    <s v="CB"/>
    <x v="0"/>
    <s v="Draft"/>
    <s v="University of Pretoria"/>
    <s v="PhD Medical Immunology"/>
    <s v="Breast cancer metabolism and obesity"/>
    <d v="2026-01-01T00:00:00"/>
    <n v="3"/>
    <s v="_x000d__x000a_275000_x000d__x000a_"/>
    <s v="_x000d__x000a_296000_x000d__x000a_"/>
    <s v="_x000d__x000a_317000_x000d__x000a_"/>
  </r>
  <r>
    <s v="10/12/2025"/>
    <s v="2025-8876"/>
    <s v="Higher Education Awards"/>
    <s v="Mompati Mpho Bulayani"/>
    <s v="bulayanimpho45@gmail.com"/>
    <x v="0"/>
    <x v="1"/>
    <x v="0"/>
    <x v="0"/>
    <x v="0"/>
    <x v="1"/>
    <s v="Engineering &amp; the Built Environment"/>
    <s v="CB"/>
    <x v="0"/>
    <s v="Draft"/>
    <s v="University Of South Africa"/>
    <s v="DOCTORAL DEGREE IN ENGINEERING"/>
    <s v="Development of Ti-Al-Ni-Zn High-Entropy Alloy Reinforced with Carbon Nanotubes for High-Temperature Applications"/>
    <d v="2026-01-11T00:00:00"/>
    <n v="3"/>
    <s v="_x000d__x000a_230380_x000d__x000a_"/>
    <s v="_x000d__x000a_265380_x000d__x000a_"/>
    <s v="_x000d__x000a_270380_x000d__x000a_"/>
  </r>
  <r>
    <s v="10/12/2025"/>
    <s v="2025-9630"/>
    <s v="Higher Education Awards"/>
    <s v="Kwazi Mazibuko"/>
    <s v="kwazim@sun.ac.za"/>
    <x v="0"/>
    <x v="0"/>
    <x v="0"/>
    <x v="0"/>
    <x v="0"/>
    <x v="6"/>
    <s v="Social Sciences"/>
    <s v="CB"/>
    <x v="0"/>
    <s v="Completed"/>
    <s v="Stellenbosch University"/>
    <s v="Masters in Psychology"/>
    <s v="Entrepreneurial Thinking and Career Transitions in Athletes: A Qualitative Study on South African Footballers"/>
    <d v="2025-02-03T00:00:00"/>
    <n v="2"/>
    <s v="_x000d__x000a_93110_x000d__x000a_"/>
    <s v="_x000d__x000a_168754_x000d__x000a_"/>
    <s v="_x000d__x000a_0_x000d__x000a_"/>
  </r>
  <r>
    <s v="10/12/2025"/>
    <s v="2025-8776"/>
    <s v="Higher Education Awards"/>
    <s v="SIKELWA NXADI"/>
    <s v="juliesaidbe@gmail.com"/>
    <x v="0"/>
    <x v="1"/>
    <x v="0"/>
    <x v="1"/>
    <x v="0"/>
    <x v="2"/>
    <s v="Humanities"/>
    <s v="CB"/>
    <x v="0"/>
    <s v="Completed"/>
    <s v="University of Cape Town"/>
    <s v="Doctoral"/>
    <s v="Literatures &amp; Visual Culture"/>
    <d v="2026-02-02T00:00:00"/>
    <n v="3"/>
    <s v="_x000d__x000a_332170_x000d__x000a_"/>
    <s v="_x000d__x000a_309170_x000d__x000a_"/>
    <s v="_x000d__x000a_309170_x000d__x000a_"/>
  </r>
  <r>
    <s v="10/12/2025"/>
    <s v="2025-9621"/>
    <s v="Higher Education Awards"/>
    <s v="Nokubonga Mkhonto"/>
    <s v="nokubongamkhonto99@gmail.com"/>
    <x v="3"/>
    <x v="1"/>
    <x v="0"/>
    <x v="1"/>
    <x v="0"/>
    <x v="7"/>
    <s v="Law"/>
    <s v="CB"/>
    <x v="8"/>
    <s v="Draft"/>
    <s v="University of Witwatersrand"/>
    <s v="Doctorate in Philosophy of Laws"/>
    <s v="Cyber/Medical Law"/>
    <d v="2026-01-05T00:00:00"/>
    <n v="3"/>
    <s v="_x000d__x000a_25000_x000d__x000a_"/>
    <s v="_x000d__x000a_25000_x000d__x000a_"/>
    <s v="_x000d__x000a_0_x000d__x000a_"/>
  </r>
  <r>
    <s v="10/12/2025"/>
    <s v="2025-9018"/>
    <s v="Higher Education Awards"/>
    <s v="Mogamat Rida Desai"/>
    <s v="rida.desai999@gmail.com"/>
    <x v="3"/>
    <x v="1"/>
    <x v="2"/>
    <x v="0"/>
    <x v="0"/>
    <x v="8"/>
    <s v="Health Sciences"/>
    <s v="CB"/>
    <x v="0"/>
    <s v="Completed"/>
    <s v="University of the Western Cape"/>
    <s v="Doctor of philosophy in sport science"/>
    <s v="The development of an inclusive framework for high  performance sport centres for athletes with disabilities."/>
    <d v="2021-07-01T00:00:00"/>
    <n v="2"/>
    <s v="_x000d__x000a_42000_x000d__x000a_"/>
    <s v="_x000d__x000a_51500_x000d__x000a_"/>
    <s v="_x000d__x000a_0_x000d__x000a_"/>
  </r>
  <r>
    <s v="10/12/2025"/>
    <s v="2025-9317"/>
    <s v="Higher Education Awards"/>
    <s v="Thobeka Fortunate Vilakazi"/>
    <s v="thobekafortunatevilakazi82@gmail.com"/>
    <x v="0"/>
    <x v="0"/>
    <x v="0"/>
    <x v="1"/>
    <x v="0"/>
    <x v="2"/>
    <s v="Humanities"/>
    <s v="CB"/>
    <x v="0"/>
    <s v="Completed"/>
    <s v="University of Johannesburg"/>
    <s v="Masters in Applied Linguistic"/>
    <s v="Investigating Translanguaging Praxis-Possibilities in First-Year Engineering Tutorials for Multilinguals: An Urban South African University Case Study"/>
    <d v="2026-01-05T00:00:00"/>
    <n v="1"/>
    <s v="_x000d__x000a_99031_x000d__x000a_"/>
    <s v="_x000d__x000a_0_x000d__x000a_"/>
    <s v="_x000d__x000a_0_x000d__x000a_"/>
  </r>
  <r>
    <s v="10/12/2025"/>
    <s v="2025-9532"/>
    <s v="Higher Education Awards"/>
    <s v="Nelisiwe Nokubonga Sithole"/>
    <s v="nelisiwes677@gmail.com"/>
    <x v="0"/>
    <x v="0"/>
    <x v="0"/>
    <x v="1"/>
    <x v="0"/>
    <x v="6"/>
    <s v="Social Sciences"/>
    <s v="CB"/>
    <x v="0"/>
    <s v="Completed"/>
    <s v="University of Johannesburg"/>
    <s v="Masters in Applied Linguistics"/>
    <s v="Exploring Language-in-Education-Policy Praxis: A Case Study of a Gauteng Township Primary School Study"/>
    <d v="2025-01-05T00:00:00"/>
    <n v="1"/>
    <s v="_x000d__x000a_109488_x000d__x000a_"/>
    <s v="_x000d__x000a_0_x000d__x000a_"/>
    <s v="_x000d__x000a_0_x000d__x000a_"/>
  </r>
  <r>
    <s v="10/12/2025"/>
    <s v="2025-8245"/>
    <s v="Higher Education Awards"/>
    <s v="Sisonke Sigonya"/>
    <s v="sigonyasisonke@gmail.com"/>
    <x v="0"/>
    <x v="2"/>
    <x v="0"/>
    <x v="1"/>
    <x v="0"/>
    <x v="0"/>
    <s v="Applied Sciences"/>
    <s v="CB"/>
    <x v="0"/>
    <s v="Completed"/>
    <s v="University of South Africa"/>
    <s v="Postdoctoral research"/>
    <s v="Development of Advanced Composite Materials for Sensor and Energy Storage Applications"/>
    <d v="2025-01-06T00:00:00"/>
    <n v="2"/>
    <s v="_x000d__x000a_29600_x000d__x000a_"/>
    <s v="_x000d__x000a_29600_x000d__x000a_"/>
    <s v="_x000d__x000a_29600_x000d__x000a_"/>
  </r>
  <r>
    <s v="10/12/2025"/>
    <s v="2025-9525"/>
    <s v="Higher Education Awards"/>
    <s v="Kamogelo Molapisi"/>
    <s v="kamogelomolapisi208@gmail.com"/>
    <x v="0"/>
    <x v="0"/>
    <x v="0"/>
    <x v="1"/>
    <x v="0"/>
    <x v="4"/>
    <s v="Commerce &amp; Management"/>
    <s v="CB"/>
    <x v="0"/>
    <s v="Completed"/>
    <s v="Stellenbosch University"/>
    <s v="MPhil Development Finance"/>
    <s v="Infrastructure and Climate Finance &amp; Capital Mobilisation in Emerging Markets"/>
    <d v="2026-01-26T00:00:00"/>
    <n v="2"/>
    <s v="_x000d__x000a_110768_x000d__x000a_"/>
    <s v="_x000d__x000a_110768_x000d__x000a_"/>
    <s v="_x000d__x000a_0_x000d__x000a_"/>
  </r>
  <r>
    <s v="10/12/2025"/>
    <s v="2025-9425"/>
    <s v="Higher Education Awards"/>
    <s v="Ayrton Griffin-Ellis"/>
    <s v="ayrtongriffinellis@gmail.com"/>
    <x v="0"/>
    <x v="0"/>
    <x v="1"/>
    <x v="0"/>
    <x v="0"/>
    <x v="4"/>
    <s v="Commerce &amp; Management"/>
    <s v="CB"/>
    <x v="0"/>
    <s v="Completed"/>
    <s v="University of Cape Town"/>
    <s v="Master of Commerce specializing in Economics"/>
    <s v="Resolving the tension between achieving fiscal sustainability in the face of an potential fiscal crisis and economic growth amid the rising debt-burden in the South African economy."/>
    <d v="2026-01-19T00:00:00"/>
    <n v="1"/>
    <s v="_x000d__x000a_230000_x000d__x000a_"/>
    <s v="_x000d__x000a_0_x000d__x000a_"/>
    <s v="_x000d__x000a_0_x000d__x000a_"/>
  </r>
  <r>
    <s v="10/12/2025"/>
    <s v="2025-9597"/>
    <s v="Higher Education Awards"/>
    <s v="William Arthur Bishop"/>
    <s v="abishop@sun.ac.za"/>
    <x v="3"/>
    <x v="1"/>
    <x v="1"/>
    <x v="0"/>
    <x v="0"/>
    <x v="4"/>
    <s v="Commerce &amp; Management"/>
    <s v="CB"/>
    <x v="0"/>
    <s v="Completed"/>
    <s v="Stellenbosch University"/>
    <s v="PhD in Accounting"/>
    <s v="Why management control systems steer managerial behaviour heterogeneously in the diversity, equity, and inclusion context: the role of individual beliefs"/>
    <d v="2026-01-01T00:00:00"/>
    <n v="3"/>
    <s v="_x000d__x000a_150000_x000d__x000a_"/>
    <s v="_x000d__x000a_100000_x000d__x000a_"/>
    <s v="_x000d__x000a_50000_x000d__x000a_"/>
  </r>
  <r>
    <s v="10/12/2025"/>
    <s v="2025-9262"/>
    <s v="Higher Education Awards"/>
    <s v="Arunprasad Jayaraman"/>
    <s v="arunaug21@gmail.com"/>
    <x v="0"/>
    <x v="2"/>
    <x v="4"/>
    <x v="0"/>
    <x v="0"/>
    <x v="1"/>
    <s v="Engineering &amp; the Built Environment"/>
    <s v="CB"/>
    <x v="0"/>
    <s v="Completed"/>
    <s v="University of the Witwatersrand"/>
    <s v="Mechanical, Industrial  and Aeronautical Engineering"/>
    <s v="Evaluation of Sustainability, Emission Control, and Tribological Characteristics of a CRDI Engine Fueled with Hydrogen and Metal Oxide-Doped Third-Generation Biofuel"/>
    <d v="2026-01-01T00:00:00"/>
    <n v="2"/>
    <s v="_x000d__x000a_500000_x000d__x000a_"/>
    <s v="_x000d__x000a_495000_x000d__x000a_"/>
    <s v="_x000d__x000a_0_x000d__x000a_"/>
  </r>
  <r>
    <s v="10/12/2025"/>
    <s v="2025-9006"/>
    <s v="Higher Education Awards"/>
    <s v="Chwayita Ntwasa"/>
    <s v="chwayita07@gmail.com"/>
    <x v="3"/>
    <x v="0"/>
    <x v="0"/>
    <x v="1"/>
    <x v="0"/>
    <x v="8"/>
    <s v="Health Sciences"/>
    <s v="CB"/>
    <x v="0"/>
    <s v="Completed"/>
    <s v="University of Cape Town"/>
    <s v="MSc Epidemiology &amp; Biostatistics"/>
    <s v="Examining Social Factors Shaping Risky Sexual Behaviour in Adolescent Girls.v"/>
    <d v="2026-02-16T00:00:00"/>
    <n v="2"/>
    <s v="_x000d__x000a_276900_x000d__x000a_"/>
    <s v="_x000d__x000a_231480_x000d__x000a_"/>
    <s v="_x000d__x000a_0_x000d__x000a_"/>
  </r>
  <r>
    <s v="10/12/2025"/>
    <s v="2025-9314"/>
    <s v="Higher Education Awards"/>
    <s v="MOTSEOTSILE ISAAC MOSOAILE"/>
    <s v="motseisaac98@gmail.com"/>
    <x v="3"/>
    <x v="0"/>
    <x v="0"/>
    <x v="0"/>
    <x v="0"/>
    <x v="2"/>
    <s v="Other"/>
    <s v="CB"/>
    <x v="33"/>
    <s v="Draft"/>
    <s v="University of johannesburg and wits"/>
    <s v="masters in curriculum studies"/>
    <s v="teachers collaboration to the effective implementation of the curriculums"/>
    <d v="2025-08-19T00:00:00"/>
    <n v="2"/>
    <s v="_x000d__x000a_80000_x000d__x000a_"/>
    <s v="_x000d__x000a_80000_x000d__x000a_"/>
    <s v="_x000d__x000a_0_x000d__x000a_"/>
  </r>
  <r>
    <s v="10/12/2025"/>
    <s v="2025-9572"/>
    <s v="Higher Education Awards"/>
    <s v="RENEILWE ANNAH MAPOTSE"/>
    <s v="gail43260@gmail.com"/>
    <x v="3"/>
    <x v="0"/>
    <x v="0"/>
    <x v="1"/>
    <x v="0"/>
    <x v="2"/>
    <s v="Humanities"/>
    <s v="CB"/>
    <x v="1"/>
    <s v="Completed"/>
    <s v="University of South Africa"/>
    <s v="Master of Arts in Clinical Psychology"/>
    <s v="Clinical Interventions and Therapy"/>
    <d v="2026-02-02T00:00:00"/>
    <n v="3"/>
    <s v="_x000d__x000a_11600_x000d__x000a_"/>
    <s v="_x000d__x000a_16835_x000d__x000a_"/>
    <s v="_x000d__x000a_16835_x000d__x000a_"/>
  </r>
  <r>
    <s v="10/12/2025"/>
    <s v="2025-9560"/>
    <s v="Higher Education Awards"/>
    <s v="Ntombenhle Philisiwe Mchunu"/>
    <s v="202014592@stu.unizulu.ac.za"/>
    <x v="3"/>
    <x v="0"/>
    <x v="0"/>
    <x v="1"/>
    <x v="0"/>
    <x v="5"/>
    <s v="Natural Sciences"/>
    <s v="CB"/>
    <x v="21"/>
    <s v="Completed"/>
    <s v="University of Zululand"/>
    <s v="Chemistry"/>
    <s v="Synthesis of cellulose based-iodine biosorbents for potential removal of pathogens in contaminated water."/>
    <d v="2025-02-14T00:00:00"/>
    <n v="1"/>
    <s v="_x000d__x000a_125000_x000d__x000a_"/>
    <s v="_x000d__x000a_0_x000d__x000a_"/>
    <s v="_x000d__x000a_0_x000d__x000a_"/>
  </r>
  <r>
    <s v="10/12/2025"/>
    <s v="2025-9061"/>
    <s v="Higher Education Awards"/>
    <s v="Louvina Elizabeth van der Laan"/>
    <s v="vdlaan@sun.ac.za"/>
    <x v="0"/>
    <x v="3"/>
    <x v="1"/>
    <x v="1"/>
    <x v="0"/>
    <x v="8"/>
    <s v="Health Sciences"/>
    <s v="CB"/>
    <x v="34"/>
    <s v="Completed"/>
    <s v="Stellenbosch University (alternative coul dalso be : University of Cape Town)"/>
    <s v="Advanced population pharmacokinetic, pharmacodynamic and pharmacogenetic modelling."/>
    <s v="1 Optimising childhood TB meningitis treatment through CSF drug exposure analysis 2  Population pharmacokinetics of clofazimine in children, adults, and pregnant women with rifampicin-resistant TB: Towards harmonised dosing strategies"/>
    <d v="2025-01-01T00:00:00"/>
    <n v="1"/>
    <s v="_x000d__x000a_1656656.4_x000d__x000a_"/>
    <s v="_x000d__x000a_0_x000d__x000a_"/>
    <s v="_x000d__x000a_0_x000d__x000a_"/>
  </r>
  <r>
    <s v="10/12/2025"/>
    <s v="2025-9037"/>
    <s v="Higher Education Awards"/>
    <s v="Shirah Theron"/>
    <s v="20698976@sun.ac.za"/>
    <x v="0"/>
    <x v="2"/>
    <x v="1"/>
    <x v="1"/>
    <x v="0"/>
    <x v="2"/>
    <s v="Humanities"/>
    <s v="CB"/>
    <x v="0"/>
    <s v="Completed"/>
    <s v="Stellenbosch University"/>
    <s v="Post-Doctorate in Philosophy"/>
    <s v="Philosophy of Sex and Sexual Ethics"/>
    <d v="2026-01-01T00:00:00"/>
    <n v="2"/>
    <s v="_x000d__x000a_316400_x000d__x000a_"/>
    <s v="_x000d__x000a_358160_x000d__x000a_"/>
    <s v="_x000d__x000a_0_x000d__x000a_"/>
  </r>
  <r>
    <s v="10/12/2025"/>
    <s v="2025-9551"/>
    <s v="Higher Education Awards"/>
    <s v="Rowan Madzamba"/>
    <s v="rowanmadzamba@gmail.com"/>
    <x v="0"/>
    <x v="2"/>
    <x v="0"/>
    <x v="0"/>
    <x v="0"/>
    <x v="8"/>
    <s v="Health Sciences"/>
    <s v="CB"/>
    <x v="0"/>
    <s v="Draft"/>
    <s v="University of KwaZulu-Natal and  Stellenbosch University"/>
    <s v="Post-doctoral study"/>
    <s v="Migrant Women, Urban Informal Settlements, and the Politics of Food Security in South Africa"/>
    <d v="2026-03-01T00:00:00"/>
    <n v="2"/>
    <s v="_x000d__x000a_750000_x000d__x000a_"/>
    <s v="_x000d__x000a_750000_x000d__x000a_"/>
    <s v="_x000d__x000a_0_x000d__x000a_"/>
  </r>
  <r>
    <s v="10/12/2025"/>
    <s v="2025-9555"/>
    <s v="Higher Education Awards"/>
    <s v="Bonginkosi Thango"/>
    <s v="bonginkosit@uj.ac.za"/>
    <x v="1"/>
    <x v="3"/>
    <x v="0"/>
    <x v="0"/>
    <x v="0"/>
    <x v="1"/>
    <s v="Engineering &amp; the Built Environment"/>
    <s v="CB"/>
    <x v="6"/>
    <s v="Completed"/>
    <e v="#N/A"/>
    <e v="#N/A"/>
    <e v="#N/A"/>
    <e v="#N/A"/>
    <e v="#N/A"/>
    <e v="#N/A"/>
    <e v="#N/A"/>
    <e v="#N/A"/>
  </r>
  <r>
    <s v="10/12/2025"/>
    <s v="2025-8289"/>
    <s v="Higher Education Awards"/>
    <s v="Amanda Dludla"/>
    <s v="amandadludla998@gmail.com"/>
    <x v="0"/>
    <x v="0"/>
    <x v="0"/>
    <x v="1"/>
    <x v="0"/>
    <x v="5"/>
    <s v="Natural Sciences"/>
    <s v="CB"/>
    <x v="0"/>
    <s v="Completed"/>
    <s v="University of zululand"/>
    <s v="Science"/>
    <s v="Synthesis of carboxymethyl cellulose-chitosan-metal oxide hybrid aerogels for enhanced adsorption of heavy metals in polluted water"/>
    <d v="2025-06-10T00:00:00"/>
    <n v="1"/>
    <s v="_x000d__x000a_130000_x000d__x000a_"/>
    <s v="_x000d__x000a_0_x000d__x000a_"/>
    <s v="_x000d__x000a_0_x000d__x000a_"/>
  </r>
  <r>
    <s v="10/12/2025"/>
    <s v="2025-9233"/>
    <s v="Higher Education Awards"/>
    <s v="Sarel Marais"/>
    <s v="sarelmetalz@gmail.com"/>
    <x v="0"/>
    <x v="2"/>
    <x v="1"/>
    <x v="0"/>
    <x v="0"/>
    <x v="2"/>
    <s v="Humanities"/>
    <s v="CB"/>
    <x v="0"/>
    <s v="Completed"/>
    <s v="University of Pretoria"/>
    <s v="Postdoctoral study"/>
    <s v="Philosophy of Disability, technology, and access"/>
    <d v="2025-08-01T00:00:00"/>
    <n v="1"/>
    <s v="_x000d__x000a_223200_x000d__x000a_"/>
    <s v="_x000d__x000a_0_x000d__x000a_"/>
    <s v="_x000d__x000a_0_x000d__x000a_"/>
  </r>
  <r>
    <s v="10/12/2025"/>
    <s v="2025-8712"/>
    <s v="Higher Education Awards"/>
    <s v="Thandolwethu Shisa"/>
    <s v="thandolwethutshisa@gmail.com"/>
    <x v="0"/>
    <x v="0"/>
    <x v="0"/>
    <x v="1"/>
    <x v="0"/>
    <x v="4"/>
    <s v="Commerce &amp; Management"/>
    <s v="CB"/>
    <x v="0"/>
    <s v="Completed"/>
    <s v="University of the Witwatersrand"/>
    <s v="Master of Management Governance (Development and Economics)"/>
    <s v="Governance (Development and Economics)"/>
    <d v="2026-02-09T00:00:00"/>
    <n v="1"/>
    <s v="_x000d__x000a_181466_x000d__x000a_"/>
    <s v="_x000d__x000a_0_x000d__x000a_"/>
    <s v="_x000d__x000a_0_x000d__x000a_"/>
  </r>
  <r>
    <s v="10/12/2025"/>
    <s v="2025-8432"/>
    <s v="Higher Education Awards"/>
    <s v="THABISO MAKGATA"/>
    <s v="ThabisoMakgata04@gmail.com"/>
    <x v="3"/>
    <x v="0"/>
    <x v="0"/>
    <x v="0"/>
    <x v="0"/>
    <x v="8"/>
    <s v="Health Sciences"/>
    <s v="CB"/>
    <x v="0"/>
    <s v="Completed"/>
    <s v="WITS UNIVERSITY"/>
    <s v="Master of Science in Medicine Specializing in Biokinetics"/>
    <s v="Glycaemic Control and Cardiovascular Exercise"/>
    <d v="2026-01-05T00:00:00"/>
    <n v="2"/>
    <s v="_x000d__x000a_262000_x000d__x000a_"/>
    <s v="_x000d__x000a_259000_x000d__x000a_"/>
    <s v="_x000d__x000a_0_x000d__x000a_"/>
  </r>
  <r>
    <s v="10/12/2025"/>
    <s v="2025-9544"/>
    <s v="Higher Education Awards"/>
    <s v="Muhluri Lesley Baloyi"/>
    <s v="Muhlurilesley98@gmail.com"/>
    <x v="1"/>
    <x v="3"/>
    <x v="0"/>
    <x v="0"/>
    <x v="0"/>
    <x v="1"/>
    <s v="Engineering &amp; the Built Environment"/>
    <s v="CB"/>
    <x v="6"/>
    <s v="Completed"/>
    <e v="#N/A"/>
    <e v="#N/A"/>
    <e v="#N/A"/>
    <e v="#N/A"/>
    <e v="#N/A"/>
    <e v="#N/A"/>
    <e v="#N/A"/>
    <e v="#N/A"/>
  </r>
  <r>
    <s v="10/12/2025"/>
    <s v="2025-8544"/>
    <s v="Higher Education Awards"/>
    <s v="Kuhle Mcinga"/>
    <s v="mcingakuhle@gmail.com"/>
    <x v="0"/>
    <x v="1"/>
    <x v="0"/>
    <x v="1"/>
    <x v="0"/>
    <x v="8"/>
    <s v="Health Sciences"/>
    <s v="CB"/>
    <x v="0"/>
    <s v="Completed"/>
    <s v="University of Cape Town"/>
    <s v="PhD Bioinformatics"/>
    <s v="Creating an African near telomere-to-telomere genome and investigating its usefulness in an African population."/>
    <d v="2026-01-13T00:00:00"/>
    <n v="2"/>
    <s v="_x000d__x000a_224049.92_x000d__x000a_"/>
    <s v="_x000d__x000a_212461.73_x000d__x000a_"/>
    <s v="_x000d__x000a_28000_x000d__x000a_"/>
  </r>
  <r>
    <s v="10/12/2025"/>
    <s v="2025-9528"/>
    <s v="Higher Education Awards"/>
    <s v="Deon van der Mescht"/>
    <s v="flyingwxsa@gmail.com"/>
    <x v="0"/>
    <x v="1"/>
    <x v="1"/>
    <x v="0"/>
    <x v="0"/>
    <x v="5"/>
    <s v="Natural Sciences"/>
    <s v="CB"/>
    <x v="0"/>
    <s v="Completed"/>
    <s v="University of Pretoria"/>
    <s v="Doctorate"/>
    <s v="Mountain wave induced turbulence features forming inland from the Tsitsikamma Mountains during south westerly wind events."/>
    <d v="2025-02-01T00:00:00"/>
    <n v="2"/>
    <s v="_x000d__x000a_103720_x000d__x000a_"/>
    <s v="_x000d__x000a_65170_x000d__x000a_"/>
    <s v="_x000d__x000a_0_x000d__x000a_"/>
  </r>
  <r>
    <s v="10/12/2025"/>
    <s v="2025-9354"/>
    <s v="Higher Education Awards"/>
    <s v="Rentia Lourens"/>
    <s v="rentialourens17@gmail.com"/>
    <x v="0"/>
    <x v="2"/>
    <x v="1"/>
    <x v="1"/>
    <x v="0"/>
    <x v="8"/>
    <s v="Health Sciences"/>
    <s v="CB"/>
    <x v="0"/>
    <s v="Completed"/>
    <s v="University of Pretoria"/>
    <s v="Postdoctoral Fellowship in Pharmacology"/>
    <s v="Antimicrobial surveillance in the South African context."/>
    <d v="2026-01-01T00:00:00"/>
    <n v="2"/>
    <s v="_x000d__x000a_466000_x000d__x000a_"/>
    <s v="_x000d__x000a_495000_x000d__x000a_"/>
    <s v="_x000d__x000a_0_x000d__x000a_"/>
  </r>
  <r>
    <s v="10/12/2025"/>
    <s v="2025-8585"/>
    <s v="Higher Education Awards"/>
    <s v="Muneiwa Mudau"/>
    <s v="mmuneiwa032@gmail.com"/>
    <x v="0"/>
    <x v="0"/>
    <x v="0"/>
    <x v="1"/>
    <x v="0"/>
    <x v="8"/>
    <s v="Natural Sciences"/>
    <s v="CB"/>
    <x v="0"/>
    <s v="Completed"/>
    <s v="University of Western Cape"/>
    <s v="MSc Pharmaceutical Science"/>
    <s v="Design and evaluation of pyrazinoic acid loaded PCL nanoparticles to overcome pyrazinamide resistance in mycoacteria"/>
    <d v="2025-02-04T00:00:00"/>
    <n v="1"/>
    <s v="_x000d__x000a_188045_x000d__x000a_"/>
    <s v="_x000d__x000a_0_x000d__x000a_"/>
    <s v="_x000d__x000a_0_x000d__x000a_"/>
  </r>
  <r>
    <s v="10/12/2025"/>
    <s v="2025-8608"/>
    <s v="Higher Education Awards"/>
    <s v="ntokozo dladla"/>
    <s v="dladlantokozo1@gmail.com"/>
    <x v="0"/>
    <x v="0"/>
    <x v="0"/>
    <x v="1"/>
    <x v="0"/>
    <x v="6"/>
    <s v="Social Sciences"/>
    <s v="CB"/>
    <x v="0"/>
    <s v="Completed"/>
    <s v="University of Zululand"/>
    <s v="Masters Degree"/>
    <s v="The Organizational Structure and Operations of the National Party,1970-1980"/>
    <d v="2017-02-17T00:00:00"/>
    <n v="1"/>
    <s v="_x000d__x000a_-18713_x000d__x000a_"/>
    <s v="_x000d__x000a_0_x000d__x000a_"/>
    <s v="_x000d__x000a_0_x000d__x000a_"/>
  </r>
  <r>
    <s v="10/12/2025"/>
    <s v="2025-9957"/>
    <s v="Higher Education Awards"/>
    <s v="Musa Jaiteh"/>
    <s v="mjaiteh1993@gmail.com"/>
    <x v="0"/>
    <x v="2"/>
    <x v="0"/>
    <x v="0"/>
    <x v="0"/>
    <x v="8"/>
    <s v="Health Sciences"/>
    <s v="EM"/>
    <x v="0"/>
    <s v="Completed"/>
    <s v="University of Johannesburg"/>
    <s v="Postdoctoral"/>
    <s v="APPLICATION OF MACHINE LEARNING FOR HIV SURVEILLANCE AMONG ADOLESCENT GIRLS AND YOUNG WOMEN IN SOUTH AFRICA: A FRAMEWORK TOWARD EPIDEMIC CONTROL"/>
    <d v="2026-01-01T00:00:00"/>
    <n v="2"/>
    <s v="_x000d__x000a_444000_x000d__x000a_"/>
    <s v="_x000d__x000a_444000_x000d__x000a_"/>
    <s v="_x000d__x000a_0_x000d__x000a_"/>
  </r>
  <r>
    <s v="10/12/2025"/>
    <s v="2025-10096"/>
    <s v="Higher Education Awards"/>
    <s v="Wilton KHUMALO"/>
    <s v="d.w.kwilton@gmail.com"/>
    <x v="0"/>
    <x v="1"/>
    <x v="0"/>
    <x v="0"/>
    <x v="0"/>
    <x v="8"/>
    <s v="Health Sciences"/>
    <s v="EM"/>
    <x v="0"/>
    <s v="Completed"/>
    <s v="The University of the Free State"/>
    <s v="PhD Studies"/>
    <s v="AI-Driven Occupational Dose Monitoring and Radiation Risk Assessment and Mitigation in Interventional Radiology in Eswatini"/>
    <d v="2025-01-01T00:00:00"/>
    <n v="3"/>
    <s v="_x000d__x000a_99370_x000d__x000a_"/>
    <s v="_x000d__x000a_50370_x000d__x000a_"/>
    <s v="_x000d__x000a_36670_x000d__x000a_"/>
  </r>
  <r>
    <s v="10/12/2025"/>
    <s v="2025-8753"/>
    <s v="Higher Education Awards"/>
    <s v="Kanyiso Kezile"/>
    <s v="kezilekanyiso88@gmail.com"/>
    <x v="3"/>
    <x v="1"/>
    <x v="0"/>
    <x v="0"/>
    <x v="0"/>
    <x v="7"/>
    <s v="Law"/>
    <s v="EM"/>
    <x v="0"/>
    <s v="Completed"/>
    <s v="University of Witwatersrand"/>
    <s v="PhD"/>
    <s v="Evaluating the efficacy of contractual remedies in smart contracts: A comparative study of South African laws and selected jurisdictions"/>
    <d v="2025-07-01T00:00:00"/>
    <n v="3"/>
    <s v="_x000d__x000a_33000_x000d__x000a_"/>
    <s v="_x000d__x000a_33000_x000d__x000a_"/>
    <s v="_x000d__x000a_33000_x000d__x000a_"/>
  </r>
  <r>
    <s v="10/12/2025"/>
    <s v="2025-9919"/>
    <s v="Higher Education Awards"/>
    <s v="Mduduzi Vilakazi"/>
    <s v="2483004@students.wits.ac.za"/>
    <x v="0"/>
    <x v="0"/>
    <x v="0"/>
    <x v="0"/>
    <x v="0"/>
    <x v="8"/>
    <s v="Health Sciences"/>
    <s v="EM"/>
    <x v="0"/>
    <s v="Draft"/>
    <s v="University of the Witwatersrand"/>
    <s v="masters"/>
    <s v="Histomorphological changes in major arterial vessels of white South African geriatric population"/>
    <d v="2025-01-15T00:00:00"/>
    <n v="2"/>
    <s v="_x000d__x000a_170000_x000d__x000a_"/>
    <s v="_x000d__x000a_170000_x000d__x000a_"/>
    <s v="_x000d__x000a_0_x000d__x000a_"/>
  </r>
  <r>
    <s v="10/12/2025"/>
    <s v="2025-10024"/>
    <s v="Higher Education Awards"/>
    <s v="Sindisiwe Magubane"/>
    <s v="sindimagubane05@gmail.com"/>
    <x v="0"/>
    <x v="0"/>
    <x v="0"/>
    <x v="1"/>
    <x v="0"/>
    <x v="6"/>
    <s v="Social Sciences"/>
    <s v="EM"/>
    <x v="0"/>
    <s v="Draft"/>
    <s v="The University of the Witwatersrand"/>
    <s v="Masters in Psychology by Research (Dissertation)"/>
    <s v="“Faith, Identity, and Psychological Well-being: Women’s Mental Health Experiences in Age-Disparate and Polygynous Marriages within Isonto lamaNazaretha.”"/>
    <d v="2026-01-01T00:00:00"/>
    <n v="1"/>
    <s v="_x000d__x000a_51000_x000d__x000a_"/>
    <s v="_x000d__x000a_0_x000d__x000a_"/>
    <s v="_x000d__x000a_0_x000d__x000a_"/>
  </r>
  <r>
    <s v="10/12/2025"/>
    <s v="2025-9933"/>
    <s v="Higher Education Awards"/>
    <s v="Tamsyn Alexander"/>
    <s v="tamsynalex@gmail.com"/>
    <x v="0"/>
    <x v="0"/>
    <x v="2"/>
    <x v="1"/>
    <x v="0"/>
    <x v="2"/>
    <s v="Humanities"/>
    <s v="EM"/>
    <x v="24"/>
    <s v="Draft"/>
    <s v="The University of Cape Town"/>
    <s v=""/>
    <s v="‘Re-signifying “Coloured” identity in South Africa: Liminal performativity, vernacular humour, and trickster logics in the Third Space’"/>
    <d v="2025-02-13T00:00:00"/>
    <n v="1"/>
    <s v="_x000d__x000a_48000_x000d__x000a_"/>
    <s v="_x000d__x000a_0_x000d__x000a_"/>
    <s v="_x000d__x000a_0_x000d__x000a_"/>
  </r>
  <r>
    <s v="10/12/2025"/>
    <s v="2025-8629"/>
    <s v="Higher Education Awards"/>
    <s v="NV Maninjwa"/>
    <s v="viwemaninjwa@icloud.com"/>
    <x v="0"/>
    <x v="0"/>
    <x v="0"/>
    <x v="1"/>
    <x v="0"/>
    <x v="1"/>
    <s v="Engineering &amp; the Built Environment"/>
    <s v="EM"/>
    <x v="0"/>
    <s v="Completed"/>
    <s v="University of Cape Town"/>
    <s v="Master of Science in Technology and Innovation Management"/>
    <s v="Navigating the Regulatory Landscape: A Comparative Analysis of Timber Adoption in South Africa and Lessons from the Global North"/>
    <d v="2025-02-03T00:00:00"/>
    <n v="1"/>
    <s v="_x000d__x000a_1108000_x000d__x000a_"/>
    <s v="_x000d__x000a_0_x000d__x000a_"/>
    <s v="_x000d__x000a_0_x000d__x000a_"/>
  </r>
  <r>
    <s v="10/12/2025"/>
    <s v="2025-9613"/>
    <s v="Higher Education Awards"/>
    <s v="William Kah Chu"/>
    <s v="onekind21@gmail.com"/>
    <x v="0"/>
    <x v="2"/>
    <x v="0"/>
    <x v="0"/>
    <x v="0"/>
    <x v="8"/>
    <s v="Natural Sciences"/>
    <s v="EM"/>
    <x v="0"/>
    <s v="Completed"/>
    <s v="University of Cape Town"/>
    <s v="Bioinorganic/Medicinal Chemistry"/>
    <s v="SAHA-Functionalized Arene Ru(II) Complexes for Targeted Cancer Therapy and DNA Sensing"/>
    <d v="2026-01-26T00:00:00"/>
    <n v="2"/>
    <s v="_x000d__x000a_445500_x000d__x000a_"/>
    <s v="_x000d__x000a_457000_x000d__x000a_"/>
    <s v="_x000d__x000a_0_x000d__x000a_"/>
  </r>
  <r>
    <s v="10/12/2025"/>
    <s v="2025-8576"/>
    <s v="Higher Education Awards"/>
    <s v="Primrose Mbonani"/>
    <s v="primrosenombuso26@gmail.com"/>
    <x v="3"/>
    <x v="0"/>
    <x v="0"/>
    <x v="1"/>
    <x v="0"/>
    <x v="2"/>
    <s v="Humanities"/>
    <s v="EM"/>
    <x v="19"/>
    <s v="Draft"/>
    <s v="University of Cape Town"/>
    <s v="Masters"/>
    <s v="The impact of increased screen time on normative sexualized play of children aged 2 to 5 in South Africa"/>
    <d v="2025-01-27T00:00:00"/>
    <n v="1"/>
    <s v="_x000d__x000a_120000_x000d__x000a_"/>
    <s v="_x000d__x000a_0_x000d__x000a_"/>
    <s v="_x000d__x000a_0_x000d__x000a_"/>
  </r>
  <r>
    <s v="10/12/2025"/>
    <s v="2025-9819"/>
    <s v="Higher Education Awards"/>
    <s v="Anelisa Mahlungulu"/>
    <s v="anelisamahlungulu@gmail.com"/>
    <x v="0"/>
    <x v="0"/>
    <x v="0"/>
    <x v="1"/>
    <x v="0"/>
    <x v="3"/>
    <s v="Humanities"/>
    <s v="EM"/>
    <x v="0"/>
    <s v="Completed"/>
    <s v="University of Cape Town"/>
    <s v="Master in Music Performance, Coursework and Dissertation"/>
    <s v="Amagokra (Heroes)—A One-Act Opera Composed by Sibusiso Njeza with a Libretto by Asanda Chuma Sopotela: Gender-Based Violence Addressed through Opera"/>
    <d v="2016-02-16T00:00:00"/>
    <n v="1"/>
    <s v="_x000d__x000a_122140_x000d__x000a_"/>
    <s v="_x000d__x000a_0_x000d__x000a_"/>
    <s v="_x000d__x000a_0_x000d__x000a_"/>
  </r>
  <r>
    <s v="10/12/2025"/>
    <s v="2025-10067"/>
    <s v="Higher Education Awards"/>
    <s v="Hannah Hall"/>
    <s v="hannahhall12@icloud.com"/>
    <x v="1"/>
    <x v="0"/>
    <x v="1"/>
    <x v="1"/>
    <x v="0"/>
    <x v="6"/>
    <s v="Social Sciences"/>
    <s v="EM"/>
    <x v="6"/>
    <s v="Completed"/>
    <s v="Stellenbosch University"/>
    <s v="MA Public Sociology and Anthropology"/>
    <s v="Culture and Media Studies"/>
    <d v="2026-01-28T00:00:00"/>
    <n v="2"/>
    <s v="_x000d__x000a_23968_x000d__x000a_"/>
    <s v="_x000d__x000a_8633_x000d__x000a_"/>
    <s v="_x000d__x000a_0_x000d__x000a_"/>
  </r>
  <r>
    <s v="10/12/2025"/>
    <s v="2025-9989"/>
    <s v="Higher Education Awards"/>
    <s v="Ntsika Tyopo"/>
    <s v="ntsikatyopo@gmail.com"/>
    <x v="0"/>
    <x v="0"/>
    <x v="0"/>
    <x v="1"/>
    <x v="0"/>
    <x v="5"/>
    <s v="Natural Sciences"/>
    <s v="EM"/>
    <x v="0"/>
    <s v="Completed"/>
    <s v="Stellenbosch University"/>
    <s v="Chemistry"/>
    <s v="Development and Characterisation of Hydrogen-Bonded Organic Frameworks (HOFs) for  Effluent Gas Capture and Storage"/>
    <d v="2026-01-15T00:00:00"/>
    <n v="2"/>
    <s v="_x000d__x000a_273000_x000d__x000a_"/>
    <s v="_x000d__x000a_166000_x000d__x000a_"/>
    <s v="_x000d__x000a_0_x000d__x000a_"/>
  </r>
  <r>
    <s v="10/12/2025"/>
    <s v="2025-9137"/>
    <s v="Higher Education Awards"/>
    <s v="Oliver Kieser"/>
    <s v="okieser@gmail.com"/>
    <x v="0"/>
    <x v="1"/>
    <x v="1"/>
    <x v="0"/>
    <x v="0"/>
    <x v="8"/>
    <s v="Health Sciences"/>
    <s v="EM"/>
    <x v="0"/>
    <s v="Completed"/>
    <s v="University of the Witwatersrand"/>
    <s v="Doctor of Philosophy Health Sciences"/>
    <s v="Sleep Physiology, Obstructive apnoea of people living with HIV"/>
    <d v="2026-02-01T00:00:00"/>
    <n v="3"/>
    <s v="_x000d__x000a_234000_x000d__x000a_"/>
    <s v="_x000d__x000a_234000_x000d__x000a_"/>
    <s v="_x000d__x000a_234000.4_x000d__x000a_"/>
  </r>
  <r>
    <s v="10/12/2025"/>
    <s v="2025-9949"/>
    <s v="Higher Education Awards"/>
    <s v="Yusuf Isa"/>
    <s v="yusufisa@yahoo.com"/>
    <x v="0"/>
    <x v="3"/>
    <x v="0"/>
    <x v="0"/>
    <x v="1"/>
    <x v="1"/>
    <s v="Engineering &amp; the Built Environment"/>
    <s v="EM"/>
    <x v="0"/>
    <s v="Completed"/>
    <s v="Joint Bioenergy Institute, USA and Multiphase flows and reactors engineering and education laboratory  Linda and Bipin Doshi Department of chemical and biochemical engineering, Missouri Science and Technology."/>
    <s v="Sabbatical Fellowship"/>
    <s v="Biomass as a tool for decentralised, circular and just energy systems"/>
    <d v="2026-01-01T00:00:00"/>
    <n v="1"/>
    <s v="_x000d__x000a_945936_x000d__x000a_"/>
    <s v="_x000d__x000a_0_x000d__x000a_"/>
    <s v="_x000d__x000a_0_x000d__x000a_"/>
  </r>
  <r>
    <s v="10/12/2025"/>
    <s v="2025-10095"/>
    <s v="Higher Education Awards"/>
    <s v="Munashe Alvin Rukuni"/>
    <s v="202100311@ufh.ac.za"/>
    <x v="0"/>
    <x v="0"/>
    <x v="0"/>
    <x v="0"/>
    <x v="0"/>
    <x v="7"/>
    <s v="Law"/>
    <s v="EM"/>
    <x v="10"/>
    <s v="Completed"/>
    <s v="UCT &amp; UWC "/>
    <s v="LLM IP"/>
    <s v="Strict IP Laws v Human Rights: Balancing the two in the new age of the 4IR"/>
    <d v="2026-01-31T00:00:00"/>
    <n v="2"/>
    <s v="_x000d__x000a_152000_x000d__x000a_"/>
    <s v="_x000d__x000a_132000_x000d__x000a_"/>
    <s v="_x000d__x000a_0_x000d__x000a_"/>
  </r>
  <r>
    <s v="10/12/2025"/>
    <s v="2025-8626"/>
    <s v="Higher Education Awards"/>
    <s v="Samuel Leareng"/>
    <s v="sleareng@gmail.com"/>
    <x v="0"/>
    <x v="2"/>
    <x v="0"/>
    <x v="0"/>
    <x v="0"/>
    <x v="5"/>
    <s v="Applied Sciences"/>
    <s v="EM"/>
    <x v="0"/>
    <s v="Completed"/>
    <s v="Stellenbosch University"/>
    <s v="Postdoctoral research"/>
    <s v="Microbiome responses for assessment of water quality and chemical exposure in aquatic environments"/>
    <d v="2026-01-01T00:00:00"/>
    <n v="2"/>
    <s v="_x000d__x000a_132000_x000d__x000a_"/>
    <s v="_x000d__x000a_132000_x000d__x000a_"/>
    <s v="_x000d__x000a_0_x000d__x000a_"/>
  </r>
  <r>
    <s v="10/12/2025"/>
    <s v="2025-10004"/>
    <s v="Higher Education Awards"/>
    <s v="Leonard Johannes Pelser"/>
    <s v="lenpelser@gmail.com"/>
    <x v="0"/>
    <x v="0"/>
    <x v="1"/>
    <x v="0"/>
    <x v="0"/>
    <x v="2"/>
    <s v="Other"/>
    <s v="EM"/>
    <x v="0"/>
    <s v="Completed"/>
    <s v="University of Johannesburg"/>
    <s v="MEd in Curriculum Studies"/>
    <s v="Bridging the STEM Achievement Gap: A Comparative Study of South Africa, China, and  Singapore"/>
    <d v="2026-01-01T00:00:00"/>
    <n v="2"/>
    <s v="_x000d__x000a_102261.17_x000d__x000a_"/>
    <s v="_x000d__x000a_110850_x000d__x000a_"/>
    <s v="_x000d__x000a_0_x000d__x000a_"/>
  </r>
  <r>
    <s v="10/12/2025"/>
    <s v="2025-9999"/>
    <s v="Higher Education Awards"/>
    <s v="Theto Ramogale"/>
    <s v="thetoramogale@gmail.com"/>
    <x v="1"/>
    <x v="0"/>
    <x v="0"/>
    <x v="1"/>
    <x v="0"/>
    <x v="7"/>
    <s v="Law"/>
    <s v="EM"/>
    <x v="5"/>
    <s v="Completed"/>
    <s v="UCT, UJ, WITS,UP, University of Stellenbosch"/>
    <s v="LLM in Intellectual Property Law"/>
    <s v="Strengthening Patent Enforcement in the Digital Economy: A South African Perspective on TRIPS compliance"/>
    <d v="2025-01-31T00:00:00"/>
    <n v="1"/>
    <s v="_x000d__x000a_468000_x000d__x000a_"/>
    <s v="_x000d__x000a_0_x000d__x000a_"/>
    <s v="_x000d__x000a_0_x000d__x000a_"/>
  </r>
  <r>
    <s v="10/12/2025"/>
    <s v="2025-8467"/>
    <s v="Higher Education Awards"/>
    <s v="Majahonkhe Shabangu"/>
    <s v="majahonkhe.shabangu@uct.ac.za"/>
    <x v="0"/>
    <x v="2"/>
    <x v="0"/>
    <x v="0"/>
    <x v="0"/>
    <x v="8"/>
    <s v="Health Sciences"/>
    <s v="EM"/>
    <x v="0"/>
    <s v="Completed"/>
    <s v="University of Cape Town"/>
    <s v="Postdoctoral research in mechanobiology and biomedical sciences"/>
    <s v="Investigating the effects of mechanical forces and inflammatory cues on the structural and functional integrity of the blood-brain and blood-spinal cord barriers."/>
    <d v="2026-04-01T00:00:00"/>
    <n v="2"/>
    <s v="_x000d__x000a_460000_x000d__x000a_"/>
    <s v="_x000d__x000a_460000_x000d__x000a_"/>
    <s v="_x000d__x000a_0_x000d__x000a_"/>
  </r>
  <r>
    <s v="10/12/2025"/>
    <s v="2025-9617"/>
    <s v="Higher Education Awards"/>
    <s v="Sienne Molepo"/>
    <s v="moleposienne@gmail.com"/>
    <x v="0"/>
    <x v="1"/>
    <x v="0"/>
    <x v="1"/>
    <x v="0"/>
    <x v="6"/>
    <s v="Social Sciences"/>
    <s v="EM"/>
    <x v="0"/>
    <s v="Completed"/>
    <s v="University of the Western Cape, Institute for Poverty, Land and Agrarian Studies (PLAAS)"/>
    <s v="PhD in Land and Agrarian studies "/>
    <s v="Financial investments in rural South Africa: The expansion of finance capital on customary land"/>
    <d v="2026-01-19T00:00:00"/>
    <n v="3"/>
    <s v="_x000d__x000a_255342_x000d__x000a_"/>
    <s v="_x000d__x000a_251735_x000d__x000a_"/>
    <s v="_x000d__x000a_193735_x000d__x000a_"/>
  </r>
  <r>
    <s v="10/12/2025"/>
    <s v="2025-8371"/>
    <s v="Higher Education Awards"/>
    <s v="S'busiso Blessing Gumede"/>
    <s v="sbusisoblessingg@gmail.com"/>
    <x v="3"/>
    <x v="0"/>
    <x v="0"/>
    <x v="0"/>
    <x v="0"/>
    <x v="2"/>
    <s v="Humanities"/>
    <s v="EM"/>
    <x v="0"/>
    <s v="Completed"/>
    <s v="University of Johannesburg"/>
    <s v="Strategic Communication"/>
    <s v="How do informal market dynamics in South Africa shape entrepreneurial resilience, consumer behavior, and socio-economic mobility in urban townships?"/>
    <d v="2026-02-02T00:00:00"/>
    <n v="2"/>
    <s v="_x000d__x000a_100000_x000d__x000a_"/>
    <s v="_x000d__x000a_111000_x000d__x000a_"/>
    <s v="_x000d__x000a_0_x000d__x000a_"/>
  </r>
  <r>
    <s v="10/12/2025"/>
    <s v="2025-9116"/>
    <s v="Higher Education Awards"/>
    <s v="Sarah Abi Rowe"/>
    <s v="sarahabiirowe@gmail.com"/>
    <x v="0"/>
    <x v="0"/>
    <x v="1"/>
    <x v="1"/>
    <x v="0"/>
    <x v="4"/>
    <s v="Social Sciences"/>
    <s v="EM"/>
    <x v="35"/>
    <s v="Draft"/>
    <s v="University of Cape Town"/>
    <s v="Masters Economics"/>
    <s v="Health and behavioural economics, intersected with the built environment."/>
    <d v="2026-01-15T00:00:00"/>
    <n v="1"/>
    <s v="_x000d__x000a_53000_x000d__x000a_"/>
    <s v="_x000d__x000a_0_x000d__x000a_"/>
    <s v="_x000d__x000a_0_x000d__x000a_"/>
  </r>
  <r>
    <s v="10/12/2025"/>
    <s v="2025-9322"/>
    <s v="Higher Education Awards"/>
    <s v="Andiswa Njilo"/>
    <s v="u24137490@tuks.co.za"/>
    <x v="0"/>
    <x v="1"/>
    <x v="0"/>
    <x v="1"/>
    <x v="0"/>
    <x v="8"/>
    <s v="Natural Sciences"/>
    <s v="EM"/>
    <x v="0"/>
    <s v="Completed"/>
    <s v="University of Pretoria"/>
    <s v="PhD Bioinformatics"/>
    <s v="A Novel Pan-Cancer Multi-omics Molecular Study of Gynaecologic and Breast Cancers in Africa"/>
    <d v="2024-08-06T00:00:00"/>
    <n v="2"/>
    <s v="_x000d__x000a_56682_x000d__x000a_"/>
    <s v="_x000d__x000a_119022_x000d__x000a_"/>
    <s v="_x000d__x000a_0_x000d__x000a_"/>
  </r>
  <r>
    <s v="10/12/2025"/>
    <s v="2025-8442"/>
    <s v="Higher Education Awards"/>
    <s v="Brent January"/>
    <s v="brentjanuary1305@gmail.com"/>
    <x v="0"/>
    <x v="1"/>
    <x v="2"/>
    <x v="0"/>
    <x v="1"/>
    <x v="3"/>
    <s v="Performing &amp; Creative Arts"/>
    <s v="EM"/>
    <x v="0"/>
    <s v="Completed"/>
    <s v="The University of Memphis"/>
    <s v="Classical Music, Classical Guitar"/>
    <s v="Performance"/>
    <d v="2026-01-21T00:00:00"/>
    <n v="3"/>
    <s v="_x000d__x000a_577198.32_x000d__x000a_"/>
    <s v="_x000d__x000a_577198.32_x000d__x000a_"/>
    <s v="_x000d__x000a_577198.32_x000d__x000a_"/>
  </r>
  <r>
    <s v="10/12/2025"/>
    <s v="2025-9151"/>
    <s v="Higher Education Awards"/>
    <s v="Ross Van Herzeele"/>
    <s v="rossvh1408@gmail.com"/>
    <x v="0"/>
    <x v="0"/>
    <x v="1"/>
    <x v="0"/>
    <x v="0"/>
    <x v="4"/>
    <s v="Commerce &amp; Management"/>
    <s v="EM"/>
    <x v="0"/>
    <s v="Completed"/>
    <s v="Stellenbosch University "/>
    <s v="Master's "/>
    <s v="Economics "/>
    <d v="2026-01-05T00:00:00"/>
    <n v="2"/>
    <s v="_x000d__x000a_224961_x000d__x000a_"/>
    <s v="_x000d__x000a_193585_x000d__x000a_"/>
    <s v="_x000d__x000a_0_x000d__x000a_"/>
  </r>
  <r>
    <s v="10/12/2025"/>
    <s v="2025-9725"/>
    <s v="Higher Education Awards"/>
    <s v="Dara Kell"/>
    <s v="dara.kell@gmail.com"/>
    <x v="0"/>
    <x v="1"/>
    <x v="1"/>
    <x v="1"/>
    <x v="0"/>
    <x v="6"/>
    <s v="Social Sciences"/>
    <s v="EM"/>
    <x v="0"/>
    <s v="Completed"/>
    <s v="Stellenbosch University"/>
    <s v="Sociology"/>
    <s v="Breathscapes: A Transdisciplinary Inquiry into Air, Race, and Resistance in South Africa’s Sacrifice Zones"/>
    <d v="2026-01-10T00:00:00"/>
    <n v="3"/>
    <s v="_x000d__x000a_435000_x000d__x000a_"/>
    <s v="_x000d__x000a_1185000_x000d__x000a_"/>
    <s v="_x000d__x000a_800000_x000d__x000a_"/>
  </r>
  <r>
    <s v="10/12/2025"/>
    <s v="2025-9886"/>
    <s v="Higher Education Awards"/>
    <s v="Danile Mata"/>
    <s v="danilemata2@gmail.com"/>
    <x v="0"/>
    <x v="0"/>
    <x v="0"/>
    <x v="1"/>
    <x v="0"/>
    <x v="0"/>
    <s v="Applied Sciences"/>
    <s v="EM"/>
    <x v="0"/>
    <s v="Completed"/>
    <s v="University of Cape Town"/>
    <s v="Chemistry"/>
    <s v="Development of heterobimetallic Rh/Ir tandem catalysts for hydroaminomethylation of olefins"/>
    <d v="2026-01-19T00:00:00"/>
    <n v="1"/>
    <s v="_x000d__x000a_200000_x000d__x000a_"/>
    <s v="_x000d__x000a_0_x000d__x000a_"/>
    <s v="_x000d__x000a_0_x000d__x000a_"/>
  </r>
  <r>
    <s v="10/12/2025"/>
    <s v="2025-9678"/>
    <s v="Higher Education Awards"/>
    <s v="Keith Dube"/>
    <s v="28800621@sun.ac.za"/>
    <x v="0"/>
    <x v="1"/>
    <x v="0"/>
    <x v="0"/>
    <x v="0"/>
    <x v="5"/>
    <s v="Natural Sciences"/>
    <s v="EM"/>
    <x v="0"/>
    <s v="Completed"/>
    <s v="Stellenbosch University"/>
    <s v="PhD"/>
    <s v="Bioinformatics and microbial ecology"/>
    <d v="2024-01-01T00:00:00"/>
    <n v="1"/>
    <s v="_x000d__x000a_210000_x000d__x000a_"/>
    <s v="_x000d__x000a_0_x000d__x000a_"/>
    <s v="_x000d__x000a_0_x000d__x000a_"/>
  </r>
  <r>
    <s v="10/12/2025"/>
    <s v="2025-9785"/>
    <s v="Higher Education Awards"/>
    <s v="Jarid du Plooy"/>
    <s v="duplooyjarid@gmail.com"/>
    <x v="0"/>
    <x v="2"/>
    <x v="2"/>
    <x v="0"/>
    <x v="0"/>
    <x v="8"/>
    <s v="Natural Sciences"/>
    <s v="EM"/>
    <x v="0"/>
    <s v="Completed"/>
    <s v="University of Cape Town"/>
    <s v="Chemistry"/>
    <s v="Tuberculosis Detection (Diagnostic tools)"/>
    <d v="2026-03-02T00:00:00"/>
    <n v="2"/>
    <s v="_x000d__x000a_335000_x000d__x000a_"/>
    <s v="_x000d__x000a_382000_x000d__x000a_"/>
    <s v="_x000d__x000a_0_x000d__x000a_"/>
  </r>
  <r>
    <s v="10/12/2025"/>
    <s v="2025-9511"/>
    <s v="Higher Education Awards"/>
    <s v="Seemeen Wookey"/>
    <s v="201703165@spu.ac.za"/>
    <x v="0"/>
    <x v="0"/>
    <x v="4"/>
    <x v="1"/>
    <x v="0"/>
    <x v="5"/>
    <s v="Natural Sciences"/>
    <s v="EM"/>
    <x v="0"/>
    <s v="Completed"/>
    <s v="Sol Plaatje University"/>
    <s v="Master of Computer and Information Science (Data Science)"/>
    <s v="AI-Powered Water Resource Management for Sustainable Supply and Demand in Kimberley Municipality"/>
    <d v="2026-01-30T00:00:00"/>
    <n v="1"/>
    <s v="_x000d__x000a_210000_x000d__x000a_"/>
    <s v="_x000d__x000a_0_x000d__x000a_"/>
    <s v="_x000d__x000a_0_x000d__x000a_"/>
  </r>
  <r>
    <s v="10/12/2025"/>
    <s v="2025-8604"/>
    <s v="Higher Education Awards"/>
    <s v="Camila Nkhama Nkhama"/>
    <s v="camila.nkhama@gmail.com"/>
    <x v="0"/>
    <x v="0"/>
    <x v="0"/>
    <x v="1"/>
    <x v="0"/>
    <x v="6"/>
    <s v="Social Sciences"/>
    <s v="EM"/>
    <x v="0"/>
    <s v="Completed"/>
    <s v="Stellenbosch University"/>
    <s v="Masters In Socio-Informatics"/>
    <s v="Becoming the Machine: Investigating the Psychological Effects of Artificial Intelligence on Human Cognition and Identity"/>
    <d v="2026-01-12T00:00:00"/>
    <n v="2"/>
    <s v="_x000d__x000a_201000_x000d__x000a_"/>
    <s v="_x000d__x000a_209500_x000d__x000a_"/>
    <s v="_x000d__x000a_0_x000d__x000a_"/>
  </r>
  <r>
    <s v="10/12/2025"/>
    <s v="2025-9942"/>
    <s v="Higher Education Awards"/>
    <s v="Sahil Dowra"/>
    <s v="19021690@sun.ac.za"/>
    <x v="0"/>
    <x v="0"/>
    <x v="4"/>
    <x v="0"/>
    <x v="0"/>
    <x v="5"/>
    <s v="Natural Sciences"/>
    <s v="EM"/>
    <x v="0"/>
    <s v="Completed"/>
    <s v="Stellenbosch University"/>
    <s v="MSc Microbiology"/>
    <s v="Microbiology"/>
    <d v="2026-01-01T00:00:00"/>
    <n v="2"/>
    <s v="_x000d__x000a_230000_x000d__x000a_"/>
    <s v="_x000d__x000a_230000_x000d__x000a_"/>
    <s v="_x000d__x000a_0_x000d__x000a_"/>
  </r>
  <r>
    <s v="10/12/2025"/>
    <s v="2025-9789"/>
    <s v="Higher Education Awards"/>
    <s v="Zukiswa Zanazo"/>
    <s v="znzzuk001@myuct.ac.za"/>
    <x v="0"/>
    <x v="1"/>
    <x v="0"/>
    <x v="1"/>
    <x v="0"/>
    <x v="2"/>
    <s v="Humanities"/>
    <s v="EM"/>
    <x v="24"/>
    <s v="Draft"/>
    <s v="University of Cape Town"/>
    <s v="Doctor of Philosophy in Industrial Sociology"/>
    <s v="Domestic Work"/>
    <d v="2024-02-01T00:00:00"/>
    <n v="2"/>
    <s v="_x000d__x000a_-17148_x000d__x000a_"/>
    <s v="_x000d__x000a_-17148_x000d__x000a_"/>
    <s v="_x000d__x000a_0_x000d__x000a_"/>
  </r>
  <r>
    <s v="10/12/2025"/>
    <s v="2025-9860"/>
    <s v="Higher Education Awards"/>
    <s v="Wycliffe Oluoch"/>
    <s v="wycliffeoluoch1@gmail.com"/>
    <x v="0"/>
    <x v="2"/>
    <x v="0"/>
    <x v="0"/>
    <x v="0"/>
    <x v="4"/>
    <s v="Commerce &amp; Management"/>
    <s v="EM"/>
    <x v="0"/>
    <s v="Completed"/>
    <s v="University of Cape Town Graduate School of Business"/>
    <s v="Postdoctoral fellowship"/>
    <s v="The Gender Agenda: Structural Barriers and Implications on Women-Owned and Women-Led Microenterprises in Africa"/>
    <d v="2026-01-01T00:00:00"/>
    <n v="2"/>
    <s v="_x000d__x000a_665000_x000d__x000a_"/>
    <s v="_x000d__x000a_657100_x000d__x000a_"/>
    <s v="_x000d__x000a_0_x000d__x000a_"/>
  </r>
  <r>
    <s v="10/12/2025"/>
    <s v="2025-8891"/>
    <s v="Higher Education Awards"/>
    <s v="Zama Mkhwanazi"/>
    <s v="zamamkhwanazi71@gmail.com"/>
    <x v="0"/>
    <x v="0"/>
    <x v="0"/>
    <x v="1"/>
    <x v="0"/>
    <x v="2"/>
    <s v="Humanities"/>
    <s v="EM"/>
    <x v="0"/>
    <s v="Completed"/>
    <s v="University of Cape Town"/>
    <s v="Musicology"/>
    <s v="An investigation on the impact of social and political movements on the development of opera and how that has influenced opera to this day"/>
    <d v="2026-02-16T00:00:00"/>
    <n v="1"/>
    <s v="_x000d__x000a_40000_x000d__x000a_"/>
    <s v="_x000d__x000a_0_x000d__x000a_"/>
    <s v="_x000d__x000a_0_x000d__x000a_"/>
  </r>
  <r>
    <s v="10/12/2025"/>
    <s v="2025-10060"/>
    <s v="Higher Education Awards"/>
    <s v="Zizikazi Sodzidzi"/>
    <s v="zizikazis@gmail.com"/>
    <x v="0"/>
    <x v="2"/>
    <x v="0"/>
    <x v="1"/>
    <x v="0"/>
    <x v="0"/>
    <s v="Applied Sciences"/>
    <s v="EM"/>
    <x v="0"/>
    <s v="Completed"/>
    <s v="University of the Witwatersrand"/>
    <s v="Postdoctoral"/>
    <s v="Boron-graphene nanoplatelets incorporated in polyvinylidene fluoride membranes for high flux and adsorption of heavy metals"/>
    <d v="2026-01-05T00:00:00"/>
    <n v="2"/>
    <s v="_x000d__x000a_440000_x000d__x000a_"/>
    <s v="_x000d__x000a_460000_x000d__x000a_"/>
    <s v="_x000d__x000a_0_x000d__x000a_"/>
  </r>
  <r>
    <s v="10/12/2025"/>
    <s v="2025-9759"/>
    <s v="Higher Education Awards"/>
    <s v="Zama Mahlobo"/>
    <s v="pzamah@sun.ac.za"/>
    <x v="0"/>
    <x v="2"/>
    <x v="0"/>
    <x v="1"/>
    <x v="0"/>
    <x v="5"/>
    <s v="Natural Sciences"/>
    <s v="EM"/>
    <x v="0"/>
    <s v="Completed"/>
    <s v="Stellenbosch University"/>
    <s v="Postdoctoral"/>
    <s v="Microbiome aerobiology: Biological factors associated with the viability of airborne pathogenic bacteria during aerosol transmission."/>
    <d v="2025-03-27T00:00:00"/>
    <n v="2"/>
    <s v="_x000d__x000a_248000_x000d__x000a_"/>
    <s v="_x000d__x000a_201000_x000d__x000a_"/>
    <s v="_x000d__x000a_0_x000d__x000a_"/>
  </r>
  <r>
    <s v="10/12/2025"/>
    <s v="2025-10071"/>
    <s v="Higher Education Awards"/>
    <s v="Tony Noveld"/>
    <s v="noveldtony@gmail.com"/>
    <x v="0"/>
    <x v="0"/>
    <x v="0"/>
    <x v="0"/>
    <x v="0"/>
    <x v="8"/>
    <s v="Health Sciences"/>
    <s v="EM"/>
    <x v="0"/>
    <s v="Draft"/>
    <s v="University of Cape Town, Institute of Infectious Diseases &amp; Immunology"/>
    <s v="MSc Medicine (Medical Microbiology)"/>
    <s v="Elucidating Synergistic Drug Targets in DNA Metabolism, RNA Synthesis, and Cell Envelope Biogenesis Pathways of Mycobacterium tuberculosis Using a CRISPRi Approach"/>
    <d v="2026-01-19T00:00:00"/>
    <n v="2"/>
    <s v="_x000d__x000a_196000_x000d__x000a_"/>
    <s v="_x000d__x000a_196000_x000d__x000a_"/>
    <s v="_x000d__x000a_0_x000d__x000a_"/>
  </r>
  <r>
    <s v="10/12/2025"/>
    <s v="2025-9703"/>
    <s v="Higher Education Awards"/>
    <s v="Mufudzi Chihambakwe"/>
    <s v="mufudzi@worldspinecare.org"/>
    <x v="0"/>
    <x v="1"/>
    <x v="0"/>
    <x v="0"/>
    <x v="0"/>
    <x v="8"/>
    <s v="Health Sciences"/>
    <s v="EM"/>
    <x v="0"/>
    <s v="Completed"/>
    <s v="Stellenbosch University"/>
    <s v="PhD in Global Public Health"/>
    <s v="The unseen NCD: The syndemics of musculoskeletal disorders in Southern Africa"/>
    <d v="2026-02-02T00:00:00"/>
    <n v="3"/>
    <s v="_x000d__x000a_95000_x000d__x000a_"/>
    <s v="_x000d__x000a_80000_x000d__x000a_"/>
    <s v="_x000d__x000a_80000_x000d__x000a_"/>
  </r>
  <r>
    <s v="10/12/2025"/>
    <s v="2025-10055"/>
    <s v="Higher Education Awards"/>
    <s v="Sithabile Mngadi-Ncube"/>
    <s v="sithabilemngadi64@gmail.com"/>
    <x v="0"/>
    <x v="1"/>
    <x v="0"/>
    <x v="1"/>
    <x v="0"/>
    <x v="8"/>
    <s v="Health Sciences"/>
    <s v="EM"/>
    <x v="0"/>
    <s v="Completed"/>
    <s v="University of Witwatersrand"/>
    <s v="PhD in Public Health"/>
    <s v="Co-designing an Adaptable Multi-Component Intervention to Address Intimate Partner Violence and Mental Health Among Women Living with HIV in South Africa"/>
    <d v="2026-02-02T00:00:00"/>
    <n v="3"/>
    <s v="_x000d__x000a_162500_x000d__x000a_"/>
    <s v="_x000d__x000a_147500_x000d__x000a_"/>
    <s v="_x000d__x000a_126000_x000d__x000a_"/>
  </r>
  <r>
    <s v="10/12/2025"/>
    <s v="2025-9978"/>
    <s v="Higher Education Awards"/>
    <s v="Nic-Quinlyn Titus"/>
    <s v="nic.quinlyntitus@gmail.com"/>
    <x v="0"/>
    <x v="1"/>
    <x v="2"/>
    <x v="0"/>
    <x v="0"/>
    <x v="0"/>
    <s v="Natural Sciences"/>
    <s v="EM"/>
    <x v="0"/>
    <s v="Completed"/>
    <s v="University of the Western Cape"/>
    <s v="Doctor of Philosophy in Chemistry"/>
    <s v="Two-Dimensional Nanomaterial-Functionalized Nanobody Electrolyte-Gated Organic Field Effect Transistor-based Sensing Platform for Electrochemical Respiratory Virus Monitoring"/>
    <d v="2026-01-12T00:00:00"/>
    <n v="3"/>
    <s v="_x000d__x000a_210000_x000d__x000a_"/>
    <s v="_x000d__x000a_145500_x000d__x000a_"/>
    <s v="_x000d__x000a_145500_x000d__x000a_"/>
  </r>
  <r>
    <s v="10/12/2025"/>
    <s v="2025-9616"/>
    <s v="Higher Education Awards"/>
    <s v="Fezeka Ntsanwisi"/>
    <s v="fntsanwisi7@gmail.com"/>
    <x v="0"/>
    <x v="1"/>
    <x v="0"/>
    <x v="1"/>
    <x v="0"/>
    <x v="7"/>
    <s v="Law"/>
    <s v="EM"/>
    <x v="0"/>
    <s v="Completed"/>
    <s v="University of Cape Town"/>
    <s v="Doctor of Philosophy (PhD) in Private Law"/>
    <s v="Consent and the Interim Protection of Informal Land Rights Act: How to obtain genuine consent from South African customary communities for access to their land for mining projects"/>
    <d v="2026-02-16T00:00:00"/>
    <n v="2"/>
    <s v="_x000d__x000a_158500_x000d__x000a_"/>
    <s v="_x000d__x000a_77000_x000d__x000a_"/>
    <s v="_x000d__x000a_0_x000d__x000a_"/>
  </r>
  <r>
    <s v="10/12/2025"/>
    <s v="2025-9991"/>
    <s v="Higher Education Awards"/>
    <s v="Andzani Mdaka"/>
    <s v="carren.mdaka56@gmail.com"/>
    <x v="0"/>
    <x v="1"/>
    <x v="0"/>
    <x v="1"/>
    <x v="0"/>
    <x v="8"/>
    <s v="Health Sciences"/>
    <s v="EM"/>
    <x v="16"/>
    <s v="Completed"/>
    <s v="University of Cape town"/>
    <s v="Biomedical sciences"/>
    <s v="Investigating anti-HIV-1 reverse transcriptase and protease and the apoptotic effect of two plants."/>
    <d v="2026-01-01T00:00:00"/>
    <n v="3"/>
    <s v="_x000d__x000a_209300_x000d__x000a_"/>
    <s v="_x000d__x000a_209300_x000d__x000a_"/>
    <s v="_x000d__x000a_209300_x000d__x000a_"/>
  </r>
  <r>
    <s v="10/12/2025"/>
    <s v="2025-8416"/>
    <s v="Higher Education Awards"/>
    <s v="Kutlwano Kgaoganyeng"/>
    <s v="kutlwikgao91@gmail.com"/>
    <x v="0"/>
    <x v="0"/>
    <x v="0"/>
    <x v="1"/>
    <x v="0"/>
    <x v="2"/>
    <s v="Humanities"/>
    <s v="EM"/>
    <x v="0"/>
    <s v="Completed"/>
    <s v="University of Pretoria"/>
    <s v="MA in African Languages-Setswana"/>
    <s v="Evaluating The Effectiveness of Setswana Translating Tools in Setswana Formal and Informal Texts: A Comparative Study of Glosbe, Autshumato, and Google Translate."/>
    <d v="2026-01-01T00:00:00"/>
    <n v="2"/>
    <s v="_x000d__x000a_170000_x000d__x000a_"/>
    <s v="_x000d__x000a_170000_x000d__x000a_"/>
    <s v="_x000d__x000a_0_x000d__x000a_"/>
  </r>
  <r>
    <s v="10/12/2025"/>
    <s v="2025-10014"/>
    <s v="Higher Education Awards"/>
    <s v="Thozama Njobe"/>
    <s v="thozama.njobe@gmail.com"/>
    <x v="0"/>
    <x v="0"/>
    <x v="0"/>
    <x v="2"/>
    <x v="0"/>
    <x v="6"/>
    <s v="Social Sciences"/>
    <s v="EM"/>
    <x v="0"/>
    <s v="Completed"/>
    <s v="The University of Witwatersrand"/>
    <s v="Masters Political Science specialising in Transitional Justice"/>
    <s v="Transitional Justice: An African Perspective of Memory and Reparative Justice"/>
    <d v="2026-01-18T00:00:00"/>
    <n v="2"/>
    <s v="_x000d__x000a_259340_x000d__x000a_"/>
    <s v="_x000d__x000a_273754_x000d__x000a_"/>
    <s v="_x000d__x000a_0_x000d__x000a_"/>
  </r>
  <r>
    <s v="10/12/2025"/>
    <s v="2025-9951"/>
    <s v="Higher Education Awards"/>
    <s v="Lucy Bischof"/>
    <s v="lucybischof03@gmail.com"/>
    <x v="0"/>
    <x v="0"/>
    <x v="1"/>
    <x v="1"/>
    <x v="0"/>
    <x v="2"/>
    <s v="Humanities"/>
    <s v="EM"/>
    <x v="0"/>
    <s v="Draft"/>
    <s v="Stellenbosch University"/>
    <s v="Masters in Visual Arts"/>
    <s v="Exploring Indigenous Plant Wisdom through Talismanic Art Jewellery as a Vessel of Healing."/>
    <d v="2026-02-02T00:00:00"/>
    <n v="2"/>
    <s v="_x000d__x000a_210810_x000d__x000a_"/>
    <s v="_x000d__x000a_210810_x000d__x000a_"/>
    <s v="_x000d__x000a_0_x000d__x000a_"/>
  </r>
  <r>
    <s v="10/12/2025"/>
    <s v="2025-9476"/>
    <s v="Higher Education Awards"/>
    <s v="Maphatu Mashaba"/>
    <s v="maphatum@gmail.com"/>
    <x v="1"/>
    <x v="0"/>
    <x v="0"/>
    <x v="1"/>
    <x v="1"/>
    <x v="0"/>
    <s v="Applied Sciences"/>
    <s v="EM"/>
    <x v="15"/>
    <s v="Completed"/>
    <s v="City St George's University of London"/>
    <s v="Msc Air Safety Management"/>
    <s v="Future Aviation Challenges from Unmanned to Spaceflight Vehicles"/>
    <d v="2025-11-30T00:00:00"/>
    <n v="2"/>
    <s v="_x000d__x000a_273448_x000d__x000a_"/>
    <s v="_x000d__x000a_290538.5_x000d__x000a_"/>
    <s v="_x000d__x000a_0_x000d__x000a_"/>
  </r>
  <r>
    <s v="10/12/2025"/>
    <s v="2025-9994"/>
    <s v="Higher Education Awards"/>
    <s v="Ephraim Maphasa"/>
    <s v="Ephraimmaphasa@gmail.com"/>
    <x v="0"/>
    <x v="2"/>
    <x v="0"/>
    <x v="0"/>
    <x v="0"/>
    <x v="8"/>
    <s v="Natural Sciences"/>
    <s v="EM"/>
    <x v="24"/>
    <s v="Draft"/>
    <s v="Stellenbosch University"/>
    <s v="Microbiology/Immunology"/>
    <s v="Drug discovery for HIV-TB coinfections"/>
    <d v="2025-02-03T00:00:00"/>
    <n v="2"/>
    <s v="_x000d__x000a_-430000_x000d__x000a_"/>
    <s v="_x000d__x000a_-444000_x000d__x000a_"/>
    <s v="_x000d__x000a_0_x000d__x000a_"/>
  </r>
  <r>
    <s v="10/12/2025"/>
    <s v="2025-9207"/>
    <s v="Higher Education Awards"/>
    <s v="Setshaba Mokupi"/>
    <s v="setshabamokupi130@gmail.com"/>
    <x v="1"/>
    <x v="0"/>
    <x v="0"/>
    <x v="1"/>
    <x v="0"/>
    <x v="2"/>
    <s v="Humanities"/>
    <s v="EM"/>
    <x v="36"/>
    <s v="Completed"/>
    <s v="University of Limpopo"/>
    <s v="Masters in Social Work"/>
    <s v="Lived experiences of young adults from black African divorced families in Ekurhuleni municipality, Tembisa, South Africa."/>
    <d v="2025-01-11T00:00:00"/>
    <n v="3"/>
    <s v="_x000d__x000a_45000_x000d__x000a_"/>
    <s v="_x000d__x000a_65000_x000d__x000a_"/>
    <s v="_x000d__x000a_65000_x000d__x000a_"/>
  </r>
  <r>
    <s v="10/12/2025"/>
    <s v="2025-10021"/>
    <s v="Higher Education Awards"/>
    <s v="Bafokeng Sekaleli"/>
    <s v="Bafokengsekaleli@gmail.com"/>
    <x v="0"/>
    <x v="1"/>
    <x v="0"/>
    <x v="0"/>
    <x v="0"/>
    <x v="0"/>
    <s v="Natural Sciences"/>
    <s v="EM"/>
    <x v="0"/>
    <s v="Completed"/>
    <s v="University of KwaZulu-Natal"/>
    <s v="Chemistry (Catalysis)"/>
    <s v="Direct conversion of carbon dioxide through transition metal catalysis to dimethyl ether for hydrogen storage"/>
    <d v="2025-02-01T00:00:00"/>
    <n v="2"/>
    <s v="_x000d__x000a_111809_x000d__x000a_"/>
    <s v="_x000d__x000a_99260_x000d__x000a_"/>
    <s v="_x000d__x000a_0_x000d__x000a_"/>
  </r>
  <r>
    <s v="10/12/2025"/>
    <s v="2025-9967"/>
    <s v="Higher Education Awards"/>
    <s v="Khazimla Songo Joba"/>
    <s v="jobakhazimla@gmail.com"/>
    <x v="0"/>
    <x v="0"/>
    <x v="0"/>
    <x v="1"/>
    <x v="0"/>
    <x v="2"/>
    <s v="Humanities"/>
    <s v="EM"/>
    <x v="0"/>
    <s v="Completed"/>
    <s v="University of the Free State"/>
    <s v="Bachelor of Arts honours with specialisation in linguistics"/>
    <s v="Phonological and Morphosyntactic Documentation of Khwe in Platfontein"/>
    <d v="2026-02-10T00:00:00"/>
    <n v="1"/>
    <s v="_x000d__x000a_112000_x000d__x000a_"/>
    <s v="_x000d__x000a_0_x000d__x000a_"/>
    <s v="_x000d__x000a_0_x000d__x000a_"/>
  </r>
  <r>
    <s v="10/12/2025"/>
    <s v="2025-9133"/>
    <s v="Higher Education Awards"/>
    <s v="Monique van Bers"/>
    <s v="Moniquevb321@gmail.com"/>
    <x v="0"/>
    <x v="0"/>
    <x v="1"/>
    <x v="1"/>
    <x v="0"/>
    <x v="5"/>
    <s v="Natural Sciences"/>
    <s v="EM"/>
    <x v="0"/>
    <s v="Completed"/>
    <s v="University of Pretoria"/>
    <s v="Masters in Ecology"/>
    <s v="Invasion biology: Reconstructing the food web of an apex invader on sub-Antartic Marion Island"/>
    <d v="2026-01-01T00:00:00"/>
    <n v="2"/>
    <s v="_x000d__x000a_177000_x000d__x000a_"/>
    <s v="_x000d__x000a_193000_x000d__x000a_"/>
    <s v="_x000d__x000a_0_x000d__x000a_"/>
  </r>
  <r>
    <s v="10/12/2025"/>
    <s v="2025-9175"/>
    <s v="Higher Education Awards"/>
    <s v="Nobuhle Kambunga"/>
    <s v="27729753@sun.ac.za"/>
    <x v="0"/>
    <x v="0"/>
    <x v="0"/>
    <x v="1"/>
    <x v="0"/>
    <x v="8"/>
    <s v="Natural Sciences"/>
    <s v="EM"/>
    <x v="0"/>
    <s v="Completed"/>
    <s v="Stellenbosch university"/>
    <s v="MSc in Microbiology"/>
    <s v="Human gut microbiome"/>
    <d v="2026-01-01T00:00:00"/>
    <n v="1"/>
    <s v="_x000d__x000a_200000_x000d__x000a_"/>
    <s v="_x000d__x000a_0_x000d__x000a_"/>
    <s v="_x000d__x000a_0_x000d__x000a_"/>
  </r>
  <r>
    <s v="10/12/2025"/>
    <s v="2025-8510"/>
    <s v="Higher Education Awards"/>
    <s v="Betty Sehlola"/>
    <s v="bettysehlola@gmail.com"/>
    <x v="0"/>
    <x v="1"/>
    <x v="0"/>
    <x v="1"/>
    <x v="0"/>
    <x v="5"/>
    <s v="Natural Sciences"/>
    <s v="EM"/>
    <x v="0"/>
    <s v="Completed"/>
    <s v="North -West University"/>
    <s v="Doctor of Philosophy in Agricultural Economics"/>
    <s v="Investigating the Impact of Agro-Processing on the Agricultural Value Chains of Smallholder Vegetable Farmers in Limpopo Province, South Africa"/>
    <d v="2026-02-09T00:00:00"/>
    <n v="3"/>
    <s v="_x000d__x000a_315000_x000d__x000a_"/>
    <s v="_x000d__x000a_325000_x000d__x000a_"/>
    <s v="_x000d__x000a_290000_x000d__x000a_"/>
  </r>
  <r>
    <s v="10/12/2025"/>
    <s v="2025-9460"/>
    <s v="Higher Education Awards"/>
    <s v="Bontle Lesego Bonolo Kgothule"/>
    <s v="kbontle910@gmail.com"/>
    <x v="0"/>
    <x v="0"/>
    <x v="0"/>
    <x v="1"/>
    <x v="0"/>
    <x v="8"/>
    <s v="Health Sciences"/>
    <s v="EM"/>
    <x v="0"/>
    <s v="Completed"/>
    <s v="University of Cape Town"/>
    <s v="Master's in Medical Microbiology"/>
    <s v="Development of a label-free Fourier Transform Infrared (FTIR) spectroscopy method for non-invasive mycobacterial detection in bioaerosols"/>
    <d v="2025-02-03T00:00:00"/>
    <n v="2"/>
    <s v="_x000d__x000a_165000_x000d__x000a_"/>
    <s v="_x000d__x000a_165000_x000d__x000a_"/>
    <s v="_x000d__x000a_0_x000d__x000a_"/>
  </r>
  <r>
    <s v="10/12/2025"/>
    <s v="2025-8727"/>
    <s v="Higher Education Awards"/>
    <s v="Mbali Dhlamini"/>
    <s v="mbalidhlamini@yahoo.co.uk"/>
    <x v="0"/>
    <x v="1"/>
    <x v="0"/>
    <x v="1"/>
    <x v="1"/>
    <x v="3"/>
    <s v="Performing &amp; Creative Arts"/>
    <s v="EM"/>
    <x v="0"/>
    <s v="Completed"/>
    <s v="Birmingham City University"/>
    <s v="Research to Phd"/>
    <s v="Regenerative Ecologies in practice led research."/>
    <d v="2026-02-02T00:00:00"/>
    <n v="3"/>
    <s v="_x000d__x000a_343614.03_x000d__x000a_"/>
    <s v="_x000d__x000a_343614.03_x000d__x000a_"/>
    <s v="_x000d__x000a_343614.03_x000d__x000a_"/>
  </r>
  <r>
    <s v="10/12/2025"/>
    <s v="2025-9679"/>
    <s v="Higher Education Awards"/>
    <s v="Juanita Karol Chinemerem Nwachukwu"/>
    <s v="nwcjua001@myuct.ac.za"/>
    <x v="0"/>
    <x v="0"/>
    <x v="0"/>
    <x v="1"/>
    <x v="0"/>
    <x v="8"/>
    <s v="Health Sciences"/>
    <s v="EM"/>
    <x v="0"/>
    <s v="Completed"/>
    <s v="University of Cape Town"/>
    <s v="MSc Med in Forensic Medicine"/>
    <s v="Machine Learning for Disease Detection in Postmortem LODOX® Investigations: A Novel Approach to Enhancing Forensic Radiology Capabilities in Cases of Pneumonia"/>
    <d v="2025-02-26T00:00:00"/>
    <n v="1"/>
    <s v="_x000d__x000a_250000_x000d__x000a_"/>
    <s v="_x000d__x000a_0_x000d__x000a_"/>
    <s v="_x000d__x000a_0_x000d__x000a_"/>
  </r>
  <r>
    <s v="10/12/2025"/>
    <s v="2025-8355"/>
    <s v="Higher Education Awards"/>
    <s v="Tshepiso Monare"/>
    <s v="tshepimonare01@gmail.com"/>
    <x v="0"/>
    <x v="0"/>
    <x v="0"/>
    <x v="1"/>
    <x v="0"/>
    <x v="2"/>
    <s v="Other"/>
    <s v="EM"/>
    <x v="0"/>
    <s v="Completed"/>
    <s v="University of Pretoria"/>
    <s v="Masters of Education in Educational Psychology"/>
    <s v="Evaluating the implementation of EWP6 in supporting learners with special needs in  Quintile 1-3 schools within South Africa"/>
    <d v="2026-01-01T00:00:00"/>
    <n v="2"/>
    <s v="_x000d__x000a_156000_x000d__x000a_"/>
    <s v="_x000d__x000a_156000_x000d__x000a_"/>
    <s v="_x000d__x000a_0_x000d__x000a_"/>
  </r>
  <r>
    <s v="10/12/2025"/>
    <s v="2025-10092"/>
    <s v="Higher Education Awards"/>
    <s v="Mahlorhi Baloyi"/>
    <s v="mahlorhiprince@gmail.com"/>
    <x v="3"/>
    <x v="0"/>
    <x v="0"/>
    <x v="0"/>
    <x v="0"/>
    <x v="8"/>
    <s v="Health Sciences"/>
    <s v="EM"/>
    <x v="0"/>
    <s v="Completed"/>
    <s v="Sefako Makgatho Health Science University"/>
    <s v="Masters of Pharmacy"/>
    <s v="health economics - Budget impact analysis of initiation of prostate cancer therapy at an academic hospital"/>
    <d v="2025-02-19T00:00:00"/>
    <n v="2"/>
    <s v="_x000d__x000a_100000_x000d__x000a_"/>
    <s v="_x000d__x000a_60000_x000d__x000a_"/>
    <s v="_x000d__x000a_0_x000d__x000a_"/>
  </r>
  <r>
    <s v="10/12/2025"/>
    <s v="2025-9012"/>
    <s v="Higher Education Awards"/>
    <s v="Tanya Megan van der Merwe"/>
    <s v="tanyavdm@outlook.com"/>
    <x v="0"/>
    <x v="0"/>
    <x v="1"/>
    <x v="1"/>
    <x v="0"/>
    <x v="5"/>
    <s v="Natural Sciences"/>
    <s v="EM"/>
    <x v="0"/>
    <s v="Completed"/>
    <s v="University of Cape Town"/>
    <s v="MSc in Ocean and Atmosphere Science"/>
    <s v="Hydrological extreme events in South Africa "/>
    <d v="2025-01-13T00:00:00"/>
    <n v="2"/>
    <s v="_x000d__x000a_151670_x000d__x000a_"/>
    <s v="_x000d__x000a_159010_x000d__x000a_"/>
    <s v="_x000d__x000a_0_x000d__x000a_"/>
  </r>
  <r>
    <s v="10/12/2025"/>
    <s v="2025-9818"/>
    <s v="Higher Education Awards"/>
    <s v="Katlego Malatji"/>
    <s v="valenciamalatji22@gmail.com"/>
    <x v="0"/>
    <x v="0"/>
    <x v="0"/>
    <x v="1"/>
    <x v="0"/>
    <x v="8"/>
    <s v="Health Sciences"/>
    <s v="EM"/>
    <x v="0"/>
    <s v="Completed"/>
    <s v="University of the Witwatersrand "/>
    <s v="MSc(Med) Forensic Medicine"/>
    <s v="Smell of death, VOCs released during different decomposition stages: A South African context"/>
    <d v="2026-01-12T00:00:00"/>
    <n v="2"/>
    <s v="_x000d__x000a_147030_x000d__x000a_"/>
    <s v="_x000d__x000a_102410_x000d__x000a_"/>
    <s v="_x000d__x000a_0_x000d__x000a_"/>
  </r>
  <r>
    <s v="10/12/2025"/>
    <s v="2025-8273"/>
    <s v="Higher Education Awards"/>
    <s v="Penelope Rampedi"/>
    <s v="Ofentse1.sib@gmail.com"/>
    <x v="0"/>
    <x v="1"/>
    <x v="0"/>
    <x v="1"/>
    <x v="0"/>
    <x v="8"/>
    <s v="Other"/>
    <s v="EM"/>
    <x v="0"/>
    <s v="Completed"/>
    <s v="Sefako Makgatho Health Sciences University"/>
    <s v="PhD (pharmacology)"/>
    <s v="PRECLINICAL DEVELOPMENT AND EVALUATION OF AN INJECTABLE FORMULATION FOR THE PHARMACOTHERAPY OF DRUG RESISTANT TUBERCULOSIS"/>
    <d v="2023-06-26T00:00:00"/>
    <n v="1"/>
    <s v="_x000d__x000a_109724.8_x000d__x000a_"/>
    <s v="_x000d__x000a_0_x000d__x000a_"/>
    <s v="_x000d__x000a_0_x000d__x000a_"/>
  </r>
  <r>
    <s v="10/12/2025"/>
    <s v="2025-9279"/>
    <s v="Higher Education Awards"/>
    <s v="Tyler Gibbons"/>
    <s v="tgibbons@sun.ac.za"/>
    <x v="0"/>
    <x v="1"/>
    <x v="1"/>
    <x v="0"/>
    <x v="0"/>
    <x v="3"/>
    <s v="Performing &amp; Creative Arts"/>
    <s v="EM"/>
    <x v="0"/>
    <s v="Completed"/>
    <s v="Stellenbosch University"/>
    <s v="PhD (Music)"/>
    <s v="The South African Wind Band: Cultural life across community, education and the profession."/>
    <d v="2026-01-05T00:00:00"/>
    <n v="3"/>
    <s v="_x000d__x000a_264400_x000d__x000a_"/>
    <s v="_x000d__x000a_264400_x000d__x000a_"/>
    <s v="_x000d__x000a_264400_x000d__x000a_"/>
  </r>
  <r>
    <s v="10/12/2025"/>
    <s v="2025-9720"/>
    <s v="Higher Education Awards"/>
    <s v="Matt Lourens"/>
    <s v="lourensmattj@gmail.com"/>
    <x v="0"/>
    <x v="2"/>
    <x v="1"/>
    <x v="0"/>
    <x v="0"/>
    <x v="0"/>
    <s v="Natural Sciences"/>
    <s v="EM"/>
    <x v="0"/>
    <s v="Completed"/>
    <s v="Stellenbosch University"/>
    <s v="Quantum Many-Body Physics"/>
    <s v="Automated variational ansatz design for quantum many-body systems"/>
    <d v="2026-01-12T00:00:00"/>
    <n v="2"/>
    <s v="_x000d__x000a_-47400_x000d__x000a_"/>
    <s v="_x000d__x000a_106980_x000d__x000a_"/>
    <s v="_x000d__x000a_0_x000d__x000a_"/>
  </r>
  <r>
    <s v="10/12/2025"/>
    <s v="2025-8413"/>
    <s v="Higher Education Awards"/>
    <s v="Charlize Hermans"/>
    <s v="charlizehermans08@gmail.com"/>
    <x v="0"/>
    <x v="1"/>
    <x v="2"/>
    <x v="1"/>
    <x v="0"/>
    <x v="2"/>
    <s v="Humanities"/>
    <s v="EM"/>
    <x v="0"/>
    <s v="Completed"/>
    <s v="University of Western Cape"/>
    <s v="First"/>
    <s v="Sociopolitical history"/>
    <d v="2026-02-09T00:00:00"/>
    <n v="3"/>
    <s v="_x000d__x000a_260607_x000d__x000a_"/>
    <s v="_x000d__x000a_215000_x000d__x000a_"/>
    <s v="_x000d__x000a_215000_x000d__x000a_"/>
  </r>
  <r>
    <s v="10/12/2025"/>
    <s v="2025-9284"/>
    <s v="Higher Education Awards"/>
    <s v="Denny Mabetha"/>
    <s v="denny.mabetha@wits.ac.za"/>
    <x v="0"/>
    <x v="1"/>
    <x v="0"/>
    <x v="1"/>
    <x v="0"/>
    <x v="8"/>
    <s v="Health Sciences"/>
    <s v="EM"/>
    <x v="0"/>
    <s v="Completed"/>
    <s v="University of the Witwatersrand"/>
    <s v="Implementation Public Health research"/>
    <s v="HIV prevention services for young men"/>
    <d v="2024-02-06T00:00:00"/>
    <n v="2"/>
    <s v="_x000d__x000a_283000_x000d__x000a_"/>
    <s v="_x000d__x000a_420000_x000d__x000a_"/>
    <s v="_x000d__x000a_0_x000d__x000a_"/>
  </r>
  <r>
    <s v="10/12/2025"/>
    <s v="2025-9271"/>
    <s v="Higher Education Awards"/>
    <s v="Alex Pennington"/>
    <s v="zoopennington@gmail.com"/>
    <x v="0"/>
    <x v="1"/>
    <x v="1"/>
    <x v="0"/>
    <x v="0"/>
    <x v="2"/>
    <s v="Humanities"/>
    <s v="EM"/>
    <x v="0"/>
    <s v="Completed"/>
    <s v="Nelson Mandela University"/>
    <s v="Philosophy"/>
    <s v="An image of a dialogical practices that enhances our capacities to relate"/>
    <d v="2026-01-01T00:00:00"/>
    <n v="3"/>
    <s v="_x000d__x000a_337880_x000d__x000a_"/>
    <s v="_x000d__x000a_327215_x000d__x000a_"/>
    <s v="_x000d__x000a_342203_x000d__x000a_"/>
  </r>
  <r>
    <s v="10/12/2025"/>
    <s v="2025-9810"/>
    <s v="Higher Education Awards"/>
    <s v="Emily Robertson"/>
    <s v="emrobertson97@gmail.com"/>
    <x v="3"/>
    <x v="1"/>
    <x v="1"/>
    <x v="1"/>
    <x v="0"/>
    <x v="8"/>
    <s v="Health Sciences"/>
    <s v="EM"/>
    <x v="0"/>
    <s v="Completed"/>
    <s v="Stellenbosch University"/>
    <s v="PhD Sport Science"/>
    <s v="Low energy availability &amp; RED-s in female endurance athletes"/>
    <d v="2026-01-05T00:00:00"/>
    <n v="3"/>
    <s v="_x000d__x000a_61613_x000d__x000a_"/>
    <s v="_x000d__x000a_51141_x000d__x000a_"/>
    <s v="_x000d__x000a_26141_x000d__x000a_"/>
  </r>
  <r>
    <s v="10/12/2025"/>
    <s v="2025-10086"/>
    <s v="Higher Education Awards"/>
    <s v="Andile Ramalamula"/>
    <s v="zaneleandile@gmail.com"/>
    <x v="0"/>
    <x v="0"/>
    <x v="0"/>
    <x v="1"/>
    <x v="0"/>
    <x v="5"/>
    <s v="Natural Sciences"/>
    <s v="EM"/>
    <x v="0"/>
    <s v="Completed"/>
    <s v="University of Free State"/>
    <s v=" MSc in Environmental Management"/>
    <s v="INVESTIGATING THE DYNAMICS OF PFAS REMOVAL IN A CONSTRUCTED WETLAND IN A PROTECTED AREA, SOUTH AFRICA"/>
    <d v="2025-01-13T00:00:00"/>
    <n v="1"/>
    <s v="_x000d__x000a_220000_x000d__x000a_"/>
    <s v="_x000d__x000a_0_x000d__x000a_"/>
    <s v="_x000d__x000a_0_x000d__x000a_"/>
  </r>
  <r>
    <s v="10/12/2025"/>
    <s v="2025-10064"/>
    <s v="Higher Education Awards"/>
    <s v="Liam Slabbert"/>
    <s v="slabbertliam@gmail.com"/>
    <x v="1"/>
    <x v="0"/>
    <x v="1"/>
    <x v="0"/>
    <x v="1"/>
    <x v="3"/>
    <s v="Performing &amp; Creative Arts"/>
    <s v="EM"/>
    <x v="15"/>
    <s v="Completed"/>
    <s v="Royal College of Music"/>
    <s v="Masters in Performance"/>
    <s v="Music, Bassoon"/>
    <d v="2025-09-15T00:00:00"/>
    <n v="1"/>
    <s v="_x000d__x000a_380263.63_x000d__x000a_"/>
    <s v="_x000d__x000a_0_x000d__x000a_"/>
    <s v="_x000d__x000a_0_x000d__x000a_"/>
  </r>
  <r>
    <s v="10/12/2025"/>
    <s v="2025-10031"/>
    <s v="Higher Education Awards"/>
    <s v="Ndivhuwo Shumbula"/>
    <s v="ndivhuwos@mintek.co.za"/>
    <x v="0"/>
    <x v="2"/>
    <x v="0"/>
    <x v="0"/>
    <x v="0"/>
    <x v="0"/>
    <s v="Applied Sciences"/>
    <s v="EM"/>
    <x v="0"/>
    <s v="Completed"/>
    <s v="University of the Witwatersrand"/>
    <s v="Nanotechnology and Material Science"/>
    <s v="Fabrication of 2D nanomaterials for the detection of water pathogens"/>
    <d v="2026-01-05T00:00:00"/>
    <n v="2"/>
    <s v="_x000d__x000a_460000_x000d__x000a_"/>
    <s v="_x000d__x000a_460000_x000d__x000a_"/>
    <s v="_x000d__x000a_0_x000d__x000a_"/>
  </r>
  <r>
    <s v="10/12/2025"/>
    <s v="2025-9645"/>
    <s v="Higher Education Awards"/>
    <s v="Robert Dugmore"/>
    <s v="rtdugmore@gmail.com"/>
    <x v="0"/>
    <x v="0"/>
    <x v="1"/>
    <x v="0"/>
    <x v="0"/>
    <x v="1"/>
    <s v="Engineering &amp; the Built Environment"/>
    <s v="EM"/>
    <x v="0"/>
    <s v="Completed"/>
    <s v="University of Cape Town"/>
    <s v="MSc Eng in Electrical Engineering"/>
    <s v="Development of a ship-mounted RADAR sea-ice depth sensor"/>
    <d v="2025-02-03T00:00:00"/>
    <n v="1"/>
    <s v="_x000d__x000a_253000_x000d__x000a_"/>
    <s v="_x000d__x000a_0_x000d__x000a_"/>
    <s v="_x000d__x000a_0_x000d__x000a_"/>
  </r>
  <r>
    <s v="10/12/2025"/>
    <s v="2025-9955"/>
    <s v="Higher Education Awards"/>
    <s v="Onthatile Moseki"/>
    <s v="onthatilemoseki@gmail.com"/>
    <x v="3"/>
    <x v="0"/>
    <x v="0"/>
    <x v="1"/>
    <x v="0"/>
    <x v="8"/>
    <s v="Health Sciences"/>
    <s v="EM"/>
    <x v="15"/>
    <s v="Completed"/>
    <s v="University of the Western Cape"/>
    <s v="MSc Pharmacy Administration and Policy Regulation"/>
    <s v="Consumer awareness and attitudes toward adverse drug reaction reporting: A comparison between rural and urban communities in South Africa"/>
    <d v="2025-08-28T00:00:00"/>
    <n v="2"/>
    <s v="_x000d__x000a_179500_x000d__x000a_"/>
    <s v="_x000d__x000a_169500_x000d__x000a_"/>
    <s v="_x000d__x000a_0_x000d__x000a_"/>
  </r>
  <r>
    <s v="10/12/2025"/>
    <s v="2025-9825"/>
    <s v="Higher Education Awards"/>
    <s v="Oluwadamilola Makinde"/>
    <s v="makinde2020@gmail.com"/>
    <x v="0"/>
    <x v="2"/>
    <x v="0"/>
    <x v="0"/>
    <x v="0"/>
    <x v="5"/>
    <s v="Natural Sciences"/>
    <s v="EM"/>
    <x v="0"/>
    <s v="Completed"/>
    <s v="North West university, Potchefstroom campus, South Africa"/>
    <s v="Postdoctoral scholarship in Food Microbiology and food Safety"/>
    <s v="fungal and mycotoxin assessment of Tigernut (Cyperus esculentus) and its milk product"/>
    <d v="2026-01-01T00:00:00"/>
    <n v="2"/>
    <s v="_x000d__x000a_336668_x000d__x000a_"/>
    <s v="_x000d__x000a_336668_x000d__x000a_"/>
    <s v="_x000d__x000a_0_x000d__x000a_"/>
  </r>
  <r>
    <s v="10/12/2025"/>
    <s v="2025-9932"/>
    <s v="Higher Education Awards"/>
    <s v="Mmaphuti Charity Lewatle"/>
    <s v="Mmaphuti.lewatle@mrc.ac.za"/>
    <x v="3"/>
    <x v="0"/>
    <x v="0"/>
    <x v="1"/>
    <x v="0"/>
    <x v="8"/>
    <s v="Health Sciences"/>
    <s v="EM"/>
    <x v="15"/>
    <s v="Draft"/>
    <s v="University of Pretoria"/>
    <s v="MSc in Reproductive Biology"/>
    <s v="Epigenetics and Diabetes"/>
    <d v="2024-03-15T00:00:00"/>
    <n v="2"/>
    <s v="_x000d__x000a_-18575_x000d__x000a_"/>
    <s v="_x000d__x000a_-27240_x000d__x000a_"/>
    <s v="_x000d__x000a_0_x000d__x000a_"/>
  </r>
  <r>
    <s v="10/12/2025"/>
    <s v="2025-9926"/>
    <s v="Higher Education Awards"/>
    <s v="Gavin Foster"/>
    <s v="fstgav002@myuct.ac.za"/>
    <x v="0"/>
    <x v="1"/>
    <x v="1"/>
    <x v="0"/>
    <x v="0"/>
    <x v="1"/>
    <s v="Engineering &amp; the Built Environment"/>
    <s v="EM"/>
    <x v="0"/>
    <s v="Completed"/>
    <s v="University of Cape Town"/>
    <s v="Doctor of Philosophy (Electrical Engineering)"/>
    <s v="Template-based understanding of the control of bipedal agility"/>
    <d v="2026-02-18T00:00:00"/>
    <n v="3"/>
    <s v="_x000d__x000a_255170_x000d__x000a_"/>
    <s v="_x000d__x000a_260510_x000d__x000a_"/>
    <s v="_x000d__x000a_266648_x000d__x000a_"/>
  </r>
  <r>
    <s v="10/12/2025"/>
    <s v="2025-8588"/>
    <s v="Higher Education Awards"/>
    <s v="Palesa Seganye"/>
    <s v="1573774@students.wits.ac.za"/>
    <x v="0"/>
    <x v="0"/>
    <x v="0"/>
    <x v="1"/>
    <x v="0"/>
    <x v="0"/>
    <s v="Natural Sciences"/>
    <s v="EM"/>
    <x v="0"/>
    <s v="Completed"/>
    <s v="University of the Witwatersrand (WITS)"/>
    <s v="Master of Science in Chemistry"/>
    <s v="THE SYNTHESIS AND BIOLOGICAL EVALUATION OF ISOQUINOLINE DERIVATIVES AS NEW, POTENTIAL TRANSMISSION-BLOCKING COMPOUNDS IN THE FIGHT AGAINST MALARIA"/>
    <d v="2025-01-01T00:00:00"/>
    <n v="1"/>
    <s v="_x000d__x000a_157998_x000d__x000a_"/>
    <s v="_x000d__x000a_0_x000d__x000a_"/>
    <s v="_x000d__x000a_0_x000d__x000a_"/>
  </r>
  <r>
    <s v="10/12/2025"/>
    <s v="2025-8896"/>
    <s v="Higher Education Awards"/>
    <s v="Testimony Gabe-Oji"/>
    <s v="GBJTES001@myuct.ac.za"/>
    <x v="3"/>
    <x v="0"/>
    <x v="0"/>
    <x v="0"/>
    <x v="0"/>
    <x v="1"/>
    <s v="Engineering &amp; the Built Environment"/>
    <s v="EM"/>
    <x v="0"/>
    <s v="Completed"/>
    <s v="University of Cape Town"/>
    <s v="MscEng. Electrical Engineering"/>
    <s v="Real-Time Dynamic Load Emulation and Regenerative Braking Analysis For Electric Vehicles Using a PMSM Dual Motor Test Bench."/>
    <d v="2026-02-16T00:00:00"/>
    <n v="1"/>
    <s v="_x000d__x000a_194600_x000d__x000a_"/>
    <s v="_x000d__x000a_0_x000d__x000a_"/>
    <s v="_x000d__x000a_0_x000d__x000a_"/>
  </r>
  <r>
    <s v="10/12/2025"/>
    <s v="2025-8284"/>
    <s v="Higher Education Awards"/>
    <s v="Lizanne Andrag"/>
    <s v="andrag.lizanne.la@gmail.com"/>
    <x v="3"/>
    <x v="1"/>
    <x v="1"/>
    <x v="1"/>
    <x v="0"/>
    <x v="8"/>
    <s v="Health Sciences"/>
    <s v="EM"/>
    <x v="0"/>
    <s v="Completed"/>
    <s v="Stellenbosch University - Division of Sport and Exercise Medicine"/>
    <s v="PhD in Sport Science"/>
    <s v="Protecting the health of athletes with cerebral palsy competing in Frame Running"/>
    <d v="2026-01-05T00:00:00"/>
    <n v="3"/>
    <s v="_x000d__x000a_180600_x000d__x000a_"/>
    <s v="_x000d__x000a_306600_x000d__x000a_"/>
    <s v="_x000d__x000a_285800_x000d__x000a_"/>
  </r>
  <r>
    <s v="10/12/2025"/>
    <s v="2025-10084"/>
    <s v="Higher Education Awards"/>
    <s v="Promise Mazibuko"/>
    <s v="promiselandmazibukos@gmail.com"/>
    <x v="1"/>
    <x v="0"/>
    <x v="0"/>
    <x v="0"/>
    <x v="0"/>
    <x v="4"/>
    <s v="Commerce &amp; Management"/>
    <s v="EM"/>
    <x v="1"/>
    <s v="Completed"/>
    <s v="North-West university"/>
    <s v="Masters"/>
    <s v="A comparative time series analysis of South African household credit trends with Long Short-Term Memory"/>
    <d v="2025-08-28T00:00:00"/>
    <n v="2"/>
    <s v="_x000d__x000a_21000_x000d__x000a_"/>
    <s v="_x000d__x000a_21000_x000d__x000a_"/>
    <s v="_x000d__x000a_0_x000d__x000a_"/>
  </r>
  <r>
    <s v="10/12/2025"/>
    <s v="2025-9939"/>
    <s v="Higher Education Awards"/>
    <s v="Gomolemo Perseverence Shabangu"/>
    <s v="Kgomolemoshabangu@gmail.com"/>
    <x v="1"/>
    <x v="0"/>
    <x v="0"/>
    <x v="1"/>
    <x v="0"/>
    <x v="2"/>
    <s v="Humanities"/>
    <s v="EM"/>
    <x v="6"/>
    <s v="Completed"/>
    <s v="University of South Africa"/>
    <s v="Master of Arts in Psychology General (98402-GEN)"/>
    <s v="Cognitive and Experimental psychology"/>
    <d v="2026-02-01T00:00:00"/>
    <n v="2"/>
    <s v="_x000d__x000a_58500_x000d__x000a_"/>
    <s v="_x000d__x000a_58500_x000d__x000a_"/>
    <s v="_x000d__x000a_0_x000d__x000a_"/>
  </r>
  <r>
    <s v="10/12/2025"/>
    <s v="2025-8812"/>
    <s v="Higher Education Awards"/>
    <s v="Nomabhongo Masana"/>
    <s v="nnomabhongo@gmail.com"/>
    <x v="0"/>
    <x v="1"/>
    <x v="0"/>
    <x v="1"/>
    <x v="0"/>
    <x v="4"/>
    <s v="Commerce &amp; Management"/>
    <s v="EM"/>
    <x v="0"/>
    <s v="Completed"/>
    <s v="University of the Witwatersrand, Johannesburg"/>
    <s v="PhD in Information Systems"/>
    <s v="Towards a context-specific framework for improving EHR data quality for Big Data Analytics: A case study of a South African public hospital"/>
    <d v="2026-01-01T00:00:00"/>
    <n v="3"/>
    <s v="_x000d__x000a_-709977.34_x000d__x000a_"/>
    <s v="_x000d__x000a_-763940.92_x000d__x000a_"/>
    <s v="_x000d__x000a_-811926.82_x000d__x000a_"/>
  </r>
  <r>
    <s v="10/12/2025"/>
    <s v="2025-8513"/>
    <s v="Higher Education Awards"/>
    <s v="Raphael De Sousa"/>
    <s v="raphaeldesousa2003@gmail.com"/>
    <x v="0"/>
    <x v="0"/>
    <x v="1"/>
    <x v="0"/>
    <x v="0"/>
    <x v="0"/>
    <s v="Natural Sciences"/>
    <s v="EM"/>
    <x v="0"/>
    <s v="Completed"/>
    <s v="UCT"/>
    <s v="MSc in Applied Mathematics"/>
    <s v="Applied Mathematics"/>
    <d v="2026-01-01T00:00:00"/>
    <n v="2"/>
    <s v="_x000d__x000a_176000_x000d__x000a_"/>
    <s v="_x000d__x000a_176000_x000d__x000a_"/>
    <s v="_x000d__x000a_0_x000d__x000a_"/>
  </r>
  <r>
    <s v="10/12/2025"/>
    <s v="2025-8225"/>
    <s v="Higher Education Awards"/>
    <s v="LERATO MLABA"/>
    <s v="leratomlaba1@gmail.com"/>
    <x v="0"/>
    <x v="0"/>
    <x v="0"/>
    <x v="1"/>
    <x v="0"/>
    <x v="2"/>
    <s v="Humanities"/>
    <s v="EM"/>
    <x v="0"/>
    <s v="Completed"/>
    <s v="University of Witwatersrand"/>
    <s v="Master of Education Degree in Science Education"/>
    <s v="Exploring Effective Digital and Non-Digital Gamification Methods in Physical Science Lessons"/>
    <d v="2026-06-24T00:00:00"/>
    <n v="2"/>
    <s v="_x000d__x000a_246981.4_x000d__x000a_"/>
    <s v="_x000d__x000a_246981.4_x000d__x000a_"/>
    <s v="_x000d__x000a_0_x000d__x000a_"/>
  </r>
  <r>
    <s v="10/12/2025"/>
    <s v="2025-8662"/>
    <s v="Higher Education Awards"/>
    <s v="Natalie Bezerra"/>
    <s v="23798629@sun.ac.za"/>
    <x v="0"/>
    <x v="0"/>
    <x v="1"/>
    <x v="1"/>
    <x v="0"/>
    <x v="5"/>
    <s v="Natural Sciences"/>
    <s v="EM"/>
    <x v="0"/>
    <s v="Completed"/>
    <s v="Stellenbosch University"/>
    <s v="MSc in Microbiology"/>
    <s v="Investigating the influence of physicochemical factors on the expression of antibiotic resistance genes across wastewater-freshwater networks in South Africa"/>
    <d v="2025-02-03T00:00:00"/>
    <n v="1"/>
    <s v="_x000d__x000a_204516_x000d__x000a_"/>
    <s v="_x000d__x000a_0_x000d__x000a_"/>
    <s v="_x000d__x000a_0_x000d__x000a_"/>
  </r>
  <r>
    <s v="10/12/2025"/>
    <s v="2025-10078"/>
    <s v="Higher Education Awards"/>
    <s v="Rabelani Mudzuli"/>
    <s v="rabemudzuli@icloud.com"/>
    <x v="0"/>
    <x v="0"/>
    <x v="0"/>
    <x v="1"/>
    <x v="0"/>
    <x v="8"/>
    <s v="Health Sciences"/>
    <s v="EM"/>
    <x v="0"/>
    <s v="Completed"/>
    <s v="University of Pretoria"/>
    <s v="MSc specialising in Medical Virology"/>
    <s v="Human Papillomavirus (HPV) Research, Vaccinology, Phylogenetic lineages and understanding the genetic relatedness between the high risk-HPV variants, Epitope analysis"/>
    <d v="2026-01-05T00:00:00"/>
    <n v="1"/>
    <s v="_x000d__x000a_126555_x000d__x000a_"/>
    <s v="_x000d__x000a_0_x000d__x000a_"/>
    <s v="_x000d__x000a_0_x000d__x000a_"/>
  </r>
  <r>
    <s v="10/12/2025"/>
    <s v="2025-8599"/>
    <s v="Higher Education Awards"/>
    <s v="Simon Wolfson"/>
    <s v="simonwolfson3@gmail.com"/>
    <x v="0"/>
    <x v="1"/>
    <x v="1"/>
    <x v="0"/>
    <x v="0"/>
    <x v="2"/>
    <s v="Humanities"/>
    <s v="EM"/>
    <x v="0"/>
    <s v="Completed"/>
    <s v="University of the Witwatersrand"/>
    <s v="English Literature"/>
    <s v="Through the Eye/I of the Camera: Damon Galgut’s Cinematic Logic and the Problem of the White Gaze"/>
    <d v="2026-01-08T00:00:00"/>
    <n v="2"/>
    <s v="_x000d__x000a_268163_x000d__x000a_"/>
    <s v="_x000d__x000a_279495_x000d__x000a_"/>
    <s v="_x000d__x000a_0_x000d__x000a_"/>
  </r>
  <r>
    <s v="10/12/2025"/>
    <s v="2025-9958"/>
    <s v="Higher Education Awards"/>
    <s v="Simone Barry"/>
    <s v="simonebarry84@gmail.com"/>
    <x v="0"/>
    <x v="2"/>
    <x v="2"/>
    <x v="1"/>
    <x v="0"/>
    <x v="5"/>
    <s v="Natural Sciences"/>
    <s v="EM"/>
    <x v="0"/>
    <s v="Completed"/>
    <s v="University of the Western Cape"/>
    <s v="Postdoctoral Research Fellow in Nano-Chemistry and Electrochemistry"/>
    <s v="Electrochemical detection of tyramine using biogenically synthesized iron-zinc nanocomposites"/>
    <d v="2026-01-05T00:00:00"/>
    <n v="2"/>
    <s v="_x000d__x000a_305000_x000d__x000a_"/>
    <s v="_x000d__x000a_305000_x000d__x000a_"/>
    <s v="_x000d__x000a_0_x000d__x000a_"/>
  </r>
  <r>
    <s v="10/12/2025"/>
    <s v="2025-9626"/>
    <s v="Higher Education Awards"/>
    <s v="ZAINAB KHARVA"/>
    <s v="zainab.kharva@gmail.com"/>
    <x v="3"/>
    <x v="0"/>
    <x v="4"/>
    <x v="1"/>
    <x v="0"/>
    <x v="8"/>
    <s v="Health Sciences"/>
    <s v="EM"/>
    <x v="1"/>
    <s v="Completed"/>
    <s v="University of Western Cape"/>
    <s v="Master of Public Health"/>
    <s v="Public Health"/>
    <d v="2026-02-01T00:00:00"/>
    <n v="2"/>
    <s v="_x000d__x000a_175000_x000d__x000a_"/>
    <s v="_x000d__x000a_175000_x000d__x000a_"/>
    <s v="_x000d__x000a_0_x000d__x000a_"/>
  </r>
  <r>
    <s v="10/12/2025"/>
    <s v="2025-9735"/>
    <s v="Higher Education Awards"/>
    <s v="Andiswa Simelane"/>
    <s v="simelane.ats@gmail.com"/>
    <x v="1"/>
    <x v="0"/>
    <x v="0"/>
    <x v="1"/>
    <x v="1"/>
    <x v="4"/>
    <s v="Commerce &amp; Management"/>
    <s v="EM"/>
    <x v="1"/>
    <s v="Completed"/>
    <s v="University of stirling"/>
    <s v="MSc Finance and Risk management"/>
    <s v="Finance and Risk management"/>
    <d v="2026-01-15T00:00:00"/>
    <n v="2"/>
    <s v="_x000d__x000a_555357.66_x000d__x000a_"/>
    <s v="_x000d__x000a_489424_x000d__x000a_"/>
    <s v="_x000d__x000a_0_x000d__x000a_"/>
  </r>
  <r>
    <s v="10/12/2025"/>
    <s v="2025-9598"/>
    <s v="Higher Education Awards"/>
    <s v="Thandiwe Ntomfuthi Mkhatshwa"/>
    <s v="thandiwe.mkhatshwa@ul.ac.za"/>
    <x v="0"/>
    <x v="1"/>
    <x v="0"/>
    <x v="1"/>
    <x v="0"/>
    <x v="8"/>
    <s v="Health Sciences"/>
    <s v="EM"/>
    <x v="0"/>
    <s v="Completed"/>
    <s v="University of Limpopo"/>
    <s v="Doctor of philosophy (Physiology)"/>
    <s v="Investigating The Potential Causal Associations Between Dietary Intake, The Renin-Angiotensin-Aldosterone System, And Blood Pressure Among Young Adults: Ellisras Longitudinal Study"/>
    <d v="2025-03-19T00:00:00"/>
    <n v="3"/>
    <s v="_x000d__x000a_172000_x000d__x000a_"/>
    <s v="_x000d__x000a_202000_x000d__x000a_"/>
    <s v="_x000d__x000a_202000_x000d__x000a_"/>
  </r>
  <r>
    <s v="10/12/2025"/>
    <s v="2025-9817"/>
    <s v="Higher Education Awards"/>
    <s v="Benjamin Abraham"/>
    <s v="abrahamb@sun.ac.za"/>
    <x v="0"/>
    <x v="2"/>
    <x v="4"/>
    <x v="0"/>
    <x v="0"/>
    <x v="5"/>
    <s v="Natural Sciences"/>
    <s v="EM"/>
    <x v="0"/>
    <s v="Completed"/>
    <s v="University of Pretoria"/>
    <s v="Microbiology"/>
    <s v="Understanding Seagrass Resilience and Viral Evolution under Anthropogenic Stress in South African Coastal Regions"/>
    <d v="2026-02-02T00:00:00"/>
    <n v="2"/>
    <s v="_x000d__x000a_260000_x000d__x000a_"/>
    <s v="_x000d__x000a_260000_x000d__x000a_"/>
    <s v="_x000d__x000a_0_x000d__x000a_"/>
  </r>
  <r>
    <s v="10/12/2025"/>
    <s v="2025-10045"/>
    <s v="Higher Education Awards"/>
    <s v="Dzanga Rambuda"/>
    <s v="dzangarambuda839@gmail.com"/>
    <x v="0"/>
    <x v="0"/>
    <x v="0"/>
    <x v="1"/>
    <x v="0"/>
    <x v="0"/>
    <s v="Natural Sciences"/>
    <s v="EM"/>
    <x v="0"/>
    <s v="Completed"/>
    <s v="01 February 2026"/>
    <s v="AI-Driven Ingredient Risk Detection in South African Beauty Products Listings : A Computational Toxicology Approach"/>
    <s v="University of Mpumalanga"/>
    <d v="2026-02-01T00:00:00"/>
    <n v="2"/>
    <s v="_x000d__x000a_100000_x000d__x000a_"/>
    <s v="_x000d__x000a_70000_x000d__x000a_"/>
    <s v="_x000d__x000a_0_x000d__x000a_"/>
  </r>
  <r>
    <s v="10/12/2025"/>
    <s v="2025-9667"/>
    <s v="Higher Education Awards"/>
    <s v="Sandiswa Thobeka Mntambo"/>
    <s v="mntambosandiswa@gmail.com"/>
    <x v="0"/>
    <x v="0"/>
    <x v="0"/>
    <x v="1"/>
    <x v="0"/>
    <x v="5"/>
    <s v="Natural Sciences"/>
    <s v="EM"/>
    <x v="10"/>
    <s v="Draft"/>
    <s v="University of Zululand"/>
    <s v="MSc (Agriculture) (Plant Sciences)"/>
    <s v="Assessment of Agro-morphological, Physiological, and Biochemical Responses of Sesamum alatum to Soil Salinity"/>
    <d v="2026-02-02T00:00:00"/>
    <n v="2"/>
    <s v="_x000d__x000a_126000_x000d__x000a_"/>
    <s v="_x000d__x000a_99500_x000d__x000a_"/>
    <s v="_x000d__x000a_0_x000d__x000a_"/>
  </r>
  <r>
    <s v="10/12/2025"/>
    <s v="2025-9871"/>
    <s v="Higher Education Awards"/>
    <s v="Mandita Rakei"/>
    <s v="2303880@students.wits.ac.za"/>
    <x v="0"/>
    <x v="0"/>
    <x v="0"/>
    <x v="1"/>
    <x v="0"/>
    <x v="0"/>
    <s v="Applied Sciences"/>
    <s v="EM"/>
    <x v="0"/>
    <s v="Completed"/>
    <s v="University of the Witswatersrand"/>
    <s v="Masters of Science in Computational and Applied Mathematics"/>
    <s v="Fluid Dynamics: Mathematical Models for Wind Turbines"/>
    <d v="2026-02-09T00:00:00"/>
    <n v="2"/>
    <s v="_x000d__x000a_144000_x000d__x000a_"/>
    <s v="_x000d__x000a_144000_x000d__x000a_"/>
    <s v="_x000d__x000a_0_x000d__x000a_"/>
  </r>
  <r>
    <s v="10/12/2025"/>
    <s v="2025-9194"/>
    <s v="Higher Education Awards"/>
    <s v="Ramakgahlela Betty Sebati"/>
    <s v="bettysebati800@gmail.com"/>
    <x v="0"/>
    <x v="2"/>
    <x v="0"/>
    <x v="1"/>
    <x v="0"/>
    <x v="8"/>
    <s v="Health Sciences"/>
    <s v="EM"/>
    <x v="0"/>
    <s v="Completed"/>
    <s v="University of Johannesburg"/>
    <s v="Public Health"/>
    <s v="The impact of U.S. Agency for International Development [USAID] 2025 funding termination on the HIV response in South Africa: Outcomes, implications and sustainability"/>
    <d v="2026-01-12T00:00:00"/>
    <n v="2"/>
    <s v="_x000d__x000a_315000_x000d__x000a_"/>
    <s v="_x000d__x000a_325000_x000d__x000a_"/>
    <s v="_x000d__x000a_275000_x000d__x000a_"/>
  </r>
  <r>
    <s v="10/12/2025"/>
    <s v="2025-7883"/>
    <s v="Higher Education Awards"/>
    <s v="Alistair Christmas"/>
    <s v="21861404@sun.ac.za"/>
    <x v="0"/>
    <x v="0"/>
    <x v="1"/>
    <x v="0"/>
    <x v="0"/>
    <x v="5"/>
    <s v="Natural Sciences"/>
    <s v="EM"/>
    <x v="0"/>
    <s v="Completed"/>
    <s v="Stellenbosch University"/>
    <s v="MSc Microbiology"/>
    <s v="Parisitology, Gut microbiome, mouse study"/>
    <d v="2025-01-14T00:00:00"/>
    <n v="1"/>
    <s v="_x000d__x000a_110400_x000d__x000a_"/>
    <s v="_x000d__x000a_0_x000d__x000a_"/>
    <s v="_x000d__x000a_0_x000d__x000a_"/>
  </r>
  <r>
    <s v="10/12/2025"/>
    <s v="2025-9766"/>
    <s v="Higher Education Awards"/>
    <s v="Thandokuhle Nkambule"/>
    <s v="mcebo.mthandos17@gmail.com"/>
    <x v="1"/>
    <x v="1"/>
    <x v="0"/>
    <x v="0"/>
    <x v="0"/>
    <x v="2"/>
    <s v="Humanities"/>
    <s v="EM"/>
    <x v="1"/>
    <s v="Completed"/>
    <s v="University of KwaZulu-Natal"/>
    <s v="PHED Doctor of Philosophy (Education) in Education leadership, management and policy."/>
    <s v="Managing gender diverse and non-binary classrooms: The perspectives of Township secondary school educators in Clermont."/>
    <d v="2026-03-30T00:00:00"/>
    <n v="3"/>
    <s v="_x000d__x000a_83216_x000d__x000a_"/>
    <s v="_x000d__x000a_45115_x000d__x000a_"/>
    <s v="_x000d__x000a_59107_x000d__x000a_"/>
  </r>
  <r>
    <s v="10/12/2025"/>
    <s v="2025-10056"/>
    <s v="Higher Education Awards"/>
    <s v="Letlhogonolo Latin Lokoae"/>
    <s v="LatinLokoae@gmail.com"/>
    <x v="1"/>
    <x v="1"/>
    <x v="0"/>
    <x v="0"/>
    <x v="0"/>
    <x v="4"/>
    <s v="Commerce &amp; Management"/>
    <s v="EM"/>
    <x v="1"/>
    <s v="Completed"/>
    <s v="North-West University"/>
    <s v="Statistics"/>
    <s v="Explainable AI and Hybrid Statistical Models for Decision-Making in Emerging Markets"/>
    <d v="2026-02-28T00:00:00"/>
    <n v="3"/>
    <s v="_x000d__x000a_95000_x000d__x000a_"/>
    <s v="_x000d__x000a_95000_x000d__x000a_"/>
    <s v="_x000d__x000a_95000_x000d__x000a_"/>
  </r>
  <r>
    <s v="10/12/2025"/>
    <s v="2025-9996"/>
    <s v="Higher Education Awards"/>
    <s v="Micaela Boardman"/>
    <s v="micciboardman@gmail.com"/>
    <x v="0"/>
    <x v="0"/>
    <x v="1"/>
    <x v="1"/>
    <x v="0"/>
    <x v="8"/>
    <s v="Natural Sciences"/>
    <s v="EM"/>
    <x v="0"/>
    <s v="Completed"/>
    <s v="University of Cape Town"/>
    <s v="MCB5005W (Master of Science by dissertation in Molecular and Cellular Biology)"/>
    <s v="Molecular and cellular biology"/>
    <d v="2026-02-16T00:00:00"/>
    <n v="2"/>
    <s v="_x000d__x000a_258426.24_x000d__x000a_"/>
    <s v="_x000d__x000a_271245.05_x000d__x000a_"/>
    <s v="_x000d__x000a_0_x000d__x000a_"/>
  </r>
  <r>
    <s v="10/12/2025"/>
    <s v="2025-9835"/>
    <s v="Higher Education Awards"/>
    <s v="Carly Burmeister"/>
    <s v="carlyburmeister6@gmail.com"/>
    <x v="0"/>
    <x v="2"/>
    <x v="1"/>
    <x v="1"/>
    <x v="0"/>
    <x v="8"/>
    <s v="Health Sciences"/>
    <s v="EM"/>
    <x v="0"/>
    <s v="Completed"/>
    <s v="University of Cape Town"/>
    <s v="Postdoctoral fellow in Medical Cell Biology"/>
    <s v="Cancer research specialising in cervical cancer"/>
    <d v="2026-01-01T00:00:00"/>
    <n v="1"/>
    <s v="_x000d__x000a_280000_x000d__x000a_"/>
    <s v="_x000d__x000a_0_x000d__x000a_"/>
    <s v="_x000d__x000a_0_x000d__x000a_"/>
  </r>
  <r>
    <s v="10/12/2025"/>
    <s v="2025-10009"/>
    <s v="Higher Education Awards"/>
    <s v="Matlhogonolo Rapelang Mookisi"/>
    <s v="mookisirapelang@gmail.com"/>
    <x v="0"/>
    <x v="0"/>
    <x v="0"/>
    <x v="1"/>
    <x v="0"/>
    <x v="8"/>
    <s v="Natural Sciences"/>
    <s v="EM"/>
    <x v="0"/>
    <s v="Completed"/>
    <s v="Stellenbosch University"/>
    <s v="Microbiology"/>
    <s v="Parasitology and host-pathogen interactions"/>
    <d v="2026-02-01T00:00:00"/>
    <n v="2"/>
    <s v="_x000d__x000a_166000_x000d__x000a_"/>
    <s v="_x000d__x000a_156000_x000d__x000a_"/>
    <s v="_x000d__x000a_0_x000d__x000a_"/>
  </r>
  <r>
    <s v="10/12/2025"/>
    <s v="2025-9000"/>
    <s v="Higher Education Awards"/>
    <s v="Cicero Skweza"/>
    <s v="Cwengasikweza98@gmail.com"/>
    <x v="0"/>
    <x v="0"/>
    <x v="0"/>
    <x v="0"/>
    <x v="0"/>
    <x v="6"/>
    <s v="Social Sciences"/>
    <s v="EM"/>
    <x v="0"/>
    <s v="Completed"/>
    <s v="University of South Africa"/>
    <s v="Masters of Art in History"/>
    <s v="The enduring effects of colonialism on Xhosa culture: Land, Identity and social structure (1830- 2004)."/>
    <d v="2026-02-02T00:00:00"/>
    <n v="1"/>
    <s v="_x000d__x000a_150000_x000d__x000a_"/>
    <s v="_x000d__x000a_0_x000d__x000a_"/>
    <s v="_x000d__x000a_0_x000d__x000a_"/>
  </r>
  <r>
    <s v="10/12/2025"/>
    <s v="2025-9482"/>
    <s v="Higher Education Awards"/>
    <s v="Tamar Abigail Jansen"/>
    <s v="25422685@sun.ac.za"/>
    <x v="0"/>
    <x v="0"/>
    <x v="2"/>
    <x v="1"/>
    <x v="0"/>
    <x v="2"/>
    <s v="Humanities"/>
    <s v="EM"/>
    <x v="0"/>
    <s v="Completed"/>
    <s v="University of Stellenbosch"/>
    <s v="MA Ancient Cultures"/>
    <s v="Ancient Assyriology"/>
    <d v="2025-01-15T00:00:00"/>
    <n v="2"/>
    <s v="_x000d__x000a_-87548.96_x000d__x000a_"/>
    <s v="_x000d__x000a_178200_x000d__x000a_"/>
    <s v="_x000d__x000a_0_x000d__x000a_"/>
  </r>
  <r>
    <s v="10/12/2025"/>
    <s v="2025-9577"/>
    <s v="Higher Education Awards"/>
    <s v="Bayanda Yende"/>
    <s v="yendebayanda@gmail.com"/>
    <x v="0"/>
    <x v="1"/>
    <x v="0"/>
    <x v="0"/>
    <x v="0"/>
    <x v="2"/>
    <s v="Humanities"/>
    <s v="EM"/>
    <x v="0"/>
    <s v="Completed"/>
    <s v="University of the Witwatersrand"/>
    <s v="PhD in English Literature"/>
    <s v="From School to University: Representations of the transformative power of education in South African literature"/>
    <d v="2026-01-01T00:00:00"/>
    <n v="3"/>
    <s v="_x000d__x000a_261340_x000d__x000a_"/>
    <s v="_x000d__x000a_287000_x000d__x000a_"/>
    <s v="_x000d__x000a_324000_x000d__x000a_"/>
  </r>
  <r>
    <s v="10/12/2025"/>
    <s v="2025-9660"/>
    <s v="Higher Education Awards"/>
    <s v="Elizabeth Tikiso"/>
    <s v="lizzietikiso@gmail.com"/>
    <x v="3"/>
    <x v="1"/>
    <x v="0"/>
    <x v="1"/>
    <x v="1"/>
    <x v="4"/>
    <s v="Commerce &amp; Management"/>
    <s v="EM"/>
    <x v="0"/>
    <s v="Completed"/>
    <s v="Wits University"/>
    <s v="PhD in Information Systems"/>
    <s v="Implementation of AI-driven cybersecurity in digital banking usingthe socio-technical framework"/>
    <d v="2025-02-03T00:00:00"/>
    <n v="3"/>
    <s v="_x000d__x000a_200000_x000d__x000a_"/>
    <s v="_x000d__x000a_200000_x000d__x000a_"/>
    <s v="_x000d__x000a_200000_x000d__x000a_"/>
  </r>
  <r>
    <s v="10/12/2025"/>
    <s v="2025-8690"/>
    <s v="Higher Education Awards"/>
    <s v="Khethani Thendo Mathikhi"/>
    <s v="thendzm@gmail.com"/>
    <x v="0"/>
    <x v="1"/>
    <x v="0"/>
    <x v="0"/>
    <x v="0"/>
    <x v="8"/>
    <s v="Health Sciences"/>
    <s v="EM"/>
    <x v="0"/>
    <s v="Completed"/>
    <s v="University of Cape Town"/>
    <s v="PhD Psychiatry (Neuroscience)"/>
    <s v="An investigation of neurobiological mechanisms involved in neurodevelopmental impairments of offspring exposed to HIV Tat protein in utero: a murine model for HIV-exposed uninfected children"/>
    <d v="2025-01-06T00:00:00"/>
    <n v="3"/>
    <s v="_x000d__x000a_213170_x000d__x000a_"/>
    <s v="_x000d__x000a_234487_x000d__x000a_"/>
    <s v="_x000d__x000a_257575.7_x000d__x000a_"/>
  </r>
  <r>
    <s v="10/12/2025"/>
    <s v="2025-9366"/>
    <s v="Higher Education Awards"/>
    <s v="Jonathan Hughes"/>
    <s v="hughesjonathan3@gmail.com"/>
    <x v="0"/>
    <x v="1"/>
    <x v="1"/>
    <x v="0"/>
    <x v="0"/>
    <x v="2"/>
    <s v="Humanities"/>
    <s v="EM"/>
    <x v="0"/>
    <s v="Completed"/>
    <s v="Stellenbosch University"/>
    <s v="PhD (Interdisciplinary Arts Studies)"/>
    <s v="Historical and Contemporary Perspectives on Pipe Organs and Organ Playing in South Africa"/>
    <d v="2026-01-01T00:00:00"/>
    <n v="3"/>
    <s v="_x000d__x000a_183820_x000d__x000a_"/>
    <s v="_x000d__x000a_163820_x000d__x000a_"/>
    <s v="_x000d__x000a_158820_x000d__x000a_"/>
  </r>
  <r>
    <s v="10/12/2025"/>
    <s v="2025-10035"/>
    <s v="Higher Education Awards"/>
    <s v="Zelalem Sintayehu Shibeshi"/>
    <s v="z.shibeshi@ru.ac.za"/>
    <x v="3"/>
    <x v="3"/>
    <x v="0"/>
    <x v="0"/>
    <x v="1"/>
    <x v="0"/>
    <s v="Applied Sciences"/>
    <s v="EM"/>
    <x v="14"/>
    <s v="Completed"/>
    <s v="Skills for Africa Training Institute"/>
    <s v="Short course on 5G"/>
    <s v="5g And Beyond Wireless Communication Systems"/>
    <d v="2026-03-09T00:00:00"/>
    <n v="1"/>
    <s v="_x000d__x000a_68500_x000d__x000a_"/>
    <s v="_x000d__x000a_0_x000d__x000a_"/>
    <s v="_x000d__x000a_0_x000d__x000a_"/>
  </r>
  <r>
    <s v="10/12/2025"/>
    <s v="2025-9664"/>
    <s v="Higher Education Awards"/>
    <s v="Siboniso Magoso"/>
    <s v="sbohdainnor@gmail.com"/>
    <x v="0"/>
    <x v="1"/>
    <x v="0"/>
    <x v="0"/>
    <x v="0"/>
    <x v="5"/>
    <s v="Natural Sciences"/>
    <s v="EM"/>
    <x v="0"/>
    <s v="Completed"/>
    <s v="University of KwaZulu-Natal"/>
    <s v="Ecological Sciences"/>
    <s v="Ecological and health implications for birds in waste disposal sites in KwaZulu-Natal, South Africa"/>
    <d v="2026-01-19T00:00:00"/>
    <n v="2"/>
    <s v="_x000d__x000a_116500_x000d__x000a_"/>
    <s v="_x000d__x000a_116500_x000d__x000a_"/>
    <s v="_x000d__x000a_0_x000d__x000a_"/>
  </r>
  <r>
    <s v="10/12/2025"/>
    <s v="2025-9950"/>
    <s v="Higher Education Awards"/>
    <s v="Ronelle Burger"/>
    <s v="rburger@sun.ac.za"/>
    <x v="0"/>
    <x v="3"/>
    <x v="1"/>
    <x v="1"/>
    <x v="1"/>
    <x v="4"/>
    <s v="Commerce &amp; Management"/>
    <s v="EM"/>
    <x v="0"/>
    <s v="Completed"/>
    <s v="Bath University; Erasmus University Rotterdam"/>
    <s v="Development Economics and Health Economics"/>
    <s v="Health Inequality"/>
    <d v="2026-04-01T00:00:00"/>
    <n v="1"/>
    <s v="_x000d__x000a_211500_x000d__x000a_"/>
    <s v="_x000d__x000a_0_x000d__x000a_"/>
    <s v="_x000d__x000a_0_x000d__x000a_"/>
  </r>
  <r>
    <s v="10/12/2025"/>
    <s v="2025-9127"/>
    <s v="Higher Education Awards"/>
    <s v="Emma Kruger"/>
    <s v="emmakruger263@gmail.com"/>
    <x v="0"/>
    <x v="0"/>
    <x v="1"/>
    <x v="1"/>
    <x v="0"/>
    <x v="8"/>
    <s v="Health Sciences"/>
    <s v="EM"/>
    <x v="0"/>
    <s v="Completed"/>
    <s v="Stellenbosch University"/>
    <s v="Bioinformatics and Computational Biology"/>
    <s v="Human Genetics"/>
    <d v="2025-01-27T00:00:00"/>
    <n v="1"/>
    <s v="_x000d__x000a_177164_x000d__x000a_"/>
    <s v="_x000d__x000a_0_x000d__x000a_"/>
    <s v="_x000d__x000a_0_x000d__x000a_"/>
  </r>
  <r>
    <s v="10/12/2025"/>
    <s v="2025-8948"/>
    <s v="Higher Education Awards"/>
    <s v="Keletso Matshwele"/>
    <s v="keletsomatsoele@icloud.com"/>
    <x v="0"/>
    <x v="0"/>
    <x v="0"/>
    <x v="1"/>
    <x v="0"/>
    <x v="2"/>
    <s v="Humanities"/>
    <s v="EM"/>
    <x v="0"/>
    <s v="Completed"/>
    <s v="University of the Witwatersrand"/>
    <s v="Education"/>
    <s v="Decolonising Education Policy in South Africa: Towards Equitable curriculum transformation for rural learners"/>
    <d v="2026-01-05T00:00:00"/>
    <n v="1"/>
    <s v="_x000d__x000a_130900_x000d__x000a_"/>
    <s v="_x000d__x000a_0_x000d__x000a_"/>
    <s v="_x000d__x000a_0_x000d__x000a_"/>
  </r>
  <r>
    <s v="10/12/2025"/>
    <s v="2025-9952"/>
    <s v="Higher Education Awards"/>
    <s v="Michael Hough"/>
    <s v="gnr.enco@gmail.com"/>
    <x v="0"/>
    <x v="1"/>
    <x v="1"/>
    <x v="0"/>
    <x v="0"/>
    <x v="8"/>
    <s v="Health Sciences"/>
    <s v="EM"/>
    <x v="0"/>
    <s v="Completed"/>
    <s v="Stellenbosch University"/>
    <s v="PhD (Pediatrics)"/>
    <s v="Investigating the factors affecting flourishing amongst healthcare professionals working with TB patients in Namibian Regions"/>
    <d v="2026-01-01T00:00:00"/>
    <n v="2"/>
    <s v="_x000d__x000a_32016.48_x000d__x000a_"/>
    <s v="_x000d__x000a_70016.48_x000d__x000a_"/>
    <s v="_x000d__x000a_0_x000d__x000a_"/>
  </r>
  <r>
    <s v="10/12/2025"/>
    <s v="2025-9274"/>
    <s v="Higher Education Awards"/>
    <s v="Luke-John Daniels"/>
    <s v="ljdaniels56@gmail.com"/>
    <x v="0"/>
    <x v="1"/>
    <x v="2"/>
    <x v="0"/>
    <x v="0"/>
    <x v="8"/>
    <s v="Health Sciences"/>
    <s v="EM"/>
    <x v="0"/>
    <s v="Completed"/>
    <s v="Stellenbosch University"/>
    <s v="Anatomy"/>
    <s v="Facial sciences"/>
    <d v="2024-02-01T00:00:00"/>
    <n v="2"/>
    <s v="_x000d__x000a_70435_x000d__x000a_"/>
    <s v="_x000d__x000a_64885_x000d__x000a_"/>
    <s v="_x000d__x000a_0_x000d__x000a_"/>
  </r>
  <r>
    <s v="10/12/2025"/>
    <s v="2025-9699"/>
    <s v="Higher Education Awards"/>
    <s v="Juliet Nagawa"/>
    <s v="juliet.nagawa@uct.ac.za"/>
    <x v="0"/>
    <x v="2"/>
    <x v="0"/>
    <x v="1"/>
    <x v="0"/>
    <x v="8"/>
    <s v="Health Sciences"/>
    <s v="EM"/>
    <x v="0"/>
    <s v="Completed"/>
    <s v="University of Cape Town"/>
    <s v="Biomedical engineering"/>
    <s v="Application of artificial intelligence to classify and predict recovery for dilated cardiomyopathies"/>
    <d v="2026-01-05T00:00:00"/>
    <n v="2"/>
    <s v="_x000d__x000a_337320_x000d__x000a_"/>
    <s v="_x000d__x000a_272320_x000d__x000a_"/>
    <s v="_x000d__x000a_0_x000d__x000a_"/>
  </r>
  <r>
    <s v="10/12/2025"/>
    <s v="2025-8356"/>
    <s v="Higher Education Awards"/>
    <s v="Banele Banda"/>
    <s v="banelefk@gmail.com"/>
    <x v="0"/>
    <x v="0"/>
    <x v="0"/>
    <x v="0"/>
    <x v="0"/>
    <x v="8"/>
    <s v="Health Sciences"/>
    <s v="EM"/>
    <x v="0"/>
    <s v="Completed"/>
    <s v="Stellenbosch University"/>
    <s v="Masters of Science (Neuroscience)"/>
    <s v="A VIRTUAL REALITY BASED PILOT STUDY OF STRESS REACTIVITY IN SCHIZOPHRENIA"/>
    <d v="2026-01-05T00:00:00"/>
    <n v="1"/>
    <s v="_x000d__x000a_220000_x000d__x000a_"/>
    <s v="_x000d__x000a_0_x000d__x000a_"/>
    <s v="_x000d__x000a_0_x000d__x000a_"/>
  </r>
  <r>
    <s v="10/12/2025"/>
    <s v="2025-9650"/>
    <s v="Higher Education Awards"/>
    <s v="Nicola Danielle Rohwer"/>
    <s v="25336991@sun.ac.za"/>
    <x v="0"/>
    <x v="0"/>
    <x v="1"/>
    <x v="1"/>
    <x v="0"/>
    <x v="0"/>
    <s v="Natural Sciences"/>
    <s v="EM"/>
    <x v="0"/>
    <s v="Draft"/>
    <s v="Stellenbosch University"/>
    <s v="Master's in Chemistry/Biochemistry"/>
    <s v="Development of BacPROTACs as a novel way of treatment for Gram-negative Bacterial infections"/>
    <d v="2026-02-01T00:00:00"/>
    <n v="2"/>
    <s v="_x000d__x000a_165000_x000d__x000a_"/>
    <s v="_x000d__x000a_165000_x000d__x000a_"/>
    <s v="_x000d__x000a_0_x000d__x000a_"/>
  </r>
  <r>
    <s v="10/12/2025"/>
    <s v="2025-9030"/>
    <s v="Higher Education Awards"/>
    <s v="John Richard Faul"/>
    <s v="johnfaul.ri@gmail.com"/>
    <x v="0"/>
    <x v="0"/>
    <x v="1"/>
    <x v="0"/>
    <x v="0"/>
    <x v="0"/>
    <s v="Natural Sciences"/>
    <s v="EM"/>
    <x v="0"/>
    <s v="Completed"/>
    <s v="Stellenbosch University"/>
    <s v="Master of Science in Chemistry"/>
    <s v="Structure-property relationships in flexible MOFs for CO₂ capture"/>
    <d v="2026-01-01T00:00:00"/>
    <n v="2"/>
    <s v="_x000d__x000a_142915_x000d__x000a_"/>
    <s v="_x000d__x000a_142915_x000d__x000a_"/>
    <s v="_x000d__x000a_0_x000d__x000a_"/>
  </r>
  <r>
    <s v="10/12/2025"/>
    <s v="2025-9025"/>
    <s v="Higher Education Awards"/>
    <s v="Kyle Craninx"/>
    <s v="kcraninx@gmail.com"/>
    <x v="0"/>
    <x v="0"/>
    <x v="1"/>
    <x v="0"/>
    <x v="0"/>
    <x v="5"/>
    <s v="Natural Sciences"/>
    <s v="EM"/>
    <x v="0"/>
    <s v="Completed"/>
    <s v="University of Pretoria"/>
    <s v="MSc"/>
    <s v="Genetics"/>
    <d v="2025-01-13T00:00:00"/>
    <n v="1"/>
    <s v="_x000d__x000a_153855_x000d__x000a_"/>
    <s v="_x000d__x000a_0_x000d__x000a_"/>
    <s v="_x000d__x000a_0_x000d__x000a_"/>
  </r>
  <r>
    <s v="10/12/2025"/>
    <s v="2025-9846"/>
    <s v="Higher Education Awards"/>
    <s v="Seamogelo Charity Sephiri"/>
    <s v="seamosephiri@gmail.com"/>
    <x v="3"/>
    <x v="1"/>
    <x v="0"/>
    <x v="1"/>
    <x v="0"/>
    <x v="7"/>
    <s v="Law"/>
    <s v="EM"/>
    <x v="0"/>
    <s v="Completed"/>
    <s v="North-West University"/>
    <s v="Doctoral Studies"/>
    <s v="The role of national, provincial and local government in realising the right of access to sufficient food in South Africa"/>
    <d v="2026-01-05T00:00:00"/>
    <n v="3"/>
    <s v="_x000d__x000a_125200_x000d__x000a_"/>
    <s v="_x000d__x000a_144100_x000d__x000a_"/>
    <s v="_x000d__x000a_147500_x000d__x000a_"/>
  </r>
  <r>
    <s v="10/12/2025"/>
    <s v="2025-8479"/>
    <s v="Higher Education Awards"/>
    <s v="Olivia Page-Macdonald"/>
    <s v="PGMOLI001@myuct.ac.za"/>
    <x v="0"/>
    <x v="1"/>
    <x v="1"/>
    <x v="1"/>
    <x v="0"/>
    <x v="5"/>
    <s v="Natural Sciences"/>
    <s v="EM"/>
    <x v="0"/>
    <s v="Completed"/>
    <s v="University of Cape Town"/>
    <s v="PhD by dissertation at Department of Molecular and Cell Biology"/>
    <s v="Evolutionary and Conservation genetics"/>
    <d v="2026-01-15T00:00:00"/>
    <n v="3"/>
    <s v="_x000d__x000a_84170_x000d__x000a_"/>
    <s v="_x000d__x000a_84670_x000d__x000a_"/>
    <s v="_x000d__x000a_185170_x000d__x000a_"/>
  </r>
  <r>
    <s v="10/12/2025"/>
    <s v="2025-8282"/>
    <s v="Higher Education Awards"/>
    <s v="Moleboheng Phiri"/>
    <s v="mamiky.phiri@up.ac.za"/>
    <x v="0"/>
    <x v="1"/>
    <x v="0"/>
    <x v="1"/>
    <x v="0"/>
    <x v="7"/>
    <s v="Law"/>
    <s v="EM"/>
    <x v="0"/>
    <s v="Completed"/>
    <s v="University of Pretoria"/>
    <s v="Doctors of Law"/>
    <s v="Strengthening legal frameworks regulating social workers in south Africa to enhance the protection and welfare of children affected by technology facilitated gender-based violence"/>
    <d v="2025-05-01T00:00:00"/>
    <n v="3"/>
    <s v="_x000d__x000a_93000_x000d__x000a_"/>
    <s v="_x000d__x000a_0_x000d__x000a_"/>
    <s v="_x000d__x000a_0_x000d__x000a_"/>
  </r>
  <r>
    <s v="10/12/2025"/>
    <s v="2025-10000"/>
    <s v="Higher Education Awards"/>
    <s v="Ntsikelelo Kama"/>
    <s v="ntsikelelokama022@gmail.com"/>
    <x v="0"/>
    <x v="0"/>
    <x v="0"/>
    <x v="0"/>
    <x v="0"/>
    <x v="5"/>
    <s v="Natural Sciences"/>
    <s v="EM"/>
    <x v="0"/>
    <s v="Completed"/>
    <s v="University of the Witwatersrand"/>
    <s v="MSc by research, Geophysics"/>
    <s v="Geophysical Investigation of Structural Controls on Hydrogen Gas Occurrences in Mpumalanga, South Africa"/>
    <d v="2026-02-01T00:00:00"/>
    <n v="2"/>
    <s v="_x000d__x000a_125000_x000d__x000a_"/>
    <s v="_x000d__x000a_107000_x000d__x000a_"/>
    <s v="_x000d__x000a_0_x000d__x000a_"/>
  </r>
  <r>
    <s v="10/12/2025"/>
    <s v="2025-9623"/>
    <s v="Higher Education Awards"/>
    <s v="Katleho Habi"/>
    <s v="2439983@students.wits.ac.za"/>
    <x v="0"/>
    <x v="0"/>
    <x v="0"/>
    <x v="1"/>
    <x v="0"/>
    <x v="2"/>
    <s v="Humanities"/>
    <s v="EM"/>
    <x v="0"/>
    <s v="Completed"/>
    <s v="University of the Witwatersrand"/>
    <s v="MA in Fine Arts"/>
    <s v="Investigation of the Lesotho Highlands Water Project and its effect on the displaced people of Lesotho."/>
    <d v="2026-02-04T00:00:00"/>
    <n v="1"/>
    <s v="_x000d__x000a_178200_x000d__x000a_"/>
    <s v="_x000d__x000a_0_x000d__x000a_"/>
    <s v="_x000d__x000a_0_x000d__x000a_"/>
  </r>
  <r>
    <s v="10/12/2025"/>
    <s v="2025-10050"/>
    <s v="Higher Education Awards"/>
    <s v="KAMOGELO MOGOTSI"/>
    <s v="Raemogotsi205@gmail.com"/>
    <x v="0"/>
    <x v="1"/>
    <x v="0"/>
    <x v="1"/>
    <x v="0"/>
    <x v="6"/>
    <s v="Social Sciences"/>
    <s v="EM"/>
    <x v="0"/>
    <s v="Completed"/>
    <s v="UNIVERSITY OF THE FREE STATE"/>
    <s v="PhD in ANTHROPOLOGY"/>
    <s v="YOMBELA! Exploring the Role of Women Traditional Healers and Their Musical Practices in Indigenous Health Systems."/>
    <d v="2026-02-02T00:00:00"/>
    <n v="3"/>
    <s v="_x000d__x000a_160000_x000d__x000a_"/>
    <s v="_x000d__x000a_160000_x000d__x000a_"/>
    <s v="_x000d__x000a_160000_x000d__x000a_"/>
  </r>
  <r>
    <s v="10/12/2025"/>
    <s v="2025-9714"/>
    <s v="Higher Education Awards"/>
    <s v="Samuel Menbere"/>
    <s v="mnbsam002@myuct.ac.za"/>
    <x v="0"/>
    <x v="1"/>
    <x v="0"/>
    <x v="0"/>
    <x v="0"/>
    <x v="8"/>
    <s v="Natural Sciences"/>
    <s v="EM"/>
    <x v="0"/>
    <s v="Completed"/>
    <s v="University of Cape town"/>
    <s v="PHD In chemistry"/>
    <s v="Evaluate essentiality of Rv1122 in different in vitro non-replicating models, as well as ex vivo and in vivo systems, complemented by advanced microscopy techniques."/>
    <d v="2026-02-02T00:00:00"/>
    <n v="3"/>
    <s v="_x000d__x000a_312300_x000d__x000a_"/>
    <s v="_x000d__x000a_322300_x000d__x000a_"/>
    <s v="_x000d__x000a_333300_x000d__x000a_"/>
  </r>
  <r>
    <s v="10/12/2025"/>
    <s v="2025-8198"/>
    <s v="Higher Education Awards"/>
    <s v="Raelene Jones-Sappor"/>
    <s v="raelene.b.jones@gmail.com"/>
    <x v="0"/>
    <x v="1"/>
    <x v="2"/>
    <x v="1"/>
    <x v="0"/>
    <x v="5"/>
    <s v="Natural Sciences"/>
    <s v="EM"/>
    <x v="0"/>
    <s v="Completed"/>
    <s v="University of KwaZulu-Natal"/>
    <s v="PhD Biochemistry"/>
    <s v="A Zebrafish model for investigating muscle regeneration using nanoparticle-facilitated stem cell therapy and genetic regulation"/>
    <d v="2026-01-01T00:00:00"/>
    <n v="3"/>
    <s v="_x000d__x000a_166106_x000d__x000a_"/>
    <s v="_x000d__x000a_186046_x000d__x000a_"/>
    <s v="_x000d__x000a_158688_x000d__x000a_"/>
  </r>
  <r>
    <s v="10/12/2025"/>
    <s v="2025-8311"/>
    <s v="Higher Education Awards"/>
    <s v="Cade Peters"/>
    <s v="caderibeiropeters@gmail.com"/>
    <x v="0"/>
    <x v="1"/>
    <x v="1"/>
    <x v="0"/>
    <x v="0"/>
    <x v="0"/>
    <s v="Natural Sciences"/>
    <s v="EM"/>
    <x v="0"/>
    <s v="Completed"/>
    <s v="Univeristy of the Witwatersrand"/>
    <s v="PhD Physics"/>
    <s v="Optics and Photonics"/>
    <d v="2024-04-24T00:00:00"/>
    <n v="2"/>
    <s v="_x000d__x000a_49453_x000d__x000a_"/>
    <s v="_x000d__x000a_49453_x000d__x000a_"/>
    <s v="_x000d__x000a_0_x000d__x000a_"/>
  </r>
  <r>
    <s v="10/12/2025"/>
    <s v="2025-9607"/>
    <s v="Higher Education Awards"/>
    <s v="Pia Scharein"/>
    <s v="schareinpia@gmail.com"/>
    <x v="0"/>
    <x v="0"/>
    <x v="1"/>
    <x v="1"/>
    <x v="0"/>
    <x v="8"/>
    <s v="Health Sciences"/>
    <s v="EM"/>
    <x v="0"/>
    <s v="Completed"/>
    <s v="University of Cape Town"/>
    <s v="Master of Medical Science in Neuroscience"/>
    <s v="Cellular neuroscience and electrophysiology (Title: Human silent synapses: from existence to structural substrate across postnatal development)"/>
    <d v="2025-01-15T00:00:00"/>
    <n v="1"/>
    <s v="_x000d__x000a_283030_x000d__x000a_"/>
    <s v="_x000d__x000a_0_x000d__x000a_"/>
    <s v="_x000d__x000a_0_x000d__x000a_"/>
  </r>
  <r>
    <s v="10/12/2025"/>
    <s v="2025-9922"/>
    <s v="Higher Education Awards"/>
    <s v="Nokuzotha Nkiwane"/>
    <s v="nkwnok011@myuct.ac.za"/>
    <x v="0"/>
    <x v="0"/>
    <x v="0"/>
    <x v="1"/>
    <x v="0"/>
    <x v="5"/>
    <s v="Natural Sciences"/>
    <s v="EM"/>
    <x v="0"/>
    <s v="Completed"/>
    <s v="Stellenbosch University"/>
    <s v="MSc Bioinformatics and Computational Biology"/>
    <s v="Automated Viral Discovery Pipeline"/>
    <d v="2026-01-12T00:00:00"/>
    <n v="2"/>
    <s v="_x000d__x000a_109382_x000d__x000a_"/>
    <s v="_x000d__x000a_111382_x000d__x000a_"/>
    <s v="_x000d__x000a_0_x000d__x000a_"/>
  </r>
  <r>
    <s v="10/12/2025"/>
    <s v="2025-9747"/>
    <s v="Higher Education Awards"/>
    <s v="Lukho Witbooi"/>
    <s v="Witjabo@Gmail.com"/>
    <x v="0"/>
    <x v="1"/>
    <x v="0"/>
    <x v="0"/>
    <x v="0"/>
    <x v="2"/>
    <s v="Humanities"/>
    <s v="EM"/>
    <x v="0"/>
    <s v="Completed"/>
    <s v="The University of Witwatersrand"/>
    <s v="Postcolonial Studies"/>
    <s v="An Exploration of the Individuation of the Postcolonial Subject and the Question of Inner Freedom in  African Critical Thought, Literature and Art."/>
    <d v="2026-02-01T00:00:00"/>
    <n v="3"/>
    <s v="_x000d__x000a_220166_x000d__x000a_"/>
    <s v="_x000d__x000a_195826_x000d__x000a_"/>
    <s v="_x000d__x000a_195826_x000d__x000a_"/>
  </r>
  <r>
    <s v="10/12/2025"/>
    <s v="2025-9357"/>
    <s v="Higher Education Awards"/>
    <s v="Hayley Marais"/>
    <s v="hayleyjoanmarais@gmail.com"/>
    <x v="0"/>
    <x v="0"/>
    <x v="1"/>
    <x v="1"/>
    <x v="0"/>
    <x v="8"/>
    <s v="Health Sciences"/>
    <s v="EM"/>
    <x v="0"/>
    <s v="Completed"/>
    <s v="University of Cape Town"/>
    <s v="MSc Medicine (Neuroscience and Physiology)"/>
    <s v="Neuroinflammation gene expression"/>
    <d v="2025-01-21T00:00:00"/>
    <n v="1"/>
    <s v="_x000d__x000a_280000_x000d__x000a_"/>
    <s v="_x000d__x000a_0_x000d__x000a_"/>
    <s v="_x000d__x000a_0_x000d__x000a_"/>
  </r>
  <r>
    <s v="10/12/2025"/>
    <s v="2025-9938"/>
    <s v="Higher Education Awards"/>
    <s v="Xolile Mbi"/>
    <s v="xolilembi@gmail.com"/>
    <x v="0"/>
    <x v="1"/>
    <x v="0"/>
    <x v="0"/>
    <x v="0"/>
    <x v="6"/>
    <s v="Social Sciences"/>
    <s v="EM"/>
    <x v="0"/>
    <s v="Completed"/>
    <s v="University of the Witwatersrand"/>
    <s v="Doctor of Philosophy"/>
    <s v="Leveraging predictive intelligence for redistributive policy design in South Africa"/>
    <d v="2026-01-13T00:00:00"/>
    <n v="3"/>
    <s v="_x000d__x000a_149000_x000d__x000a_"/>
    <s v="_x000d__x000a_131000_x000d__x000a_"/>
    <s v="_x000d__x000a_131000_x000d__x000a_"/>
  </r>
  <r>
    <s v="10/12/2025"/>
    <s v="2025-9733"/>
    <s v="Higher Education Awards"/>
    <s v="Nina Barnett"/>
    <s v="nina@ninabarnett.org"/>
    <x v="0"/>
    <x v="2"/>
    <x v="1"/>
    <x v="1"/>
    <x v="0"/>
    <x v="2"/>
    <s v="Humanities"/>
    <s v="EM"/>
    <x v="0"/>
    <s v="Completed"/>
    <s v="University of Cape Town"/>
    <s v="Postdoctoral position in Environmental and Geographical Sciences Department"/>
    <s v="Book publication based on PhD research, concerning creative responses to water politics"/>
    <d v="2026-01-15T00:00:00"/>
    <n v="2"/>
    <s v="_x000d__x000a_320000_x000d__x000a_"/>
    <s v="_x000d__x000a_300000_x000d__x000a_"/>
    <s v="_x000d__x000a_0_x000d__x000a_"/>
  </r>
  <r>
    <s v="10/12/2025"/>
    <s v="2025-9468"/>
    <s v="Higher Education Awards"/>
    <s v="Martin Kiwanuka"/>
    <s v="martin2kiwanuka@gmail.com"/>
    <x v="0"/>
    <x v="2"/>
    <x v="0"/>
    <x v="0"/>
    <x v="0"/>
    <x v="8"/>
    <s v="Health Sciences"/>
    <s v="EM"/>
    <x v="0"/>
    <s v="Completed"/>
    <s v="University of Cape Town"/>
    <s v="Biomedical Engineering"/>
    <s v="Exploring how biomechanical cues influence HPV oncogene-driven cervical cancer progression"/>
    <d v="2026-04-01T00:00:00"/>
    <n v="2"/>
    <s v="_x000d__x000a_540000_x000d__x000a_"/>
    <s v="_x000d__x000a_530000_x000d__x000a_"/>
    <s v="_x000d__x000a_0_x000d__x000a_"/>
  </r>
  <r>
    <s v="10/12/2025"/>
    <s v="2025-8420"/>
    <s v="Higher Education Awards"/>
    <s v="Letlhogonolo Mokaleng"/>
    <s v="mokalengletlhogonolo5@gmail.com"/>
    <x v="0"/>
    <x v="0"/>
    <x v="0"/>
    <x v="1"/>
    <x v="0"/>
    <x v="5"/>
    <s v="Natural Sciences"/>
    <s v="EM"/>
    <x v="0"/>
    <s v="Completed"/>
    <s v="North-West University"/>
    <s v="Master of Science in Microbiology"/>
    <s v="Genomic Characterisation of Antifungal -Resistant Yeasts and Quantification of Antifungals in Mahikeng Boreholes"/>
    <d v="2026-02-02T00:00:00"/>
    <n v="1"/>
    <s v="_x000d__x000a_150000_x000d__x000a_"/>
    <s v="_x000d__x000a_0_x000d__x000a_"/>
    <s v="_x000d__x000a_0_x000d__x000a_"/>
  </r>
  <r>
    <s v="10/12/2025"/>
    <s v="2025-9568"/>
    <s v="Higher Education Awards"/>
    <s v="Ava van Huyssteen"/>
    <s v="avavanhuyssteen@gmail.com"/>
    <x v="0"/>
    <x v="1"/>
    <x v="1"/>
    <x v="1"/>
    <x v="0"/>
    <x v="6"/>
    <s v="Social Sciences"/>
    <s v="EM"/>
    <x v="0"/>
    <s v="Completed"/>
    <s v="University of the Western Cape"/>
    <s v="Doctorate in Sociology, fellow at the Centre for Humanities Research"/>
    <s v="The influence of AI-generated short-form video content and images on popular history and memory"/>
    <d v="2025-07-10T00:00:00"/>
    <n v="2"/>
    <s v="_x000d__x000a_177580_x000d__x000a_"/>
    <s v="_x000d__x000a_193580_x000d__x000a_"/>
    <s v="_x000d__x000a_10000_x000d__x000a_"/>
  </r>
  <r>
    <s v="10/12/2025"/>
    <s v="2025-9196"/>
    <s v="Higher Education Awards"/>
    <s v="Asamkela Ketelo"/>
    <s v="asamkela@gmail.com"/>
    <x v="0"/>
    <x v="0"/>
    <x v="0"/>
    <x v="0"/>
    <x v="0"/>
    <x v="2"/>
    <s v="Humanities"/>
    <s v="EM"/>
    <x v="0"/>
    <s v="Completed"/>
    <s v="University of Cape Town"/>
    <s v="Masters in Applied Theatre and Drama Studies"/>
    <s v="Theatre in Education: Finding the Parallels and Interconnection Between Theatre and Education as knowledge systems, and their use in creating an Embodied and Learner-Centred Classroom"/>
    <d v="2026-02-02T00:00:00"/>
    <n v="2"/>
    <s v="_x000d__x000a_202000_x000d__x000a_"/>
    <s v="_x000d__x000a_202000_x000d__x000a_"/>
    <s v="_x000d__x000a_0_x000d__x000a_"/>
  </r>
  <r>
    <s v="10/12/2025"/>
    <s v="2025-9332"/>
    <s v="Higher Education Awards"/>
    <s v="Cathrine Manengena"/>
    <s v="202235266@spu.ac.za"/>
    <x v="0"/>
    <x v="0"/>
    <x v="0"/>
    <x v="1"/>
    <x v="0"/>
    <x v="2"/>
    <s v="Humanities"/>
    <s v="EM"/>
    <x v="0"/>
    <s v="Completed"/>
    <s v="Sol Plaatje University"/>
    <s v="MA Archaeology (Dissertation/Research)"/>
    <s v="My research focuses on the re-analysis of the Sibebe cave after 1980 looking at technological changes throughout time, including manufacturing techniques and tool types of Sibebe cave"/>
    <d v="2026-02-02T00:00:00"/>
    <n v="2"/>
    <s v="_x000d__x000a_141500_x000d__x000a_"/>
    <s v="_x000d__x000a_131500_x000d__x000a_"/>
    <s v="_x000d__x000a_0_x000d__x000a_"/>
  </r>
  <r>
    <s v="10/12/2025"/>
    <s v="2025-9624"/>
    <s v="Higher Education Awards"/>
    <s v="Daniel Holgate"/>
    <s v="hlgdan001@myuct.ac.za"/>
    <x v="0"/>
    <x v="0"/>
    <x v="1"/>
    <x v="0"/>
    <x v="0"/>
    <x v="0"/>
    <s v="Natural Sciences"/>
    <s v="EM"/>
    <x v="0"/>
    <s v="Completed"/>
    <s v="University of Cape Town"/>
    <s v="Masters in Computer Science"/>
    <s v="Multilingual Story Generation with Open-Source Large Language Models In Addressing Literacy in South Africa"/>
    <d v="2026-01-01T00:00:00"/>
    <n v="2"/>
    <s v="_x000d__x000a_165000_x000d__x000a_"/>
    <s v="_x000d__x000a_180000_x000d__x000a_"/>
    <s v="_x000d__x000a_0_x000d__x000a_"/>
  </r>
  <r>
    <s v="10/12/2025"/>
    <s v="2025-9929"/>
    <s v="Higher Education Awards"/>
    <s v="Charles Abimbola Faseyi"/>
    <s v="charles.faseyi@uct.ac.za"/>
    <x v="0"/>
    <x v="2"/>
    <x v="0"/>
    <x v="0"/>
    <x v="0"/>
    <x v="5"/>
    <s v="Natural Sciences"/>
    <s v="EM"/>
    <x v="0"/>
    <s v="Completed"/>
    <s v="University of KwaZulu-Natal, Durban, South Africa"/>
    <s v="Postdoctoral Fellowship"/>
    <s v="Biodiversity and ecosystem functions"/>
    <d v="2026-02-02T00:00:00"/>
    <n v="2"/>
    <s v="_x000d__x000a_395000_x000d__x000a_"/>
    <s v="_x000d__x000a_445000_x000d__x000a_"/>
    <s v="_x000d__x000a_0_x000d__x000a_"/>
  </r>
  <r>
    <s v="10/12/2025"/>
    <s v="2025-9948"/>
    <s v="Higher Education Awards"/>
    <s v="Noluthando Manyisa"/>
    <s v="manyisanr@gmail.com"/>
    <x v="0"/>
    <x v="2"/>
    <x v="0"/>
    <x v="1"/>
    <x v="0"/>
    <x v="8"/>
    <s v="Health Sciences"/>
    <s v="EM"/>
    <x v="0"/>
    <s v="Completed"/>
    <s v="University of the Witwatersrand"/>
    <s v="Human Genetics"/>
    <s v="Pharmacogenetics of systemic lupus erythomatosus"/>
    <d v="2026-01-01T00:00:00"/>
    <n v="3"/>
    <s v="_x000d__x000a_450440_x000d__x000a_"/>
    <s v="_x000d__x000a_514450_x000d__x000a_"/>
    <s v="_x000d__x000a_514450_x000d__x000a_"/>
  </r>
  <r>
    <s v="10/12/2025"/>
    <s v="2025-10066"/>
    <s v="Higher Education Awards"/>
    <s v="Khanyisa  Hoko"/>
    <s v="hokokhanyisa@gmail.com"/>
    <x v="0"/>
    <x v="0"/>
    <x v="0"/>
    <x v="1"/>
    <x v="0"/>
    <x v="2"/>
    <s v="Humanities"/>
    <s v="EM"/>
    <x v="0"/>
    <s v="Completed"/>
    <s v="Stellenbosch University"/>
    <s v="Master in Sociology"/>
    <s v="A Study of Land and Residential Disputes through Visual Data Analysis and Urban Governance Practices"/>
    <d v="2026-02-02T00:00:00"/>
    <n v="2"/>
    <s v="_x000d__x000a_33000_x000d__x000a_"/>
    <s v="_x000d__x000a_30000_x000d__x000a_"/>
    <s v="_x000d__x000a_0_x000d__x000a_"/>
  </r>
  <r>
    <s v="10/12/2025"/>
    <s v="2025-10022"/>
    <s v="Higher Education Awards"/>
    <s v="Tanaka Ndongwe"/>
    <s v="tanakandongwe9@gmail.com"/>
    <x v="3"/>
    <x v="2"/>
    <x v="0"/>
    <x v="0"/>
    <x v="0"/>
    <x v="0"/>
    <s v="Natural Sciences"/>
    <s v="EM"/>
    <x v="21"/>
    <s v="Completed"/>
    <s v="Sefako Makgatho Health Sciences University"/>
    <s v="Pharmaceutics"/>
    <s v="Synthesis and optimization of camptothecin and apigenin nanocrystals using Hansen Solubility Parameters Software"/>
    <d v="2025-01-01T00:00:00"/>
    <n v="1"/>
    <s v="_x000d__x000a_410000_x000d__x000a_"/>
    <s v="_x000d__x000a_0_x000d__x000a_"/>
    <s v="_x000d__x000a_0_x000d__x000a_"/>
  </r>
  <r>
    <s v="10/12/2025"/>
    <s v="2025-9992"/>
    <s v="Higher Education Awards"/>
    <s v="Jenniver Basetsana Molatlhwa"/>
    <s v="molatlhwabasetsana@gmail.com"/>
    <x v="0"/>
    <x v="0"/>
    <x v="0"/>
    <x v="1"/>
    <x v="0"/>
    <x v="5"/>
    <s v="Natural Sciences"/>
    <s v="EM"/>
    <x v="0"/>
    <s v="Draft"/>
    <s v="University of Cape Town"/>
    <s v="MSc Dissertation Biological Sciences"/>
    <s v="Marine nematodes as long term bioindicators of pollution across depth gradients in False Bay."/>
    <d v="2026-01-31T00:00:00"/>
    <n v="2"/>
    <s v="_x000d__x000a_180000_x000d__x000a_"/>
    <s v="_x000d__x000a_180000_x000d__x000a_"/>
    <s v="_x000d__x000a_0_x000d__x000a_"/>
  </r>
  <r>
    <s v="10/12/2025"/>
    <s v="2025-9756"/>
    <s v="Higher Education Awards"/>
    <s v="Wilene Theron"/>
    <s v="wilenetheron@gmail.com"/>
    <x v="0"/>
    <x v="0"/>
    <x v="1"/>
    <x v="1"/>
    <x v="0"/>
    <x v="2"/>
    <s v="Humanities"/>
    <s v="EM"/>
    <x v="0"/>
    <s v="Completed"/>
    <s v="Rhodes University (1st)"/>
    <s v="Master of Music"/>
    <s v="Ethnomusicology- Historiographical Analysis of the Khoekhoe groups during Colonial South Africa"/>
    <d v="2026-02-16T00:00:00"/>
    <n v="2"/>
    <s v="_x000d__x000a_131464_x000d__x000a_"/>
    <s v="_x000d__x000a_114628.8_x000d__x000a_"/>
    <s v="_x000d__x000a_0_x000d__x000a_"/>
  </r>
  <r>
    <s v="10/12/2025"/>
    <s v="2025-9582"/>
    <s v="Higher Education Awards"/>
    <s v="Nomcebo Sithole"/>
    <s v="nomcebonsithole@gmail.com"/>
    <x v="0"/>
    <x v="0"/>
    <x v="0"/>
    <x v="1"/>
    <x v="0"/>
    <x v="8"/>
    <s v="Health Sciences"/>
    <s v="EM"/>
    <x v="0"/>
    <s v="Completed"/>
    <s v="University Of Free State"/>
    <s v="Masters in Public Health"/>
    <s v="The prevalence of substance induced psychotic disorders amongst the youth leading to recurring hospital admissions."/>
    <d v="2026-01-02T00:00:00"/>
    <n v="2"/>
    <s v="_x000d__x000a_30000_x000d__x000a_"/>
    <s v="_x000d__x000a_30000_x000d__x000a_"/>
    <s v="_x000d__x000a_0_x000d__x000a_"/>
  </r>
  <r>
    <s v="10/12/2025"/>
    <s v="2025-8455"/>
    <s v="Higher Education Awards"/>
    <s v="De Wet Meyer"/>
    <s v="deem8842@gmail.com"/>
    <x v="0"/>
    <x v="0"/>
    <x v="1"/>
    <x v="0"/>
    <x v="0"/>
    <x v="5"/>
    <s v="Natural Sciences"/>
    <s v="EM"/>
    <x v="0"/>
    <s v="Completed"/>
    <s v="University of the Witwatersrand"/>
    <s v="Master of Science"/>
    <s v="Plant Sciences"/>
    <d v="2026-01-01T00:00:00"/>
    <n v="2"/>
    <s v="_x000d__x000a_216000_x000d__x000a_"/>
    <s v="_x000d__x000a_230000_x000d__x000a_"/>
    <s v="_x000d__x000a_0_x000d__x000a_"/>
  </r>
  <r>
    <s v="10/12/2025"/>
    <s v="2025-10082"/>
    <s v="Higher Education Awards"/>
    <s v="Nestene Botha"/>
    <s v="nestene@exploreprotech.com"/>
    <x v="3"/>
    <x v="1"/>
    <x v="1"/>
    <x v="1"/>
    <x v="0"/>
    <x v="4"/>
    <s v="Commerce &amp; Management"/>
    <s v="EM"/>
    <x v="0"/>
    <s v="Completed"/>
    <s v="North West University"/>
    <s v="PhD (Chartered Accountancy Education)"/>
    <s v="Designing the Future of Accounting Education: A Multidisciplinary Framework Incorporating Entrepreneurial Minded Learning and AI Interventions"/>
    <d v="2025-08-31T00:00:00"/>
    <n v="2"/>
    <s v="_x000d__x000a_33000_x000d__x000a_"/>
    <s v="_x000d__x000a_33000_x000d__x000a_"/>
    <s v="_x000d__x000a_0_x000d__x000a_"/>
  </r>
  <r>
    <s v="10/12/2025"/>
    <s v="2025-9868"/>
    <s v="Higher Education Awards"/>
    <s v="Ayesha Shaik"/>
    <s v="20150113@sun.ac.za"/>
    <x v="0"/>
    <x v="1"/>
    <x v="4"/>
    <x v="1"/>
    <x v="0"/>
    <x v="8"/>
    <s v="Health Sciences"/>
    <s v="EM"/>
    <x v="0"/>
    <s v="Completed"/>
    <s v="Stellenbosch University"/>
    <s v="PhD Medical Physiology"/>
    <s v="The Role of DNA Methylation in Breast Cancer: Epigenetic Insights into Tumour Pathogenesis and Treatment"/>
    <d v="2024-03-12T00:00:00"/>
    <n v="2"/>
    <s v="_x000d__x000a_69103_x000d__x000a_"/>
    <s v="_x000d__x000a_47607_x000d__x000a_"/>
    <s v="_x000d__x000a_0_x000d__x000a_"/>
  </r>
  <r>
    <s v="10/12/2025"/>
    <s v="2025-9676"/>
    <s v="Higher Education Awards"/>
    <s v="Patience Shoko"/>
    <s v="shokovimbai2@gmail.com"/>
    <x v="0"/>
    <x v="0"/>
    <x v="0"/>
    <x v="1"/>
    <x v="0"/>
    <x v="8"/>
    <s v="Health Sciences"/>
    <s v="EM"/>
    <x v="0"/>
    <s v="Completed"/>
    <s v="University of Cape Town"/>
    <s v="Medical Virology"/>
    <s v="T cell responses to MPXV in smallpox vaccinated and mpox convalescent individuals"/>
    <d v="2026-02-01T00:00:00"/>
    <n v="2"/>
    <s v="_x000d__x000a_202030_x000d__x000a_"/>
    <s v="_x000d__x000a_121200_x000d__x000a_"/>
    <s v="_x000d__x000a_0_x000d__x000a_"/>
  </r>
  <r>
    <s v="10/12/2025"/>
    <s v="2025-10005"/>
    <s v="Higher Education Awards"/>
    <s v="Tebogo Mahlobogoane"/>
    <s v="tebogomahlobogoane@gmail.com"/>
    <x v="0"/>
    <x v="0"/>
    <x v="0"/>
    <x v="1"/>
    <x v="0"/>
    <x v="2"/>
    <s v="Humanities"/>
    <s v="EM"/>
    <x v="0"/>
    <s v="Completed"/>
    <s v="University of the Witwatersrand"/>
    <s v="MA in History by coursework and research report"/>
    <s v="Land Dispossession in Post-World War II South Africa: A Study on the Impact of Post-War Resettlement Schemes on the Eersteling Farming Community and  descendants in the 1920s and 1960s."/>
    <d v="2026-02-02T00:00:00"/>
    <n v="1"/>
    <s v="_x000d__x000a_29456_x000d__x000a_"/>
    <s v="_x000d__x000a_0_x000d__x000a_"/>
    <s v="_x000d__x000a_0_x000d__x000a_"/>
  </r>
  <r>
    <s v="10/12/2025"/>
    <s v="2025-9436"/>
    <s v="Higher Education Awards"/>
    <s v="Molokotima Kekana"/>
    <s v="ultimategohan.mok@gmail.com"/>
    <x v="0"/>
    <x v="0"/>
    <x v="0"/>
    <x v="0"/>
    <x v="1"/>
    <x v="0"/>
    <s v="Natural Sciences"/>
    <s v="EM"/>
    <x v="0"/>
    <s v="Completed"/>
    <s v="University of Oxford"/>
    <s v="M.Sc in Physics or Medical Physics (dissetaion)"/>
    <s v="Nuclear Physics"/>
    <d v="2026-10-05T00:00:00"/>
    <n v="1"/>
    <s v="_x000d__x000a_1312306.25_x000d__x000a_"/>
    <s v="_x000d__x000a_0_x000d__x000a_"/>
    <s v="_x000d__x000a_0_x000d__x000a_"/>
  </r>
  <r>
    <s v="10/12/2025"/>
    <s v="2025-10029"/>
    <s v="Higher Education Awards"/>
    <s v="Amalia Naita Awala"/>
    <s v="amalia.awala@uct.ac.za"/>
    <x v="0"/>
    <x v="2"/>
    <x v="0"/>
    <x v="1"/>
    <x v="0"/>
    <x v="8"/>
    <s v="Health Sciences"/>
    <s v="EM"/>
    <x v="0"/>
    <s v="Completed"/>
    <s v="University of Cape Town"/>
    <s v="Postdoctoral research fellow"/>
    <s v="Neuroimmunogy: host-pathogen interactions in cryptococcal meningitis"/>
    <d v="2026-01-01T00:00:00"/>
    <n v="2"/>
    <s v="_x000d__x000a_398000_x000d__x000a_"/>
    <s v="_x000d__x000a_398000_x000d__x000a_"/>
    <s v="_x000d__x000a_0_x000d__x000a_"/>
  </r>
  <r>
    <s v="10/12/2025"/>
    <s v="2025-8552"/>
    <s v="Higher Education Awards"/>
    <s v="Raymond Bott"/>
    <s v="raymondbott7@gmail.com"/>
    <x v="0"/>
    <x v="0"/>
    <x v="2"/>
    <x v="0"/>
    <x v="0"/>
    <x v="2"/>
    <s v="Humanities"/>
    <s v="EM"/>
    <x v="0"/>
    <s v="Completed"/>
    <s v="Sol Plaatje University and WITS University"/>
    <s v="MA in Heritage Studies"/>
    <s v="Contested Spaces: The Preservation and Reinterpretation of Colonial Heritage in Post-Apartheid South Africa"/>
    <d v="2026-01-14T00:00:00"/>
    <n v="1"/>
    <s v="_x000d__x000a_212500_x000d__x000a_"/>
    <s v="_x000d__x000a_0_x000d__x000a_"/>
    <s v="_x000d__x000a_0_x000d__x000a_"/>
  </r>
  <r>
    <s v="10/12/2025"/>
    <s v="2025-9887"/>
    <s v="Higher Education Awards"/>
    <s v="Karabo Mohale"/>
    <s v="ntswakikarabo8@gmail.com"/>
    <x v="0"/>
    <x v="1"/>
    <x v="0"/>
    <x v="1"/>
    <x v="0"/>
    <x v="8"/>
    <s v="Health Sciences"/>
    <s v="EM"/>
    <x v="0"/>
    <s v="Completed"/>
    <s v="University of Witwatersrand"/>
    <s v="PhD (Physiology)"/>
    <s v="Quantitative sensory testing: Reference data for people of Black South African ancestry"/>
    <d v="2026-01-30T00:00:00"/>
    <n v="3"/>
    <s v="_x000d__x000a_229000_x000d__x000a_"/>
    <s v="_x000d__x000a_231500_x000d__x000a_"/>
    <s v="_x000d__x000a_234250_x000d__x000a_"/>
  </r>
  <r>
    <s v="10/12/2025"/>
    <s v="2025-8778"/>
    <s v="Higher Education Awards"/>
    <s v="Jennifer Tempest"/>
    <s v="Sean.fp.tempest@gmail.com"/>
    <x v="0"/>
    <x v="1"/>
    <x v="1"/>
    <x v="2"/>
    <x v="0"/>
    <x v="8"/>
    <s v="Health Sciences"/>
    <s v="EM"/>
    <x v="0"/>
    <s v="Completed"/>
    <s v="University of the Witwatersrand"/>
    <s v="PhD Anatomical Sciences - Biological Anthropology"/>
    <s v="The skeletal evidence of disease in the 19th century Koffiefontein Diamond Mine labourers"/>
    <d v="2025-01-11T00:00:00"/>
    <n v="2"/>
    <s v="_x000d__x000a_143835_x000d__x000a_"/>
    <s v="_x000d__x000a_68482_x000d__x000a_"/>
    <s v="_x000d__x000a_0_x000d__x000a_"/>
  </r>
  <r>
    <s v="10/12/2025"/>
    <s v="2025-8831"/>
    <s v="Higher Education Awards"/>
    <s v="Zwiande Ramadwa"/>
    <s v="Zwiandegerold@gmail.com"/>
    <x v="3"/>
    <x v="0"/>
    <x v="0"/>
    <x v="0"/>
    <x v="0"/>
    <x v="7"/>
    <s v="Law"/>
    <s v="EM"/>
    <x v="0"/>
    <s v="Completed"/>
    <s v="University of Johannesburg"/>
    <s v="Master of Laws in Corporate Law"/>
    <s v="Judicial Interpretation of piercing the corporate veil under section 20(9) of the Companies Act in South Africa."/>
    <d v="2026-01-05T00:00:00"/>
    <n v="1"/>
    <s v="_x000d__x000a_169000_x000d__x000a_"/>
    <s v="_x000d__x000a_0_x000d__x000a_"/>
    <s v="_x000d__x000a_0_x000d__x000a_"/>
  </r>
  <r>
    <s v="10/12/2025"/>
    <s v="2025-8408"/>
    <s v="Higher Education Awards"/>
    <s v="Abongile Nkamisa"/>
    <s v="abongilenk@gmail.com"/>
    <x v="1"/>
    <x v="0"/>
    <x v="0"/>
    <x v="1"/>
    <x v="1"/>
    <x v="7"/>
    <s v="Law"/>
    <s v="EM"/>
    <x v="15"/>
    <s v="Completed"/>
    <s v="I am an accepted candidate at University of London"/>
    <s v="Master of L aws"/>
    <s v="Public International Law"/>
    <d v="2025-09-01T00:00:00"/>
    <n v="1"/>
    <s v="_x000d__x000a_110697.61_x000d__x000a_"/>
    <s v="_x000d__x000a_0_x000d__x000a_"/>
    <s v="_x000d__x000a_0_x000d__x000a_"/>
  </r>
  <r>
    <s v="10/12/2025"/>
    <s v="2025-8247"/>
    <s v="Higher Education Awards"/>
    <s v="Chiara Mzizi"/>
    <s v="MZZCHI002@myuct.ac.za"/>
    <x v="0"/>
    <x v="1"/>
    <x v="0"/>
    <x v="1"/>
    <x v="0"/>
    <x v="2"/>
    <s v="Humanities"/>
    <s v="EM"/>
    <x v="0"/>
    <s v="Completed"/>
    <s v="The University of Cape Town under the (confirmed) supervision by Dr Thabang Monoa"/>
    <s v="PhD in Art Historical Studies"/>
    <s v="Situated within performance theory, indigenous knowledge systems and psychotherapy, this study explores the influence of isiZulu cosmologies on the development of the therapeutic modality known as 'Family Constellations'. I aim to restore the erased African epistemic contributions to this healing modality and reposition it within both spiritual and artistic discourses."/>
    <d v="2026-02-02T00:00:00"/>
    <n v="3"/>
    <s v="_x000d__x000a_184536_x000d__x000a_"/>
    <s v="_x000d__x000a_248553_x000d__x000a_"/>
    <s v="_x000d__x000a_275582_x000d__x000a_"/>
  </r>
  <r>
    <s v="10/12/2025"/>
    <s v="2025-9912"/>
    <s v="Higher Education Awards"/>
    <s v="Mutubatsa Tshuma"/>
    <s v="mutubatsa.tshuma@gmail.com"/>
    <x v="3"/>
    <x v="1"/>
    <x v="0"/>
    <x v="0"/>
    <x v="0"/>
    <x v="2"/>
    <s v="Humanities"/>
    <s v="EM"/>
    <x v="0"/>
    <s v="Completed"/>
    <s v="Rhodes University"/>
    <s v="PhD"/>
    <s v="Harmonising Music Cognition and Academic Achievement: An Investigation of Marimba Ensemble Participation and Cognitive Transfer Effects among Intermediate Phase Learners"/>
    <d v="2026-01-01T00:00:00"/>
    <n v="3"/>
    <s v="_x000d__x000a_34750_x000d__x000a_"/>
    <s v="_x000d__x000a_34750_x000d__x000a_"/>
    <s v="_x000d__x000a_34750_x000d__x000a_"/>
  </r>
  <r>
    <s v="10/12/2025"/>
    <s v="2025-9830"/>
    <s v="Higher Education Awards"/>
    <s v="Mbali Kuze"/>
    <s v="mbalikuze77@gmail.com"/>
    <x v="0"/>
    <x v="0"/>
    <x v="0"/>
    <x v="1"/>
    <x v="0"/>
    <x v="2"/>
    <s v="Humanities"/>
    <s v="EM"/>
    <x v="0"/>
    <s v="Completed"/>
    <s v="University of the Witwatersrand"/>
    <s v="Masters in E-Science"/>
    <s v="Data Science"/>
    <d v="2026-02-15T00:00:00"/>
    <n v="2"/>
    <s v="_x000d__x000a_28850_x000d__x000a_"/>
    <s v="_x000d__x000a_28850_x000d__x000a_"/>
    <s v="_x000d__x000a_0_x000d__x000a_"/>
  </r>
  <r>
    <s v="10/12/2025"/>
    <s v="2025-10019"/>
    <s v="Higher Education Awards"/>
    <s v="Lebogang Makgolokwe"/>
    <s v="lebogangcom265@gmail.com"/>
    <x v="0"/>
    <x v="0"/>
    <x v="0"/>
    <x v="0"/>
    <x v="0"/>
    <x v="6"/>
    <s v="Other"/>
    <s v="EM"/>
    <x v="0"/>
    <s v="Completed"/>
    <s v="Sol Plaatje University"/>
    <s v="Masters in Public Management and Governance"/>
    <s v="The role of traditional leaders in the South African democratic transition: A case of the !Xun and Khwe in Platfontein Northern Cape"/>
    <d v="2026-02-01T00:00:00"/>
    <n v="2"/>
    <s v="_x000d__x000a_71000_x000d__x000a_"/>
    <s v="_x000d__x000a_71000_x000d__x000a_"/>
    <s v="_x000d__x000a_0_x000d__x000a_"/>
  </r>
  <r>
    <s v="10/12/2025"/>
    <s v="2025-9904"/>
    <s v="Higher Education Awards"/>
    <s v="Mpumelelo Nxumalo"/>
    <s v="2020587131@ufs4life.ac.za"/>
    <x v="0"/>
    <x v="0"/>
    <x v="0"/>
    <x v="0"/>
    <x v="0"/>
    <x v="6"/>
    <s v="Social Sciences"/>
    <s v="EM"/>
    <x v="0"/>
    <s v="Completed"/>
    <s v="University of the Free State"/>
    <s v="Master of Social Science with Specialisation in Anthropology"/>
    <s v="Multispecies ethnography; African epistemology"/>
    <d v="2026-02-02T00:00:00"/>
    <n v="2"/>
    <s v="_x000d__x000a_240000_x000d__x000a_"/>
    <s v="_x000d__x000a_240000_x000d__x000a_"/>
    <s v="_x000d__x000a_0_x000d__x000a_"/>
  </r>
  <r>
    <s v="10/12/2025"/>
    <s v="2025-10018"/>
    <s v="Higher Education Awards"/>
    <s v="Molise Michael Sebatana"/>
    <s v="molisesebatana@gmail.com"/>
    <x v="3"/>
    <x v="1"/>
    <x v="0"/>
    <x v="0"/>
    <x v="0"/>
    <x v="5"/>
    <s v="Natural Sciences"/>
    <s v="EM"/>
    <x v="37"/>
    <s v="Completed"/>
    <s v="University of the Free State (UFS)"/>
    <s v="Food Science"/>
    <s v="The selection, extraction and characterisation of mucilages from sustainable plants (Cactus Pear, Aloe Vera, Spekboom, Agave) and as a functional ingredient in food systems and cosmetics"/>
    <d v="2026-01-12T00:00:00"/>
    <n v="3"/>
    <s v="_x000d__x000a_241000_x000d__x000a_"/>
    <s v="_x000d__x000a_241000_x000d__x000a_"/>
    <s v="_x000d__x000a_241000_x000d__x000a_"/>
  </r>
  <r>
    <s v="10/12/2025"/>
    <s v="2025-9124"/>
    <s v="Higher Education Awards"/>
    <s v="Nomthandazo Msipha"/>
    <s v="nomthims@gmail.com"/>
    <x v="0"/>
    <x v="1"/>
    <x v="0"/>
    <x v="1"/>
    <x v="0"/>
    <x v="8"/>
    <s v="Health Sciences"/>
    <s v="EM"/>
    <x v="0"/>
    <s v="Completed"/>
    <s v="University of Cape Town"/>
    <s v="Doctoral 's in clinical sciences and immunology"/>
    <s v="Interleukin 4 induced gene 1 (IL-4I1) during Nippostronglyus brasiliensis and Schistosoma mansoni."/>
    <d v="2026-01-12T00:00:00"/>
    <n v="3"/>
    <s v="_x000d__x000a_281170_x000d__x000a_"/>
    <s v="_x000d__x000a_273520_x000d__x000a_"/>
    <s v="_x000d__x000a_286961.6_x000d__x000a_"/>
  </r>
  <r>
    <s v="10/12/2025"/>
    <s v="2025-10069"/>
    <s v="Higher Education Awards"/>
    <s v="kealeboga molokoane"/>
    <s v="kealebogamolokoane2001@gmail.com"/>
    <x v="0"/>
    <x v="0"/>
    <x v="0"/>
    <x v="0"/>
    <x v="0"/>
    <x v="4"/>
    <s v="Commerce &amp; Management"/>
    <s v="EM"/>
    <x v="38"/>
    <s v="Draft"/>
    <s v="North West university"/>
    <s v="Master of in Economics"/>
    <s v="Just transformation"/>
    <d v="2026-02-02T00:00:00"/>
    <n v="2"/>
    <s v="_x000d__x000a_172000_x000d__x000a_"/>
    <s v="_x000d__x000a_172000_x000d__x000a_"/>
    <s v="_x000d__x000a_0_x000d__x000a_"/>
  </r>
  <r>
    <s v="10/12/2025"/>
    <s v="2025-9309"/>
    <s v="Higher Education Awards"/>
    <s v="Neo Mokhuoane"/>
    <s v="neomokhuoane@gmail.com"/>
    <x v="0"/>
    <x v="0"/>
    <x v="0"/>
    <x v="1"/>
    <x v="0"/>
    <x v="2"/>
    <s v="Humanities"/>
    <s v="EM"/>
    <x v="0"/>
    <s v="Completed"/>
    <s v="University of Pretoria"/>
    <s v="Masters of Social Sciences in Sociology"/>
    <s v="Urban Regeneration and the Making of Racialized Spatial Inequality in Johannesburg Inner-city."/>
    <d v="2026-02-01T00:00:00"/>
    <n v="2"/>
    <s v="_x000d__x000a_227000_x000d__x000a_"/>
    <s v="_x000d__x000a_259000_x000d__x000a_"/>
    <s v="_x000d__x000a_0_x000d__x000a_"/>
  </r>
  <r>
    <s v="10/12/2025"/>
    <s v="2025-9520"/>
    <s v="Higher Education Awards"/>
    <s v="Mieke Struwig"/>
    <s v="19458673@sun.ac.za"/>
    <x v="0"/>
    <x v="2"/>
    <x v="1"/>
    <x v="1"/>
    <x v="0"/>
    <x v="2"/>
    <s v="Humanities"/>
    <s v="EM"/>
    <x v="0"/>
    <s v="Completed"/>
    <s v="Stellenbosch University"/>
    <s v="Postdoctoral Fellowship"/>
    <s v="Music Departments at Historically Black Universities – Histories, Ideologies, and Legacies"/>
    <d v="2026-04-01T00:00:00"/>
    <n v="2"/>
    <s v="_x000d__x000a_394680_x000d__x000a_"/>
    <s v="_x000d__x000a_392493_x000d__x000a_"/>
    <s v="_x000d__x000a_0_x000d__x000a_"/>
  </r>
  <r>
    <s v="10/12/2025"/>
    <s v="2025-9605"/>
    <s v="Higher Education Awards"/>
    <s v="Mbali Sangweni"/>
    <s v="sangwenimbalenhle9@gmail.com"/>
    <x v="3"/>
    <x v="0"/>
    <x v="0"/>
    <x v="1"/>
    <x v="0"/>
    <x v="8"/>
    <s v="Health Sciences"/>
    <s v="EM"/>
    <x v="14"/>
    <s v="Completed"/>
    <s v="University of the Witwatersrand"/>
    <s v="Masters in Science (Medicine)  in Physiology"/>
    <s v="TB"/>
    <d v="2026-01-01T00:00:00"/>
    <n v="2"/>
    <s v="_x000d__x000a_189760_x000d__x000a_"/>
    <s v="_x000d__x000a_189760_x000d__x000a_"/>
    <s v="_x000d__x000a_0_x000d__x000a_"/>
  </r>
  <r>
    <s v="10/12/2025"/>
    <s v="2025-9838"/>
    <s v="Higher Education Awards"/>
    <s v="Merriam Mamorena Leeuw"/>
    <s v="457921@students.wits.ac.za"/>
    <x v="0"/>
    <x v="0"/>
    <x v="0"/>
    <x v="1"/>
    <x v="0"/>
    <x v="2"/>
    <s v="Humanities"/>
    <s v="EM"/>
    <x v="0"/>
    <s v="Completed"/>
    <s v="The University of Witwatersrand"/>
    <s v="Masters in Cultural Policy and Masters"/>
    <s v="Festivals in Peri-Urban areas; The Smoking Dragons festival as a case study"/>
    <d v="2025-02-28T00:00:00"/>
    <n v="1"/>
    <s v="_x000d__x000a_207194.9_x000d__x000a_"/>
    <s v="_x000d__x000a_0_x000d__x000a_"/>
    <s v="_x000d__x000a_0_x000d__x000a_"/>
  </r>
  <r>
    <s v="10/12/2025"/>
    <s v="2025-8981"/>
    <s v="Higher Education Awards"/>
    <s v="Gabriela Singh"/>
    <s v="snggab002@myuct.ac.za"/>
    <x v="0"/>
    <x v="2"/>
    <x v="4"/>
    <x v="1"/>
    <x v="0"/>
    <x v="8"/>
    <s v="Health Sciences"/>
    <s v="EM"/>
    <x v="37"/>
    <s v="Completed"/>
    <s v="University of Cape Town"/>
    <s v="Postdoctoral studies"/>
    <s v="Tuberculous meningitis"/>
    <d v="2026-02-02T00:00:00"/>
    <n v="2"/>
    <s v="_x000d__x000a_450000_x000d__x000a_"/>
    <s v="_x000d__x000a_490000_x000d__x000a_"/>
    <s v="_x000d__x000a_0_x000d__x000a_"/>
  </r>
  <r>
    <s v="10/12/2025"/>
    <s v="2025-8360"/>
    <s v="Higher Education Awards"/>
    <s v="Gabriel De Freitas"/>
    <s v="gabbi.defreitas@gmail.com"/>
    <x v="0"/>
    <x v="0"/>
    <x v="1"/>
    <x v="0"/>
    <x v="0"/>
    <x v="0"/>
    <s v="Natural Sciences"/>
    <s v="EM"/>
    <x v="0"/>
    <s v="Completed"/>
    <s v="University of Cape Town"/>
    <s v="Masters Degree"/>
    <s v="Cosmology and General Relativity"/>
    <d v="2026-01-31T00:00:00"/>
    <n v="2"/>
    <s v="_x000d__x000a_247500_x000d__x000a_"/>
    <s v="_x000d__x000a_247500_x000d__x000a_"/>
    <s v="_x000d__x000a_0_x000d__x000a_"/>
  </r>
  <r>
    <s v="10/12/2025"/>
    <s v="2025-8568"/>
    <s v="Higher Education Awards"/>
    <s v="Abenathi Magaqa"/>
    <s v="abenathimagaqa@gmail.com"/>
    <x v="1"/>
    <x v="1"/>
    <x v="0"/>
    <x v="1"/>
    <x v="0"/>
    <x v="5"/>
    <s v="Natural Sciences"/>
    <s v="EM"/>
    <x v="1"/>
    <s v="Completed"/>
    <s v="Walter Sisulu University"/>
    <s v="PhD in Chemistry"/>
    <s v="Multiparameter lead optimization of inhibitors targeting allosteric binding sites of the androgen receptor"/>
    <d v="2026-01-05T00:00:00"/>
    <n v="3"/>
    <s v="_x000d__x000a_170000_x000d__x000a_"/>
    <s v="_x000d__x000a_170000_x000d__x000a_"/>
    <s v="_x000d__x000a_170000_x000d__x000a_"/>
  </r>
  <r>
    <s v="10/12/2025"/>
    <s v="2025-9421"/>
    <s v="Higher Education Awards"/>
    <s v="Marnie McGowan"/>
    <s v="marnie.mcgowan@gmail.com"/>
    <x v="0"/>
    <x v="1"/>
    <x v="1"/>
    <x v="1"/>
    <x v="0"/>
    <x v="8"/>
    <s v="Health Sciences"/>
    <s v="EM"/>
    <x v="0"/>
    <s v="Completed"/>
    <s v="University of Cape Town"/>
    <s v="Doctor of Philosophy in Neuroscience (Physiology) - PhD in Neuroscience (Physiology)"/>
    <s v="Neuroscience, Immunology, Neuroimmunology, Bioinformatics, Spatial Omics, Cryptococcal Meningitis"/>
    <d v="2026-03-02T00:00:00"/>
    <n v="3"/>
    <s v="_x000d__x000a_274743.6_x000d__x000a_"/>
    <s v="_x000d__x000a_273027.89_x000d__x000a_"/>
    <s v="_x000d__x000a_286959.33_x000d__x000a_"/>
  </r>
  <r>
    <s v="10/12/2025"/>
    <s v="2025-9485"/>
    <s v="Higher Education Awards"/>
    <s v="Cheyann Dare"/>
    <s v="1852761@students.wits.ac.za"/>
    <x v="0"/>
    <x v="1"/>
    <x v="1"/>
    <x v="1"/>
    <x v="0"/>
    <x v="8"/>
    <s v="Natural Sciences"/>
    <s v="EM"/>
    <x v="0"/>
    <s v="Completed"/>
    <s v="University of the Witwatersrand"/>
    <s v="PhD by dissertation in Biochemistry and Cell Biology"/>
    <s v="Alzheimers Disease"/>
    <d v="2026-02-01T00:00:00"/>
    <n v="3"/>
    <s v="_x000d__x000a_235696_x000d__x000a_"/>
    <s v="_x000d__x000a_235696_x000d__x000a_"/>
    <s v="_x000d__x000a_235696_x000d__x000a_"/>
  </r>
  <r>
    <s v="10/12/2025"/>
    <s v="2025-9908"/>
    <s v="Higher Education Awards"/>
    <s v="Amogelang Ratlhogo"/>
    <s v="ratlhogoamo1532@gmail.com"/>
    <x v="0"/>
    <x v="0"/>
    <x v="0"/>
    <x v="0"/>
    <x v="0"/>
    <x v="2"/>
    <s v="Humanities"/>
    <s v="EM"/>
    <x v="39"/>
    <s v="Completed"/>
    <s v="North West University"/>
    <s v="Masters degree"/>
    <s v="Challenges faced by South Africa in complying with global climate change agreements/ agenda"/>
    <d v="2026-02-16T00:00:00"/>
    <n v="1"/>
    <s v="_x000d__x000a_87346_x000d__x000a_"/>
    <s v="_x000d__x000a_0_x000d__x000a_"/>
    <s v="_x000d__x000a_0_x000d__x000a_"/>
  </r>
  <r>
    <s v="10/12/2025"/>
    <s v="2025-8745"/>
    <s v="Higher Education Awards"/>
    <s v="Sipho Mfazi"/>
    <s v="Mfazisipho@gmail.com"/>
    <x v="3"/>
    <x v="1"/>
    <x v="0"/>
    <x v="0"/>
    <x v="0"/>
    <x v="4"/>
    <s v="Commerce &amp; Management"/>
    <s v="EM"/>
    <x v="0"/>
    <s v="Completed"/>
    <s v="University of Fort Hare"/>
    <s v="Phd in Business Management"/>
    <s v="Recontextualising generational cohorts and their influence on work ethics in the South African workplace"/>
    <d v="2025-02-03T00:00:00"/>
    <n v="1"/>
    <s v="_x000d__x000a_158400_x000d__x000a_"/>
    <s v="_x000d__x000a_0_x000d__x000a_"/>
    <s v="_x000d__x000a_0_x000d__x000a_"/>
  </r>
  <r>
    <s v="10/12/2025"/>
    <s v="2025-8542"/>
    <s v="Higher Education Awards"/>
    <s v="Bernett Nkwayi Mulungo"/>
    <s v="mulungob@gmail.com"/>
    <x v="0"/>
    <x v="1"/>
    <x v="0"/>
    <x v="0"/>
    <x v="1"/>
    <x v="3"/>
    <s v="Performing &amp; Creative Arts"/>
    <s v="EM"/>
    <x v="0"/>
    <s v="Draft"/>
    <s v="Canterbury Christ Church University"/>
    <s v="Music Composition Studies"/>
    <s v="South African jazz: the Inflence of Indigenous and Traditional Music on South African Jazz"/>
    <d v="2026-01-09T00:00:00"/>
    <n v="3"/>
    <s v="_x000d__x000a_-61037.5_x000d__x000a_"/>
    <s v="_x000d__x000a_-92777_x000d__x000a_"/>
    <s v="_x000d__x000a_-92777_x000d__x000a_"/>
  </r>
  <r>
    <s v="10/12/2025"/>
    <s v="2025-9434"/>
    <s v="Higher Education Awards"/>
    <s v="Florence Muzenda"/>
    <s v="fmuzenda@sun.ac.za"/>
    <x v="0"/>
    <x v="1"/>
    <x v="0"/>
    <x v="1"/>
    <x v="0"/>
    <x v="8"/>
    <s v="Natural Sciences"/>
    <s v="EM"/>
    <x v="0"/>
    <s v="Completed"/>
    <s v="Stellenbosch University"/>
    <s v="PhD Biochemistry"/>
    <s v="Characterization of the Plasmodium falciparum ER Hsps as potential diagnostic tools."/>
    <d v="2026-01-19T00:00:00"/>
    <n v="2"/>
    <s v="_x000d__x000a_175000_x000d__x000a_"/>
    <s v="_x000d__x000a_175000_x000d__x000a_"/>
    <s v="_x000d__x000a_0_x000d__x000a_"/>
  </r>
  <r>
    <s v="10/12/2025"/>
    <s v="2025-8570"/>
    <s v="Higher Education Awards"/>
    <s v="Sibusiso Trevor Dlamini"/>
    <s v="2619692@students.wits.ac.za"/>
    <x v="0"/>
    <x v="2"/>
    <x v="0"/>
    <x v="0"/>
    <x v="0"/>
    <x v="5"/>
    <s v="Natural Sciences"/>
    <s v="EM"/>
    <x v="0"/>
    <s v="Completed"/>
    <s v="University of the Witwatersrand, Johannesburg"/>
    <s v="Environmental Microbiology"/>
    <s v="Grass root traits respond to changes in soil biogeochemical gradient in the Maloti-Drakensburg"/>
    <d v="2026-01-19T00:00:00"/>
    <n v="2"/>
    <s v="_x000d__x000a_202000_x000d__x000a_"/>
    <s v="_x000d__x000a_145000_x000d__x000a_"/>
    <s v="_x000d__x000a_0_x000d__x000a_"/>
  </r>
  <r>
    <s v="10/12/2025"/>
    <s v="2025-9959"/>
    <s v="Higher Education Awards"/>
    <s v="Mukesh Kumar Verma"/>
    <s v="VermaM@ukzn.ac.za"/>
    <x v="0"/>
    <x v="2"/>
    <x v="4"/>
    <x v="0"/>
    <x v="0"/>
    <x v="0"/>
    <s v="Applied Sciences"/>
    <s v="EM"/>
    <x v="0"/>
    <s v="Completed"/>
    <s v="University of Kwazulu Natal , Durban"/>
    <s v="Material Chemistry"/>
    <s v="Synthesis, characterization and application of Core-Shell Photocatalysts for Efficient Water Purification"/>
    <d v="2026-01-01T00:00:00"/>
    <n v="1"/>
    <s v="_x000d__x000a_225000_x000d__x000a_"/>
    <s v="_x000d__x000a_0_x000d__x000a_"/>
    <s v="_x000d__x000a_0_x000d__x000a_"/>
  </r>
  <r>
    <s v="10/12/2025"/>
    <s v="2025-8296"/>
    <s v="Higher Education Awards"/>
    <s v="Nomthandazo Nxasane"/>
    <s v="nomthandazonxasane@gmail.com"/>
    <x v="0"/>
    <x v="0"/>
    <x v="0"/>
    <x v="1"/>
    <x v="0"/>
    <x v="5"/>
    <s v="Natural Sciences"/>
    <s v="EM"/>
    <x v="37"/>
    <s v="Completed"/>
    <s v="University of the Free State"/>
    <s v="Master of Science in Agriculture with specialization in Soil Science"/>
    <s v="Evaluating the temporal effects of regenerative and conventional cropping on soil health"/>
    <d v="2026-01-12T00:00:00"/>
    <n v="2"/>
    <s v="_x000d__x000a_300333.33_x000d__x000a_"/>
    <s v="_x000d__x000a_233666.67_x000d__x000a_"/>
    <s v="_x000d__x000a_0_x000d__x000a_"/>
  </r>
  <r>
    <s v="10/12/2025"/>
    <s v="2025-8424"/>
    <s v="Higher Education Awards"/>
    <s v="Veronique De Jager"/>
    <s v="djgver001@myuct.ac.za"/>
    <x v="0"/>
    <x v="1"/>
    <x v="2"/>
    <x v="1"/>
    <x v="0"/>
    <x v="8"/>
    <s v="Health Sciences"/>
    <s v="EM"/>
    <x v="0"/>
    <s v="Completed"/>
    <s v="University of Cape Town"/>
    <s v="Doctoral degree"/>
    <s v="Tuberculosis of the Central Nervous System - &quot;Dissecting CNS Tuberculosis Immune Dynamics Through Temporal Single-Cell Transcriptomic and Proteomic Profiling&quot;"/>
    <d v="2024-07-01T00:00:00"/>
    <n v="2"/>
    <s v="_x000d__x000a_430000_x000d__x000a_"/>
    <s v="_x000d__x000a_430000_x000d__x000a_"/>
    <s v="_x000d__x000a_0_x000d__x000a_"/>
  </r>
  <r>
    <s v="10/12/2025"/>
    <s v="2025-10026"/>
    <s v="Higher Education Awards"/>
    <s v="Samkelo Radebe"/>
    <s v="2022157040@ufs4life.ac.za"/>
    <x v="0"/>
    <x v="2"/>
    <x v="0"/>
    <x v="0"/>
    <x v="0"/>
    <x v="5"/>
    <s v="Natural Sciences"/>
    <s v="EM"/>
    <x v="37"/>
    <s v="Completed"/>
    <s v="The University of the Free State"/>
    <s v="Post Doctoral fellowship"/>
    <s v="A real-time, climate sensitive transferable machine learning groundwater prospectivity model for arid and semi-arid regions of the African continent"/>
    <d v="2025-09-30T00:00:00"/>
    <n v="2"/>
    <s v="_x000d__x000a_440408_x000d__x000a_"/>
    <s v="_x000d__x000a_180000_x000d__x000a_"/>
    <s v="_x000d__x000a_0_x000d__x000a_"/>
  </r>
  <r>
    <s v="10/12/2025"/>
    <s v="2025-8688"/>
    <s v="Higher Education Awards"/>
    <s v="Gabriela Carolus"/>
    <s v="gcarolus@sun.ac.za"/>
    <x v="0"/>
    <x v="1"/>
    <x v="2"/>
    <x v="1"/>
    <x v="0"/>
    <x v="8"/>
    <s v="Health Sciences"/>
    <s v="EM"/>
    <x v="37"/>
    <s v="Completed"/>
    <s v="Stellenbosch University"/>
    <s v="Doctor of Philosophy (PhD), Public Health (Health Systems &amp; Services Research), Faculty of Medicine &amp; Health Sciences, Stellenbosch University."/>
    <s v="Co-designing AI-Driven Storytelling Tools for Type-2 Diabetes Management in African Low and Middle-Income Countries"/>
    <d v="2026-01-01T00:00:00"/>
    <n v="3"/>
    <s v="_x000d__x000a_409693_x000d__x000a_"/>
    <s v="_x000d__x000a_401438_x000d__x000a_"/>
    <s v="_x000d__x000a_459410_x000d__x000a_"/>
  </r>
  <r>
    <s v="10/12/2025"/>
    <s v="2025-9656"/>
    <s v="Higher Education Awards"/>
    <s v="Whoghuwah Muntonia Heidi Makena"/>
    <s v="mknwho001@myuct.ac.za"/>
    <x v="3"/>
    <x v="1"/>
    <x v="0"/>
    <x v="1"/>
    <x v="0"/>
    <x v="8"/>
    <s v="Health Sciences"/>
    <s v="EM"/>
    <x v="0"/>
    <s v="Completed"/>
    <s v="University of Cape Town"/>
    <s v="Clinical Sciences &amp; Immunology"/>
    <s v="Exploring Gartanin and Long Non-Coding RNA- 286 and as Host-Directed Drug Therapy for  Tuberculosis"/>
    <d v="2026-01-19T00:00:00"/>
    <n v="3"/>
    <s v="_x000d__x000a_161000_x000d__x000a_"/>
    <s v="_x000d__x000a_161000_x000d__x000a_"/>
    <s v="_x000d__x000a_161000_x000d__x000a_"/>
  </r>
  <r>
    <s v="10/12/2025"/>
    <s v="2025-9902"/>
    <s v="Higher Education Awards"/>
    <s v="Tendani Goodnes Nethomboni"/>
    <s v="tendigoodnethomboni@gmail.com"/>
    <x v="0"/>
    <x v="0"/>
    <x v="0"/>
    <x v="1"/>
    <x v="0"/>
    <x v="8"/>
    <s v="Health Sciences"/>
    <s v="EM"/>
    <x v="0"/>
    <s v="Completed"/>
    <s v="University of the Witwatersrand"/>
    <s v="Master Of Science in Medicine by research(Anatomical Sciences)"/>
    <s v="Investigating Microglial response to the Nemecheck protocol in Human-Derived brain organoid models of Autism Spectrum disorder"/>
    <d v="2026-02-01T00:00:00"/>
    <n v="2"/>
    <s v="_x000d__x000a_197887.9_x000d__x000a_"/>
    <s v="_x000d__x000a_197887.9_x000d__x000a_"/>
    <s v="_x000d__x000a_0_x000d__x000a_"/>
  </r>
  <r>
    <s v="10/12/2025"/>
    <s v="2025-9237"/>
    <s v="Higher Education Awards"/>
    <s v="Megan Jacobs"/>
    <s v="24833703@sun.ac.za"/>
    <x v="0"/>
    <x v="0"/>
    <x v="2"/>
    <x v="1"/>
    <x v="0"/>
    <x v="3"/>
    <s v="Humanities"/>
    <s v="EM"/>
    <x v="0"/>
    <s v="Completed"/>
    <s v="Stellenbosch University"/>
    <s v="MA History"/>
    <s v="Cape Jazz"/>
    <d v="2026-02-02T00:00:00"/>
    <n v="2"/>
    <s v="_x000d__x000a_213810_x000d__x000a_"/>
    <s v="_x000d__x000a_223810_x000d__x000a_"/>
    <s v="_x000d__x000a_0_x000d__x000a_"/>
  </r>
  <r>
    <s v="10/12/2025"/>
    <s v="2025-9659"/>
    <s v="Higher Education Awards"/>
    <s v="Tallulah Rose Glasby"/>
    <s v="23540303@sun.ac.za"/>
    <x v="0"/>
    <x v="1"/>
    <x v="1"/>
    <x v="1"/>
    <x v="0"/>
    <x v="5"/>
    <s v="Natural Sciences"/>
    <s v="EM"/>
    <x v="0"/>
    <s v="Completed"/>
    <s v="Stellenbosch University"/>
    <s v="Biological Soil Crusts"/>
    <s v="The role and importance of biological soil crusts in South African drylands"/>
    <d v="2026-01-05T00:00:00"/>
    <n v="3"/>
    <s v="_x000d__x000a_179915_x000d__x000a_"/>
    <s v="_x000d__x000a_179915_x000d__x000a_"/>
    <s v="_x000d__x000a_179915_x000d__x000a_"/>
  </r>
  <r>
    <s v="10/12/2025"/>
    <s v="2025-9961"/>
    <s v="Higher Education Awards"/>
    <s v="Kwakhanya Dyantyi"/>
    <s v="kdyantyi17@gmail.com"/>
    <x v="0"/>
    <x v="0"/>
    <x v="0"/>
    <x v="1"/>
    <x v="0"/>
    <x v="2"/>
    <s v="Humanities"/>
    <s v="EM"/>
    <x v="0"/>
    <s v="Completed"/>
    <s v="University of the Free State"/>
    <s v="Masters in Lingustics"/>
    <s v="Cross-linguistics transfer and grammaticality judgments"/>
    <d v="2025-02-10T00:00:00"/>
    <n v="1"/>
    <s v="_x000d__x000a_102000_x000d__x000a_"/>
    <s v="_x000d__x000a_0_x000d__x000a_"/>
    <s v="_x000d__x000a_0_x000d__x000a_"/>
  </r>
  <r>
    <s v="10/12/2025"/>
    <s v="2025-9856"/>
    <s v="Higher Education Awards"/>
    <s v="Makhado Ledwaba"/>
    <s v="24406732@sun.ac.za"/>
    <x v="3"/>
    <x v="0"/>
    <x v="0"/>
    <x v="0"/>
    <x v="0"/>
    <x v="6"/>
    <s v="Social Sciences"/>
    <s v="EM"/>
    <x v="0"/>
    <s v="Completed"/>
    <s v="Stellenbosch University"/>
    <s v="MA Geography and Environmental Studies"/>
    <s v="Waste management issues in rural areas"/>
    <d v="2026-01-12T00:00:00"/>
    <n v="1"/>
    <s v="_x000d__x000a_145181_x000d__x000a_"/>
    <s v="_x000d__x000a_0_x000d__x000a_"/>
    <s v="_x000d__x000a_0_x000d__x000a_"/>
  </r>
  <r>
    <s v="10/12/2025"/>
    <s v="2025-9518"/>
    <s v="Higher Education Awards"/>
    <s v="Chandelé Montgomery"/>
    <s v="1349460@students.wits.ac.za"/>
    <x v="0"/>
    <x v="1"/>
    <x v="1"/>
    <x v="1"/>
    <x v="0"/>
    <x v="5"/>
    <s v="Natural Sciences"/>
    <s v="EM"/>
    <x v="0"/>
    <s v="Draft"/>
    <s v="University of the Witwatersrand"/>
    <s v="Doctor of Philosophy"/>
    <s v="Palaeontology"/>
    <d v="2026-01-01T00:00:00"/>
    <n v="1"/>
    <s v="_x000d__x000a_346500_x000d__x000a_"/>
    <s v="_x000d__x000a_0_x000d__x000a_"/>
    <s v="_x000d__x000a_0_x000d__x000a_"/>
  </r>
  <r>
    <s v="10/12/2025"/>
    <s v="2025-9296"/>
    <s v="Higher Education Awards"/>
    <s v="Bongekile Radebe"/>
    <s v="bongekileradebe1308@gmail.com"/>
    <x v="0"/>
    <x v="1"/>
    <x v="0"/>
    <x v="1"/>
    <x v="0"/>
    <x v="7"/>
    <s v="Law"/>
    <s v="EM"/>
    <x v="0"/>
    <s v="Completed"/>
    <s v="University of South Africa"/>
    <s v="Criminal Justice, Forensic Science and Technology"/>
    <s v="Application of electron microscopy in pesticide poisoning post-mortem cases as a diagnostic tool"/>
    <d v="2026-01-19T00:00:00"/>
    <n v="3"/>
    <s v="_x000d__x000a_180000_x000d__x000a_"/>
    <s v="_x000d__x000a_180000_x000d__x000a_"/>
    <s v="_x000d__x000a_180000_x000d__x000a_"/>
  </r>
  <r>
    <s v="10/12/2025"/>
    <s v="2025-10043"/>
    <s v="Higher Education Awards"/>
    <s v="Karabo Ramafoko"/>
    <s v="ramafokokarabo@gmail.com"/>
    <x v="3"/>
    <x v="0"/>
    <x v="0"/>
    <x v="1"/>
    <x v="0"/>
    <x v="8"/>
    <s v="Natural Sciences"/>
    <s v="EM"/>
    <x v="15"/>
    <s v="Completed"/>
    <s v="Sefako Makgatho Health Sciences University"/>
    <s v="Msc  (zoology)"/>
    <s v="Investigating the therapeutic biomarkers of selected medicinal on Parkinson's  disease using in vitro model"/>
    <d v="2024-01-05T00:00:00"/>
    <n v="3"/>
    <s v="_x000d__x000a_37887_x000d__x000a_"/>
    <s v="_x000d__x000a_50000_x000d__x000a_"/>
    <s v="_x000d__x000a_87887_x000d__x000a_"/>
  </r>
  <r>
    <s v="10/12/2025"/>
    <s v="2025-9974"/>
    <s v="Higher Education Awards"/>
    <s v="Benedict Moyo"/>
    <s v="u23932679@tuks.co.za"/>
    <x v="0"/>
    <x v="1"/>
    <x v="0"/>
    <x v="0"/>
    <x v="0"/>
    <x v="4"/>
    <s v="Commerce &amp; Management"/>
    <s v="EM"/>
    <x v="0"/>
    <s v="Completed"/>
    <s v="University of Pretoria"/>
    <s v="PhD in Economics"/>
    <s v="Modelling corruption as a network in South Africa"/>
    <d v="2026-02-16T00:00:00"/>
    <n v="3"/>
    <s v="_x000d__x000a_237500_x000d__x000a_"/>
    <s v="_x000d__x000a_229500_x000d__x000a_"/>
    <s v="_x000d__x000a_256500_x000d__x000a_"/>
  </r>
  <r>
    <s v="10/12/2025"/>
    <s v="2025-9310"/>
    <s v="Higher Education Awards"/>
    <s v="Nirveda Alleck"/>
    <s v="nirvedaalleck@gmail.com"/>
    <x v="0"/>
    <x v="1"/>
    <x v="4"/>
    <x v="1"/>
    <x v="0"/>
    <x v="3"/>
    <s v="Performing &amp; Creative Arts"/>
    <s v="EM"/>
    <x v="0"/>
    <s v="Completed"/>
    <s v="University of Cape Town"/>
    <s v="PhD in Fine Arts"/>
    <s v="Decolonial representation and aesthetics pertaining to the Indian Ocean islands"/>
    <d v="2025-07-07T00:00:00"/>
    <n v="3"/>
    <s v="_x000d__x000a_188163_x000d__x000a_"/>
    <s v="_x000d__x000a_312363_x000d__x000a_"/>
    <s v="_x000d__x000a_298363_x000d__x000a_"/>
  </r>
  <r>
    <s v="10/12/2025"/>
    <s v="2025-9680"/>
    <s v="Higher Education Awards"/>
    <s v="Thirusha Mohabir"/>
    <s v="thirushamohabir@gmail.com"/>
    <x v="0"/>
    <x v="1"/>
    <x v="4"/>
    <x v="1"/>
    <x v="0"/>
    <x v="6"/>
    <s v="Social Sciences"/>
    <s v="EM"/>
    <x v="37"/>
    <s v="Completed"/>
    <s v="Stellenborsch University"/>
    <s v="Doctorate in Psychology"/>
    <s v="Aging in a Youth-Centred Society: Exploring the Psychological Impact of Societal Invisibility on Older Adults in South Africa."/>
    <d v="2026-01-05T00:00:00"/>
    <n v="3"/>
    <s v="_x000d__x000a_285000_x000d__x000a_"/>
    <s v="_x000d__x000a_306000_x000d__x000a_"/>
    <s v="_x000d__x000a_353000_x000d__x000a_"/>
  </r>
  <r>
    <s v="10/12/2025"/>
    <s v="2025-10013"/>
    <s v="Higher Education Awards"/>
    <s v="Aneska Richter"/>
    <s v="28885260@mynwu.ac.za"/>
    <x v="0"/>
    <x v="1"/>
    <x v="1"/>
    <x v="1"/>
    <x v="0"/>
    <x v="5"/>
    <s v="Natural Sciences"/>
    <s v="EM"/>
    <x v="0"/>
    <s v="Completed"/>
    <s v="North-West University (NWU)"/>
    <s v="PhD in Geography and Environmental Management"/>
    <s v="Quantifying pollutant transport and exceedances over South Africa and the Highveld CHIMERE chemistry transport model"/>
    <d v="2025-01-01T00:00:00"/>
    <n v="3"/>
    <s v="_x000d__x000a_146000_x000d__x000a_"/>
    <s v="_x000d__x000a_152000_x000d__x000a_"/>
    <s v="_x000d__x000a_152000_x000d__x000a_"/>
  </r>
  <r>
    <s v="10/12/2025"/>
    <s v="2025-8421"/>
    <s v="Higher Education Awards"/>
    <s v="Isabel de Beer"/>
    <s v="isabel.debeer8@gmail.com"/>
    <x v="0"/>
    <x v="0"/>
    <x v="1"/>
    <x v="1"/>
    <x v="0"/>
    <x v="8"/>
    <s v="Health Sciences"/>
    <s v="EM"/>
    <x v="0"/>
    <s v="Completed"/>
    <s v="University of Cape Town"/>
    <s v="Master of Science in Medicine (MSc Med) by dissertation"/>
    <s v="Medical Microbiology"/>
    <d v="2025-02-18T00:00:00"/>
    <n v="1"/>
    <s v="_x000d__x000a_247166.45_x000d__x000a_"/>
    <s v="_x000d__x000a_0_x000d__x000a_"/>
    <s v="_x000d__x000a_0_x000d__x000a_"/>
  </r>
  <r>
    <s v="10/12/2025"/>
    <s v="2025-9879"/>
    <s v="Higher Education Awards"/>
    <s v="Karabelo Shirinde"/>
    <s v="Karabeloshirinde@gmail.com"/>
    <x v="0"/>
    <x v="1"/>
    <x v="0"/>
    <x v="1"/>
    <x v="0"/>
    <x v="2"/>
    <s v="Humanities"/>
    <s v="EM"/>
    <x v="0"/>
    <s v="Completed"/>
    <s v="University of the Witwatersrand"/>
    <s v="Doctor of Philosophy in African Literature"/>
    <s v="Black Poetics and The New Genre of the Human"/>
    <d v="2025-04-01T00:00:00"/>
    <n v="2"/>
    <s v="_x000d__x000a_107286_x000d__x000a_"/>
    <s v="_x000d__x000a_107286_x000d__x000a_"/>
    <s v="_x000d__x000a_0_x000d__x000a_"/>
  </r>
  <r>
    <s v="10/12/2025"/>
    <s v="2025-9448"/>
    <s v="Higher Education Awards"/>
    <s v="Christine Mkhonto"/>
    <s v="chresimkhonto@gmail.com"/>
    <x v="0"/>
    <x v="2"/>
    <x v="0"/>
    <x v="1"/>
    <x v="0"/>
    <x v="0"/>
    <s v="Natural Sciences"/>
    <s v="EM"/>
    <x v="0"/>
    <s v="Completed"/>
    <s v="University of Limpopo"/>
    <s v="Natural Science-Metal alloys"/>
    <s v="Quaternary-doping of Pt, Ir and Ru on the ternary Fe-Ag-Al alloy"/>
    <d v="2006-01-30T00:00:00"/>
    <n v="2"/>
    <s v="_x000d__x000a_495000_x000d__x000a_"/>
    <s v="_x000d__x000a_415000_x000d__x000a_"/>
    <s v="_x000d__x000a_0_x000d__x000a_"/>
  </r>
  <r>
    <s v="10/12/2025"/>
    <s v="2025-8951"/>
    <s v="Higher Education Awards"/>
    <s v="Onethemba Xoma"/>
    <s v="onethembaxoma@gmail.com"/>
    <x v="0"/>
    <x v="0"/>
    <x v="0"/>
    <x v="1"/>
    <x v="0"/>
    <x v="8"/>
    <s v="Health Sciences"/>
    <s v="EM"/>
    <x v="0"/>
    <s v="Completed"/>
    <s v="University of Cape Town"/>
    <s v="MSc Neuroscience (Psychiatry)"/>
    <s v="Assessing executive functioning in 5–year-old children following Antenatal Maternal Depression Exposure: The Role of Earlier neurodevelopmental changes."/>
    <d v="2025-02-28T00:00:00"/>
    <n v="1"/>
    <s v="_x000d__x000a_179000_x000d__x000a_"/>
    <s v="_x000d__x000a_0_x000d__x000a_"/>
    <s v="_x000d__x000a_0_x000d__x000a_"/>
  </r>
  <r>
    <s v="10/12/2025"/>
    <s v="2025-9909"/>
    <s v="Higher Education Awards"/>
    <s v="Olufemi Olubodun"/>
    <s v="olubodun.olufemi@gmail.com"/>
    <x v="0"/>
    <x v="2"/>
    <x v="0"/>
    <x v="0"/>
    <x v="0"/>
    <x v="5"/>
    <s v="Natural Sciences"/>
    <s v="EM"/>
    <x v="0"/>
    <s v="Completed"/>
    <s v="University of Cape Town"/>
    <s v="Post doctoral research"/>
    <s v="Group relatedness and genetic mating system of the facultatively cooperative breeding African pygmy falcon"/>
    <d v="2026-01-05T00:00:00"/>
    <n v="2"/>
    <s v="_x000d__x000a_523112.25_x000d__x000a_"/>
    <s v="_x000d__x000a_558438.5_x000d__x000a_"/>
    <s v="_x000d__x000a_0_x000d__x000a_"/>
  </r>
  <r>
    <s v="10/12/2025"/>
    <s v="2025-9874"/>
    <s v="Higher Education Awards"/>
    <s v="Lilitha Cengani"/>
    <s v="cnglil001@myuct.ac.za"/>
    <x v="0"/>
    <x v="1"/>
    <x v="0"/>
    <x v="1"/>
    <x v="0"/>
    <x v="8"/>
    <s v="Health Sciences"/>
    <s v="EM"/>
    <x v="0"/>
    <s v="Completed"/>
    <s v="University of Cape Town"/>
    <s v="DPhil in Neuroscience and Physiology"/>
    <s v="Using flow cytometry to study neuroimmune responses on a murine and human ex vivo model of cryptococcal meningitis"/>
    <d v="2026-01-27T00:00:00"/>
    <n v="3"/>
    <s v="_x000d__x000a_241970_x000d__x000a_"/>
    <s v="_x000d__x000a_241970_x000d__x000a_"/>
    <s v="_x000d__x000a_241970_x000d__x000a_"/>
  </r>
  <r>
    <s v="10/12/2025"/>
    <s v="2025-9821"/>
    <s v="Higher Education Awards"/>
    <s v="Bevin Davids"/>
    <s v="davidsbevin@gmail.com"/>
    <x v="0"/>
    <x v="0"/>
    <x v="2"/>
    <x v="0"/>
    <x v="0"/>
    <x v="2"/>
    <s v="Humanities"/>
    <s v="EM"/>
    <x v="37"/>
    <s v="Completed"/>
    <s v="Sol Plaatje University"/>
    <s v="MA (Afrikaans)"/>
    <s v="Taal en kulturele identiteit in  die digbundels van Adam Small: n Fokus op  Kitaar my kruis en Klawerjas."/>
    <d v="2024-03-01T00:00:00"/>
    <n v="1"/>
    <s v="_x000d__x000a_95000_x000d__x000a_"/>
    <s v="_x000d__x000a_0_x000d__x000a_"/>
    <s v="_x000d__x000a_0_x000d__x000a_"/>
  </r>
  <r>
    <s v="10/12/2025"/>
    <s v="2025-9884"/>
    <s v="Higher Education Awards"/>
    <s v="Amber Sneddon"/>
    <s v="sndamb002@myuct.ac.za"/>
    <x v="0"/>
    <x v="1"/>
    <x v="1"/>
    <x v="1"/>
    <x v="0"/>
    <x v="5"/>
    <s v="Natural Sciences"/>
    <s v="EM"/>
    <x v="0"/>
    <s v="Completed"/>
    <s v="University of Cape Town"/>
    <s v="PhD in Atmospheric Science"/>
    <s v="Atmospheric Rivers in the Southern Hemisphere"/>
    <d v="2026-01-01T00:00:00"/>
    <n v="3"/>
    <s v="_x000d__x000a_249170_x000d__x000a_"/>
    <s v="_x000d__x000a_229170_x000d__x000a_"/>
    <s v="_x000d__x000a_299170_x000d__x000a_"/>
  </r>
  <r>
    <s v="10/12/2025"/>
    <s v="2025-9280"/>
    <s v="Higher Education Awards"/>
    <s v="Sereko Erasmus"/>
    <s v="sereko.erasmus@gmail.com"/>
    <x v="0"/>
    <x v="0"/>
    <x v="0"/>
    <x v="1"/>
    <x v="0"/>
    <x v="8"/>
    <s v="Health Sciences"/>
    <s v="EM"/>
    <x v="40"/>
    <s v="Completed"/>
    <s v="North West University"/>
    <s v="Master Public health"/>
    <s v="Cardiovascular consequences of antiretroviral therapy–induced lipodystrophy in South African HIV-positive adults"/>
    <d v="2026-01-01T00:00:00"/>
    <n v="1"/>
    <s v="_x000d__x000a_54400_x000d__x000a_"/>
    <s v="_x000d__x000a_0_x000d__x000a_"/>
    <s v="_x000d__x000a_0_x000d__x000a_"/>
  </r>
  <r>
    <s v="10/12/2025"/>
    <s v="2025-10057"/>
    <s v="Higher Education Awards"/>
    <s v="william Moloto"/>
    <s v="william.moloto@live.com"/>
    <x v="0"/>
    <x v="2"/>
    <x v="0"/>
    <x v="0"/>
    <x v="0"/>
    <x v="1"/>
    <s v="Engineering &amp; the Built Environment"/>
    <s v="EM"/>
    <x v="0"/>
    <s v="Completed"/>
    <s v="MINTEK"/>
    <s v="Postdoctoral Research Fellowship"/>
    <s v="development and characterization of polyimide–MOF–quantum dot hybrid substrates for multifunctional biosensing applications"/>
    <d v="2026-03-02T00:00:00"/>
    <n v="2"/>
    <s v="_x000d__x000a_204000_x000d__x000a_"/>
    <s v="_x000d__x000a_189000_x000d__x000a_"/>
    <s v="_x000d__x000a_0_x000d__x000a_"/>
  </r>
  <r>
    <s v="10/12/2025"/>
    <s v="2025-8209"/>
    <s v="Higher Education Awards"/>
    <s v="Okhwathisa Nemunzhele"/>
    <s v="nemunzheleo@gmail.com"/>
    <x v="0"/>
    <x v="0"/>
    <x v="0"/>
    <x v="0"/>
    <x v="0"/>
    <x v="0"/>
    <s v="Natural Sciences"/>
    <s v="EM"/>
    <x v="0"/>
    <s v="Completed"/>
    <s v="Stellenbosch University"/>
    <s v="MSc(Mathematics)"/>
    <s v="Pure Mathematics"/>
    <d v="2025-02-26T00:00:00"/>
    <n v="1"/>
    <s v="_x000d__x000a_22610_x000d__x000a_"/>
    <s v="_x000d__x000a_0_x000d__x000a_"/>
    <s v="_x000d__x000a_0_x000d__x000a_"/>
  </r>
  <r>
    <s v="10/12/2025"/>
    <s v="2025-8937"/>
    <s v="Higher Education Awards"/>
    <s v="Fisseha Andualem Bezza"/>
    <s v="fissehaandualem@gmail.com"/>
    <x v="0"/>
    <x v="2"/>
    <x v="0"/>
    <x v="0"/>
    <x v="0"/>
    <x v="1"/>
    <s v="Engineering &amp; the Built Environment"/>
    <s v="EM"/>
    <x v="0"/>
    <s v="Completed"/>
    <s v="University of Pretoria"/>
    <s v="Postdoctoral Fellowship"/>
    <s v="Design and synthesis of high-performance salt resistant novel photothermal membranes for enhanced membrane distillation-based desalination of seawater"/>
    <d v="2026-01-04T00:00:00"/>
    <n v="2"/>
    <s v="_x000d__x000a_455000_x000d__x000a_"/>
    <s v="_x000d__x000a_490000_x000d__x000a_"/>
    <s v="_x000d__x000a_0_x000d__x000a_"/>
  </r>
  <r>
    <s v="10/12/2025"/>
    <s v="2025-8653"/>
    <s v="Higher Education Awards"/>
    <s v="Masentle Phophi"/>
    <s v="nyakallomasentle@gmail.com"/>
    <x v="0"/>
    <x v="0"/>
    <x v="0"/>
    <x v="1"/>
    <x v="0"/>
    <x v="8"/>
    <s v="Health Sciences"/>
    <s v="EM"/>
    <x v="37"/>
    <s v="Completed"/>
    <s v="University of the Witwatersrand"/>
    <s v="Master of Science in Medicine"/>
    <s v="Public Health and Preventive Medicine"/>
    <d v="2025-02-06T00:00:00"/>
    <n v="2"/>
    <s v="_x000d__x000a_149000_x000d__x000a_"/>
    <s v="_x000d__x000a_149000_x000d__x000a_"/>
    <s v="_x000d__x000a_0_x000d__x000a_"/>
  </r>
  <r>
    <s v="10/12/2025"/>
    <s v="2025-9554"/>
    <s v="Higher Education Awards"/>
    <s v="Joshua Pearse"/>
    <s v="notartjosh@gmail.com"/>
    <x v="0"/>
    <x v="1"/>
    <x v="1"/>
    <x v="0"/>
    <x v="0"/>
    <x v="2"/>
    <s v="Humanities"/>
    <s v="EM"/>
    <x v="37"/>
    <s v="Completed"/>
    <s v="Rhodes University, South Africa"/>
    <s v="PhD"/>
    <s v="Accumulation of Loss: Inscriptive Technologies and the Digital Bleek and Lloyd"/>
    <d v="2026-01-05T00:00:00"/>
    <n v="3"/>
    <s v="_x000d__x000a_218836_x000d__x000a_"/>
    <s v="_x000d__x000a_253836_x000d__x000a_"/>
    <s v="_x000d__x000a_253836_x000d__x000a_"/>
  </r>
  <r>
    <s v="10/12/2025"/>
    <s v="2025-8710"/>
    <s v="Higher Education Awards"/>
    <s v="Karabelo Plaatjie"/>
    <s v="karabelo30@icloud.com"/>
    <x v="0"/>
    <x v="1"/>
    <x v="0"/>
    <x v="1"/>
    <x v="0"/>
    <x v="3"/>
    <s v="Humanities"/>
    <s v="EM"/>
    <x v="37"/>
    <s v="Completed"/>
    <s v="University of the Witwatersrand"/>
    <s v="PH.D in Theatre Performances"/>
    <s v="This is why I ended her life:  Using Verbatim Theatre to explore the phenomenon of Femicide in post-colonial South Africa."/>
    <d v="2026-01-19T00:00:00"/>
    <n v="1"/>
    <s v="_x000d__x000a_318000_x000d__x000a_"/>
    <s v="_x000d__x000a_0_x000d__x000a_"/>
    <s v="_x000d__x000a_0_x000d__x000a_"/>
  </r>
  <r>
    <s v="10/12/2025"/>
    <s v="2025-10037"/>
    <s v="Higher Education Awards"/>
    <s v="Rudorwedu Blessing Shanduka"/>
    <s v="shandukarb0331@gmail.com"/>
    <x v="0"/>
    <x v="0"/>
    <x v="0"/>
    <x v="1"/>
    <x v="0"/>
    <x v="5"/>
    <s v="Natural Sciences"/>
    <s v="EM"/>
    <x v="40"/>
    <s v="Completed"/>
    <s v="North-West University"/>
    <s v="Master of Science in Animal Science"/>
    <s v="My research focuses on the use of Bacillus-galacto-oligosaccharide synbiotics as alternatives to antibiotic growth promoters in broiler chicken diets."/>
    <d v="2025-02-04T00:00:00"/>
    <n v="1"/>
    <s v="_x000d__x000a_74831_x000d__x000a_"/>
    <s v="_x000d__x000a_0_x000d__x000a_"/>
    <s v="_x000d__x000a_0_x000d__x000a_"/>
  </r>
  <r>
    <s v="10/12/2025"/>
    <s v="2025-9965"/>
    <s v="Higher Education Awards"/>
    <s v="Eldridge Anthony Makamu"/>
    <s v="eldridge.makamu@gmail.com"/>
    <x v="0"/>
    <x v="0"/>
    <x v="0"/>
    <x v="0"/>
    <x v="1"/>
    <x v="8"/>
    <s v="Health Sciences"/>
    <s v="EM"/>
    <x v="0"/>
    <s v="Completed"/>
    <s v="University of Glasgow, Scotland, UK"/>
    <s v="Master's Public Health Epidemiology"/>
    <s v="Maternal Exposure to Air Pollution and Its Associated Risks with Congenital Anomalies: A Retrospective Cohort Analysis"/>
    <d v="2026-09-14T00:00:00"/>
    <n v="1"/>
    <s v="_x000d__x000a_1328176_x000d__x000a_"/>
    <s v="_x000d__x000a_0_x000d__x000a_"/>
    <s v="_x000d__x000a_0_x000d__x000a_"/>
  </r>
  <r>
    <s v="10/12/2025"/>
    <s v="2025-8666"/>
    <s v="Higher Education Awards"/>
    <s v="Ronaldo Mukhari"/>
    <s v="roniemukhari@gmail.com"/>
    <x v="0"/>
    <x v="1"/>
    <x v="0"/>
    <x v="0"/>
    <x v="0"/>
    <x v="8"/>
    <s v="Health Sciences"/>
    <s v="EM"/>
    <x v="0"/>
    <s v="Completed"/>
    <s v="Stellenbosch University"/>
    <s v="PhD in Medical Physiology"/>
    <s v="The role of maternal methyl donor nutrient supplementation in shaping the intestinal and metabolic health of offspring in rats"/>
    <d v="2024-03-18T00:00:00"/>
    <n v="2"/>
    <s v="_x000d__x000a_29080_x000d__x000a_"/>
    <s v="_x000d__x000a_70380_x000d__x000a_"/>
    <s v="_x000d__x000a_0_x000d__x000a_"/>
  </r>
  <r>
    <s v="10/12/2025"/>
    <s v="2025-10007"/>
    <s v="Higher Education Awards"/>
    <s v="Lungile Buthelezi"/>
    <s v="lungilesondiah@gmail.com"/>
    <x v="1"/>
    <x v="0"/>
    <x v="0"/>
    <x v="1"/>
    <x v="0"/>
    <x v="2"/>
    <s v="Humanities"/>
    <s v="EM"/>
    <x v="5"/>
    <s v="Completed"/>
    <s v="University of Zululand"/>
    <s v="Master of Education"/>
    <s v="Implications of incorporating Indigenous Knowledge Systems (IKS) in a Mathematics classroom."/>
    <d v="2026-07-06T00:00:00"/>
    <n v="2"/>
    <s v="_x000d__x000a_59500_x000d__x000a_"/>
    <s v="_x000d__x000a_59500_x000d__x000a_"/>
    <s v="_x000d__x000a_0_x000d__x000a_"/>
  </r>
  <r>
    <s v="10/12/2025"/>
    <s v="2025-8211"/>
    <s v="Higher Education Awards"/>
    <s v="Dillon Croshaw"/>
    <s v="dillonarthurcroshaw@gmail.com"/>
    <x v="0"/>
    <x v="0"/>
    <x v="1"/>
    <x v="0"/>
    <x v="0"/>
    <x v="5"/>
    <s v="Natural Sciences"/>
    <s v="EM"/>
    <x v="37"/>
    <s v="Completed"/>
    <s v="North-West University"/>
    <s v="Masters of Environmental Sciences"/>
    <s v="Molecular and morphological diversity of an Enteromius spp. complex in South African highveld river systems."/>
    <d v="2026-01-01T00:00:00"/>
    <n v="2"/>
    <s v="_x000d__x000a_200000_x000d__x000a_"/>
    <s v="_x000d__x000a_215000_x000d__x000a_"/>
    <s v="_x000d__x000a_0_x000d__x000a_"/>
  </r>
  <r>
    <s v="10/12/2025"/>
    <s v="2025-9500"/>
    <s v="Higher Education Awards"/>
    <s v="Baphiwe Mlondo"/>
    <s v="baphiwemlondo@gmail.com"/>
    <x v="0"/>
    <x v="0"/>
    <x v="0"/>
    <x v="1"/>
    <x v="0"/>
    <x v="8"/>
    <s v="Health Sciences"/>
    <s v="EM"/>
    <x v="0"/>
    <s v="Completed"/>
    <s v="University of Cape Town"/>
    <s v="MASTER'S"/>
    <s v="Pharmacomicrobiomics"/>
    <d v="2025-02-01T00:00:00"/>
    <n v="2"/>
    <s v="_x000d__x000a_231400_x000d__x000a_"/>
    <s v="_x000d__x000a_231400_x000d__x000a_"/>
    <s v="_x000d__x000a_0_x000d__x000a_"/>
  </r>
  <r>
    <s v="10/12/2025"/>
    <s v="2025-9782"/>
    <s v="Higher Education Awards"/>
    <s v="Nontobeko Gcabashe"/>
    <s v="220012265@stu.ukzn.ac.za"/>
    <x v="0"/>
    <x v="1"/>
    <x v="0"/>
    <x v="1"/>
    <x v="0"/>
    <x v="8"/>
    <s v="Natural Sciences"/>
    <s v="EM"/>
    <x v="16"/>
    <s v="Completed"/>
    <s v="University of KwaZulu-Natal"/>
    <s v="PhD in Chemistry"/>
    <s v="Design and synthesis of novel antitubercular agents using molecular hybridization approach"/>
    <d v="2025-09-25T00:00:00"/>
    <n v="3"/>
    <s v="_x000d__x000a_153000_x000d__x000a_"/>
    <s v="_x000d__x000a_153000_x000d__x000a_"/>
    <s v="_x000d__x000a_153000_x000d__x000a_"/>
  </r>
  <r>
    <s v="10/12/2025"/>
    <s v="2025-8614"/>
    <s v="Higher Education Awards"/>
    <s v="KANYA PADAYACHEE"/>
    <s v="padayacheek@ufs.ac.za"/>
    <x v="0"/>
    <x v="2"/>
    <x v="4"/>
    <x v="1"/>
    <x v="0"/>
    <x v="2"/>
    <s v="Humanities"/>
    <s v="EM"/>
    <x v="0"/>
    <s v="Completed"/>
    <s v="University of the Free State (Qwa Qwa Campus)"/>
    <s v="Postdoctoral Reserach"/>
    <s v="Transformative Education for building social responsibility in preschoolers in South Africa: An Integral Education and Ubuntu approach to Early Childhood Practitioner Training"/>
    <d v="2026-02-02T00:00:00"/>
    <n v="2"/>
    <s v="_x000d__x000a_279134.4_x000d__x000a_"/>
    <s v="_x000d__x000a_220387.2_x000d__x000a_"/>
    <s v="_x000d__x000a_0_x000d__x000a_"/>
  </r>
  <r>
    <s v="10/12/2025"/>
    <s v="2025-9751"/>
    <s v="Higher Education Awards"/>
    <s v="Annelet Dippenaar"/>
    <s v="anneletdip@gmail.com"/>
    <x v="0"/>
    <x v="0"/>
    <x v="1"/>
    <x v="1"/>
    <x v="0"/>
    <x v="5"/>
    <s v="Other"/>
    <s v="EM"/>
    <x v="40"/>
    <s v="Completed"/>
    <s v="Stellenbosch University"/>
    <s v="Masters in Animal Science"/>
    <s v="Age related changes in rumen microbiome population in response to exogenic butyric acid supplementation to pre-weaned lambs"/>
    <d v="2026-02-09T00:00:00"/>
    <n v="2"/>
    <s v="_x000d__x000a_193034.28_x000d__x000a_"/>
    <s v="_x000d__x000a_193034.28_x000d__x000a_"/>
    <s v="_x000d__x000a_0_x000d__x000a_"/>
  </r>
  <r>
    <s v="10/12/2025"/>
    <s v="2025-9960"/>
    <s v="Higher Education Awards"/>
    <s v="Brenda Motlalepula Nkareng"/>
    <s v="202001418@spu.ac.za"/>
    <x v="0"/>
    <x v="0"/>
    <x v="0"/>
    <x v="1"/>
    <x v="0"/>
    <x v="2"/>
    <s v="Humanities"/>
    <s v="EM"/>
    <x v="0"/>
    <s v="Completed"/>
    <s v="Sol Plaatje University"/>
    <s v="Heritage, Humanities"/>
    <s v="Exploring the effects of cultural environment change on language literacy and identity: A comparative case study of the !Xun and Khwe San communities in Platfontein (South Africa), Bwabwata National Park (Namibia) and Ghanzi District (Botswana)."/>
    <d v="2025-03-28T00:00:00"/>
    <n v="1"/>
    <s v="_x000d__x000a_23500_x000d__x000a_"/>
    <s v="_x000d__x000a_0_x000d__x000a_"/>
    <s v="_x000d__x000a_0_x000d__x000a_"/>
  </r>
  <r>
    <s v="10/12/2025"/>
    <s v="2025-9875"/>
    <s v="Higher Education Awards"/>
    <s v="Alexandra Whitehouse"/>
    <s v="alexwhitehouse10@gmail.com"/>
    <x v="0"/>
    <x v="1"/>
    <x v="1"/>
    <x v="1"/>
    <x v="0"/>
    <x v="8"/>
    <s v="Health Sciences"/>
    <s v="EM"/>
    <x v="0"/>
    <s v="Completed"/>
    <s v="University of Cape Town"/>
    <s v="Doctor of Philosophy in Medical Microbiology"/>
    <s v="Characterising early host-pathogen interactions of Mycobacterium tuberculosis in ex vivo lung tissue"/>
    <d v="2025-07-11T00:00:00"/>
    <n v="3"/>
    <s v="_x000d__x000a_161602_x000d__x000a_"/>
    <s v="_x000d__x000a_217100_x000d__x000a_"/>
    <s v="_x000d__x000a_117400_x000d__x000a_"/>
  </r>
  <r>
    <s v="10/12/2025"/>
    <s v="2025-8970"/>
    <s v="Higher Education Awards"/>
    <s v="Greta Hechter"/>
    <s v="greta.hechter@tuks.co.za"/>
    <x v="0"/>
    <x v="0"/>
    <x v="1"/>
    <x v="1"/>
    <x v="0"/>
    <x v="5"/>
    <s v="Natural Sciences"/>
    <s v="EM"/>
    <x v="0"/>
    <s v="Completed"/>
    <s v="University of Pretoria"/>
    <s v="M.Sc. Medicinal Plant Science"/>
    <s v="Plant-derived neurological enzyme inhibitors for the symptomatic treatment of Parkinson’s disease."/>
    <d v="2026-01-05T00:00:00"/>
    <n v="2"/>
    <s v="_x000d__x000a_41855_x000d__x000a_"/>
    <s v="_x000d__x000a_44655_x000d__x000a_"/>
    <s v="_x000d__x000a_0_x000d__x000a_"/>
  </r>
  <r>
    <s v="10/12/2025"/>
    <s v="2025-9236"/>
    <s v="Higher Education Awards"/>
    <s v="Limpho Thipane"/>
    <s v="THPLIM001@myuct.ac.za"/>
    <x v="0"/>
    <x v="1"/>
    <x v="0"/>
    <x v="1"/>
    <x v="0"/>
    <x v="8"/>
    <s v="Health Sciences"/>
    <s v="EM"/>
    <x v="0"/>
    <s v="Completed"/>
    <s v="University of Cape Town"/>
    <s v="Immunology"/>
    <s v="Neuroimmunology"/>
    <d v="2026-01-05T00:00:00"/>
    <n v="3"/>
    <s v="_x000d__x000a_265000_x000d__x000a_"/>
    <s v="_x000d__x000a_255000_x000d__x000a_"/>
    <s v="_x000d__x000a_255000_x000d__x000a_"/>
  </r>
  <r>
    <s v="10/12/2025"/>
    <s v="2025-8450"/>
    <s v="Higher Education Awards"/>
    <s v="Amogelang Ramatsetse"/>
    <s v="ramatsetseamo@gmail.com"/>
    <x v="0"/>
    <x v="0"/>
    <x v="0"/>
    <x v="1"/>
    <x v="0"/>
    <x v="8"/>
    <s v="Health Sciences"/>
    <s v="EM"/>
    <x v="0"/>
    <s v="Completed"/>
    <s v="Stellenbosch University"/>
    <s v="Masters"/>
    <s v="Neuroscience"/>
    <d v="2025-02-03T00:00:00"/>
    <n v="1"/>
    <s v="_x000d__x000a_155000_x000d__x000a_"/>
    <s v="_x000d__x000a_0_x000d__x000a_"/>
    <s v="_x000d__x000a_0_x000d__x000a_"/>
  </r>
  <r>
    <s v="10/12/2025"/>
    <s v="2025-9098"/>
    <s v="Higher Education Awards"/>
    <s v="Kayla Hope Duthie"/>
    <s v="kay.duthie@gmail.com"/>
    <x v="0"/>
    <x v="0"/>
    <x v="2"/>
    <x v="1"/>
    <x v="0"/>
    <x v="8"/>
    <s v="Natural Sciences"/>
    <s v="EM"/>
    <x v="0"/>
    <s v="Completed"/>
    <s v="Stellenbosch University"/>
    <s v="MSc Biochemistry"/>
    <s v="Cell Biology, Molecular Biology, Molecular Biochemistry, Neurodegenerative Diseases"/>
    <d v="2025-02-06T00:00:00"/>
    <n v="1"/>
    <s v="_x000d__x000a_190536_x000d__x000a_"/>
    <s v="_x000d__x000a_0_x000d__x000a_"/>
    <s v="_x000d__x000a_0_x000d__x000a_"/>
  </r>
  <r>
    <s v="10/12/2025"/>
    <s v="2025-8579"/>
    <s v="Higher Education Awards"/>
    <s v="Gemma Field"/>
    <s v="fieldgrn@ufs.ac.za"/>
    <x v="0"/>
    <x v="1"/>
    <x v="1"/>
    <x v="1"/>
    <x v="0"/>
    <x v="2"/>
    <s v="Humanities"/>
    <s v="EM"/>
    <x v="37"/>
    <s v="Completed"/>
    <s v="University of Johannesburg"/>
    <s v="English Language and Literature"/>
    <s v="Rural queerness in contemporary South African literature: Towards a queer pastoral aesthetic in South African fiction"/>
    <d v="2026-01-01T00:00:00"/>
    <n v="3"/>
    <s v="_x000d__x000a_52750_x000d__x000a_"/>
    <s v="_x000d__x000a_54800_x000d__x000a_"/>
    <s v="_x000d__x000a_264500_x000d__x000a_"/>
  </r>
  <r>
    <s v="10/12/2025"/>
    <s v="2025-8606"/>
    <s v="Higher Education Awards"/>
    <s v="AU Silimela"/>
    <s v="unaliasilimela@gmail.com"/>
    <x v="0"/>
    <x v="1"/>
    <x v="0"/>
    <x v="1"/>
    <x v="0"/>
    <x v="2"/>
    <s v="Humanities"/>
    <s v="EM"/>
    <x v="37"/>
    <s v="Completed"/>
    <s v="University of Witwatersrand"/>
    <s v="PHD in International Relations"/>
    <s v="Exploring the relationship between natural resource wealth, control of corruption, and illicit financial flows  (IFFs) across African countries, using coefficient and regression analysis"/>
    <d v="2026-01-01T00:00:00"/>
    <n v="3"/>
    <s v="_x000d__x000a_349790_x000d__x000a_"/>
    <s v="_x000d__x000a_349790_x000d__x000a_"/>
    <s v="_x000d__x000a_349790_x000d__x000a_"/>
  </r>
  <r>
    <s v="10/12/2025"/>
    <s v="2025-9851"/>
    <s v="Higher Education Awards"/>
    <s v="Iphendule Filtane"/>
    <s v="filtane@sun.ac.za"/>
    <x v="0"/>
    <x v="1"/>
    <x v="0"/>
    <x v="0"/>
    <x v="0"/>
    <x v="6"/>
    <s v="Social Sciences"/>
    <s v="EM"/>
    <x v="0"/>
    <s v="Completed"/>
    <s v="Stellenbosch University"/>
    <s v="PhD Psychology"/>
    <s v="The psychological impact of immigration policy: How pro- and anti-immigrant policies affect the mental health of the migrants"/>
    <d v="2026-02-02T00:00:00"/>
    <n v="3"/>
    <s v="_x000d__x000a_116544_x000d__x000a_"/>
    <s v="_x000d__x000a_124044_x000d__x000a_"/>
    <s v="_x000d__x000a_131544_x000d__x000a_"/>
  </r>
  <r>
    <s v="10/12/2025"/>
    <s v="2025-9498"/>
    <s v="Higher Education Awards"/>
    <s v="Etresia-Marie Nortje"/>
    <s v="enortje03@gmail.com"/>
    <x v="0"/>
    <x v="0"/>
    <x v="1"/>
    <x v="1"/>
    <x v="0"/>
    <x v="8"/>
    <s v="Natural Sciences"/>
    <s v="EM"/>
    <x v="37"/>
    <s v="Draft"/>
    <s v="Stellenbosch University"/>
    <s v="Masters of Science"/>
    <s v="Genetics"/>
    <d v="2026-02-02T00:00:00"/>
    <n v="2"/>
    <s v="_x000d__x000a_123059_x000d__x000a_"/>
    <s v="_x000d__x000a_123059_x000d__x000a_"/>
    <s v="_x000d__x000a_0_x000d__x000a_"/>
  </r>
  <r>
    <s v="10/12/2025"/>
    <s v="2025-9604"/>
    <s v="Higher Education Awards"/>
    <s v="Mosa Kgasu"/>
    <s v="202112103@spu.ac.za"/>
    <x v="0"/>
    <x v="0"/>
    <x v="0"/>
    <x v="0"/>
    <x v="0"/>
    <x v="5"/>
    <s v="Natural Sciences"/>
    <s v="EM"/>
    <x v="40"/>
    <s v="Completed"/>
    <s v="Sol plaatje university"/>
    <s v="Master of Biological Science (Zoology)"/>
    <s v="The seasonal diet and foraging behaviour of aardvarks in a semi-arid region, South Africa"/>
    <d v="2026-01-31T00:00:00"/>
    <n v="2"/>
    <s v="_x000d__x000a_120000_x000d__x000a_"/>
    <s v="_x000d__x000a_120000_x000d__x000a_"/>
    <s v="_x000d__x000a_0_x000d__x000a_"/>
  </r>
  <r>
    <s v="10/12/2025"/>
    <s v="2025-9802"/>
    <s v="Higher Education Awards"/>
    <s v="Nosipho Hlalukana"/>
    <s v="nosiphohlalukana@gmail.com"/>
    <x v="0"/>
    <x v="1"/>
    <x v="0"/>
    <x v="1"/>
    <x v="0"/>
    <x v="5"/>
    <s v="Natural Sciences"/>
    <s v="EM"/>
    <x v="0"/>
    <s v="Completed"/>
    <s v="Stellenbosch University"/>
    <s v="PhD in Microbiology"/>
    <s v="Marine microbial ecology and biotechnology"/>
    <d v="2024-02-01T00:00:00"/>
    <n v="1"/>
    <s v="_x000d__x000a_301196_x000d__x000a_"/>
    <s v="_x000d__x000a_0_x000d__x000a_"/>
    <s v="_x000d__x000a_0_x000d__x000a_"/>
  </r>
  <r>
    <s v="10/12/2025"/>
    <s v="2025-9070"/>
    <s v="Higher Education Awards"/>
    <s v="Jesse Le Roux"/>
    <s v="23868775@sun.ac.za"/>
    <x v="0"/>
    <x v="1"/>
    <x v="1"/>
    <x v="0"/>
    <x v="1"/>
    <x v="2"/>
    <s v="Humanities"/>
    <s v="EM"/>
    <x v="0"/>
    <s v="Completed"/>
    <s v="Maynooth University"/>
    <s v="PhD"/>
    <s v="History"/>
    <d v="2026-01-31T00:00:00"/>
    <n v="3"/>
    <s v="_x000d__x000a_82387.5_x000d__x000a_"/>
    <s v="_x000d__x000a_50488.75_x000d__x000a_"/>
    <s v="_x000d__x000a_68867.5_x000d__x000a_"/>
  </r>
  <r>
    <s v="10/12/2025"/>
    <s v="2025-8454"/>
    <s v="Higher Education Awards"/>
    <s v="Chloë Netta"/>
    <s v="chloenetta@gmail.com"/>
    <x v="0"/>
    <x v="0"/>
    <x v="2"/>
    <x v="1"/>
    <x v="0"/>
    <x v="0"/>
    <s v="Natural Sciences"/>
    <s v="EM"/>
    <x v="37"/>
    <s v="Completed"/>
    <s v="University of Cape Town"/>
    <s v="Masters in Chemistry by dissertation with the title of: Synthesis of Novel Anticancer Organometallic Antibody-Drug Conjugates using SNAP-tag Technology"/>
    <s v="Organometallic and organic synthesis"/>
    <d v="2025-02-07T00:00:00"/>
    <n v="1"/>
    <s v="_x000d__x000a_173705_x000d__x000a_"/>
    <s v="_x000d__x000a_0_x000d__x000a_"/>
    <s v="_x000d__x000a_0_x000d__x000a_"/>
  </r>
  <r>
    <s v="10/12/2025"/>
    <s v="2025-9652"/>
    <s v="Higher Education Awards"/>
    <s v="Matthew O'Kelly"/>
    <s v="matthew.a.okelly@gmail.com"/>
    <x v="0"/>
    <x v="2"/>
    <x v="1"/>
    <x v="0"/>
    <x v="0"/>
    <x v="2"/>
    <s v="Humanities"/>
    <s v="EM"/>
    <x v="37"/>
    <s v="Completed"/>
    <s v="Stellenbosch University"/>
    <s v="First choice"/>
    <s v="Theology: social scientific study of the Old Testament, focused on wisdom and power in the Old Testament"/>
    <d v="2026-01-05T00:00:00"/>
    <n v="2"/>
    <s v="_x000d__x000a_339000_x000d__x000a_"/>
    <s v="_x000d__x000a_350000_x000d__x000a_"/>
    <s v="_x000d__x000a_0_x000d__x000a_"/>
  </r>
  <r>
    <s v="10/12/2025"/>
    <s v="2025-10049"/>
    <s v="Higher Education Awards"/>
    <s v="Sibusiso Mangciphu"/>
    <s v="Sibusisomangciphu0203@gmail.com"/>
    <x v="1"/>
    <x v="0"/>
    <x v="0"/>
    <x v="0"/>
    <x v="0"/>
    <x v="1"/>
    <s v="Engineering &amp; the Built Environment"/>
    <s v="EM"/>
    <x v="1"/>
    <s v="Completed"/>
    <s v="University of Cape Town and Cape Peninsula University of Technology"/>
    <s v="Master of Urban &amp; Regional Planning"/>
    <s v="Access to Basic Services in Joe Slovo Informal Settlement, Langa (Cape Town)"/>
    <d v="2026-01-19T00:00:00"/>
    <n v="1"/>
    <s v="_x000d__x000a_191943_x000d__x000a_"/>
    <s v="_x000d__x000a_0_x000d__x000a_"/>
    <s v="_x000d__x000a_0_x000d__x000a_"/>
  </r>
  <r>
    <s v="10/12/2025"/>
    <s v="2025-9538"/>
    <s v="Higher Education Awards"/>
    <s v="Christiaan Grobler"/>
    <s v="christiaan.grobler@fabi.up.ac.za"/>
    <x v="0"/>
    <x v="1"/>
    <x v="1"/>
    <x v="0"/>
    <x v="0"/>
    <x v="5"/>
    <s v="Natural Sciences"/>
    <s v="EM"/>
    <x v="40"/>
    <s v="Completed"/>
    <s v="University of Pretoria"/>
    <s v="PhD Genetics"/>
    <s v="Molecular genetics and biochemistry of Pine and Eucalyptus fungal pathogens"/>
    <d v="2026-01-05T00:00:00"/>
    <n v="3"/>
    <s v="_x000d__x000a_170810_x000d__x000a_"/>
    <s v="_x000d__x000a_170810_x000d__x000a_"/>
    <s v="_x000d__x000a_170810_x000d__x000a_"/>
  </r>
  <r>
    <s v="10/12/2025"/>
    <s v="2025-9862"/>
    <s v="Higher Education Awards"/>
    <s v="Lesedi Moagi"/>
    <s v="Lesegomoagi60@gmail.com"/>
    <x v="0"/>
    <x v="1"/>
    <x v="0"/>
    <x v="1"/>
    <x v="0"/>
    <x v="5"/>
    <s v="Natural Sciences"/>
    <s v="EM"/>
    <x v="0"/>
    <s v="Completed"/>
    <s v="University of Cape Town"/>
    <s v="PhD in Conservation Biology"/>
    <s v="Ecosystem engineering: the white-browed sparrow-weavers shape arid and semi-arid avifauna"/>
    <d v="2026-01-05T00:00:00"/>
    <n v="3"/>
    <s v="_x000d__x000a_535770_x000d__x000a_"/>
    <s v="_x000d__x000a_601135_x000d__x000a_"/>
    <s v="_x000d__x000a_478663_x000d__x000a_"/>
  </r>
  <r>
    <s v="10/12/2025"/>
    <s v="2025-10040"/>
    <s v="Higher Education Awards"/>
    <s v="Papama Meleni"/>
    <s v="melenipapama@gmail.com"/>
    <x v="0"/>
    <x v="0"/>
    <x v="0"/>
    <x v="1"/>
    <x v="0"/>
    <x v="4"/>
    <s v="Commerce &amp; Management"/>
    <s v="EM"/>
    <x v="0"/>
    <s v="Completed"/>
    <s v="University of Witwatersrand"/>
    <s v="Masters by research"/>
    <s v="Economics"/>
    <d v="2026-07-01T00:00:00"/>
    <n v="3"/>
    <s v="_x000d__x000a_200000_x000d__x000a_"/>
    <s v="_x000d__x000a_200000_x000d__x000a_"/>
    <s v="_x000d__x000a_200000_x000d__x000a_"/>
  </r>
  <r>
    <s v="10/12/2025"/>
    <s v="2025-9808"/>
    <s v="Higher Education Awards"/>
    <s v="Tiisetso Mamabolo"/>
    <s v="tiisetso.mamabolo56@gmail.com"/>
    <x v="0"/>
    <x v="0"/>
    <x v="0"/>
    <x v="0"/>
    <x v="0"/>
    <x v="2"/>
    <s v="Humanities"/>
    <s v="EM"/>
    <x v="0"/>
    <s v="Completed"/>
    <s v="University of Johannesburg"/>
    <s v="Master of Science in Clinical Psychology"/>
    <s v="Clinical Psychology"/>
    <d v="2026-01-19T00:00:00"/>
    <n v="2"/>
    <s v="_x000d__x000a_177190_x000d__x000a_"/>
    <s v="_x000d__x000a_177190_x000d__x000a_"/>
    <s v="_x000d__x000a_0_x000d__x000a_"/>
  </r>
  <r>
    <s v="10/12/2025"/>
    <s v="2025-9816"/>
    <s v="Higher Education Awards"/>
    <s v="Nhlanzeko Mbulu"/>
    <s v="mbulunhlanzeko@gmail.com"/>
    <x v="0"/>
    <x v="0"/>
    <x v="0"/>
    <x v="0"/>
    <x v="0"/>
    <x v="6"/>
    <s v="Social Sciences"/>
    <s v="EM"/>
    <x v="41"/>
    <s v="Completed"/>
    <s v="University of KwaZulu-Natal"/>
    <s v="Master of Social Science in Development Studies"/>
    <s v="Exploring the Implication of Collective Action among Waste Pickers in Durban: A Case Study of Buffelsdraai Landfill Site, KwaZulu-Natal"/>
    <d v="2026-02-09T00:00:00"/>
    <n v="1"/>
    <s v="_x000d__x000a_88924_x000d__x000a_"/>
    <s v="_x000d__x000a_0_x000d__x000a_"/>
    <s v="_x000d__x000a_0_x000d__x000a_"/>
  </r>
  <r>
    <s v="10/12/2025"/>
    <s v="2025-9692"/>
    <s v="Higher Education Awards"/>
    <s v="Thabo Hamiwe"/>
    <s v="thabohamiwe@gmail.com"/>
    <x v="0"/>
    <x v="2"/>
    <x v="0"/>
    <x v="1"/>
    <x v="0"/>
    <x v="8"/>
    <s v="Health Sciences"/>
    <s v="EM"/>
    <x v="0"/>
    <s v="Completed"/>
    <s v="University of Pretoria"/>
    <s v="Medical Microbiology"/>
    <s v="Prevalence and transmission dynamics of methicillin resistant Staphylococcus aureus and carbapenem resistant Pseudomonas aeruginosa at a public intensive care unit in Pretoria, South Africa"/>
    <d v="2026-05-01T00:00:00"/>
    <n v="2"/>
    <s v="_x000d__x000a_479550_x000d__x000a_"/>
    <s v="_x000d__x000a_458500_x000d__x000a_"/>
    <s v="_x000d__x000a_0_x000d__x000a_"/>
  </r>
  <r>
    <s v="10/12/2025"/>
    <s v="2025-9586"/>
    <s v="Higher Education Awards"/>
    <s v="Philip Janney"/>
    <s v="phil.janney@uct.ac.za"/>
    <x v="0"/>
    <x v="3"/>
    <x v="1"/>
    <x v="0"/>
    <x v="1"/>
    <x v="5"/>
    <s v="Natural Sciences"/>
    <s v="EM"/>
    <x v="0"/>
    <s v="Completed"/>
    <s v="China University of Geosciences-Wuhan"/>
    <s v="Lithospheric evolution and formation of critical mineral deposits"/>
    <s v="Geochemistry &amp; economic geology"/>
    <d v="2026-04-01T00:00:00"/>
    <n v="1"/>
    <s v="_x000d__x000a_81752_x000d__x000a_"/>
    <s v="_x000d__x000a_0_x000d__x000a_"/>
    <s v="_x000d__x000a_0_x000d__x000a_"/>
  </r>
  <r>
    <s v="10/12/2025"/>
    <s v="2025-9229"/>
    <s v="Higher Education Awards"/>
    <s v="Meghan Finn"/>
    <s v="meghanrosefinn@gmail.com"/>
    <x v="0"/>
    <x v="3"/>
    <x v="1"/>
    <x v="1"/>
    <x v="1"/>
    <x v="7"/>
    <s v="Law"/>
    <s v="EM"/>
    <x v="0"/>
    <s v="Completed"/>
    <s v="London School of Economics, and European University Institute (Florence)"/>
    <s v="Visiting Fellow in Department of Law"/>
    <s v="private anti-discrimination law in South Africa and comparative contexts"/>
    <d v="2026-02-12T00:00:00"/>
    <n v="1"/>
    <s v="_x000d__x000a_493710.35_x000d__x000a_"/>
    <s v="_x000d__x000a_0_x000d__x000a_"/>
    <s v="_x000d__x000a_0_x000d__x000a_"/>
  </r>
  <r>
    <s v="10/12/2025"/>
    <s v="2025-9501"/>
    <s v="Higher Education Awards"/>
    <s v="Keldon Schroeder"/>
    <s v="u21436152@tuks.co.za"/>
    <x v="0"/>
    <x v="0"/>
    <x v="1"/>
    <x v="0"/>
    <x v="0"/>
    <x v="0"/>
    <s v="Natural Sciences"/>
    <s v="EM"/>
    <x v="0"/>
    <s v="Completed"/>
    <s v="University of Pretoria"/>
    <s v="MSc Chemistry"/>
    <s v="Theoretical Chemistry"/>
    <d v="2025-01-22T00:00:00"/>
    <n v="1"/>
    <s v="_x000d__x000a_145555_x000d__x000a_"/>
    <s v="_x000d__x000a_0_x000d__x000a_"/>
    <s v="_x000d__x000a_0_x000d__x000a_"/>
  </r>
  <r>
    <s v="10/12/2025"/>
    <s v="2025-8438"/>
    <s v="Higher Education Awards"/>
    <s v="Thulani Baloyi"/>
    <s v="studentpsych@outlook.com"/>
    <x v="0"/>
    <x v="1"/>
    <x v="0"/>
    <x v="0"/>
    <x v="0"/>
    <x v="2"/>
    <s v="Humanities"/>
    <s v="EM"/>
    <x v="0"/>
    <s v="Completed"/>
    <s v="University of Johannesburg"/>
    <s v="PhD in Anthropology (Research Dissertation)"/>
    <s v="&quot;The Deepening Relationship between Capital Offences, State-Sanctioned Death, and Sovereignty: An Archival and Ethnographic Study of Punishment, Organized Violence, and the Governance of the Body in Botswana&quot;"/>
    <d v="2025-01-30T00:00:00"/>
    <n v="3"/>
    <s v="_x000d__x000a_22000_x000d__x000a_"/>
    <s v="_x000d__x000a_172800_x000d__x000a_"/>
    <s v="_x000d__x000a_212000_x000d__x000a_"/>
  </r>
  <r>
    <s v="10/12/2025"/>
    <s v="2025-8761"/>
    <s v="Higher Education Awards"/>
    <s v="Minenhle Mayisela"/>
    <s v="mmayisela2000@gmail.com"/>
    <x v="0"/>
    <x v="1"/>
    <x v="0"/>
    <x v="1"/>
    <x v="0"/>
    <x v="8"/>
    <s v="Health Sciences"/>
    <s v="EM"/>
    <x v="37"/>
    <s v="Completed"/>
    <s v="University of the Witwatersrand"/>
    <s v="Doctor of Philosophy in Human Genetics"/>
    <s v="Novel gene discovery and genetic landscape of heart failure in Sub-Saharan Africa"/>
    <d v="2026-01-01T00:00:00"/>
    <n v="3"/>
    <s v="_x000d__x000a_262735_x000d__x000a_"/>
    <s v="_x000d__x000a_275040_x000d__x000a_"/>
    <s v="_x000d__x000a_288220_x000d__x000a_"/>
  </r>
  <r>
    <s v="10/12/2025"/>
    <s v="2025-8447"/>
    <s v="Higher Education Awards"/>
    <s v="Nicola Goosen"/>
    <s v="nixpotter@gmail.com"/>
    <x v="3"/>
    <x v="1"/>
    <x v="1"/>
    <x v="1"/>
    <x v="0"/>
    <x v="2"/>
    <s v="Humanities"/>
    <s v="EM"/>
    <x v="0"/>
    <s v="Completed"/>
    <s v="University of Cape Town"/>
    <s v="PhD in Linguistics"/>
    <s v="Applied Linguistics and Discourse Studies"/>
    <d v="2026-02-09T00:00:00"/>
    <n v="2"/>
    <s v="_x000d__x000a_24000_x000d__x000a_"/>
    <s v="_x000d__x000a_25000_x000d__x000a_"/>
    <s v="_x000d__x000a_0_x000d__x000a_"/>
  </r>
  <r>
    <s v="10/12/2025"/>
    <s v="2025-9197"/>
    <s v="Higher Education Awards"/>
    <s v="Lerato Lebona"/>
    <s v="lerato.lebona28@gmail.com"/>
    <x v="0"/>
    <x v="1"/>
    <x v="0"/>
    <x v="1"/>
    <x v="0"/>
    <x v="8"/>
    <s v="Health Sciences"/>
    <s v="EM"/>
    <x v="0"/>
    <s v="Completed"/>
    <s v="University of Witwatersrand"/>
    <s v="Public Health"/>
    <s v="Antiretroviral treatment interruption among men who have sex with men receiving services from a non-governmental organization in Johannesburg, South Africa: A  mixed methods study"/>
    <d v="2026-01-26T00:00:00"/>
    <n v="2"/>
    <s v="_x000d__x000a_290100_x000d__x000a_"/>
    <s v="_x000d__x000a_221800_x000d__x000a_"/>
    <s v="_x000d__x000a_0_x000d__x000a_"/>
  </r>
  <r>
    <s v="10/12/2025"/>
    <s v="2025-9689"/>
    <s v="Higher Education Awards"/>
    <s v="Ashley Newland-Nell"/>
    <s v="newlandnellashley@gmail.com"/>
    <x v="0"/>
    <x v="0"/>
    <x v="1"/>
    <x v="1"/>
    <x v="0"/>
    <x v="8"/>
    <s v="Natural Sciences"/>
    <s v="EM"/>
    <x v="0"/>
    <s v="Draft"/>
    <s v="University of Witwatersrand"/>
    <s v="Molecular mechanisms of colorectal cancer"/>
    <s v="Investigating the effects of cholesterol modulators on CAF-driven tumour microenvironmental effects in CRC organoid co-cultures."/>
    <d v="2026-01-31T00:00:00"/>
    <n v="2"/>
    <s v="_x000d__x000a_185000_x000d__x000a_"/>
    <s v="_x000d__x000a_185000_x000d__x000a_"/>
    <s v="_x000d__x000a_0_x000d__x000a_"/>
  </r>
  <r>
    <s v="10/12/2025"/>
    <s v="2025-9797"/>
    <s v="Higher Education Awards"/>
    <s v="Tshiamo Setuke"/>
    <s v="setuketshiamo@gmail.com"/>
    <x v="0"/>
    <x v="1"/>
    <x v="0"/>
    <x v="1"/>
    <x v="0"/>
    <x v="2"/>
    <s v="Humanities"/>
    <s v="EM"/>
    <x v="0"/>
    <s v="Completed"/>
    <s v="University of Pretoria"/>
    <s v="Development Studies"/>
    <s v="Impact of marketedness and socialization on the functioning and resilience of micro-enterprises"/>
    <d v="2025-01-15T00:00:00"/>
    <n v="3"/>
    <s v="_x000d__x000a_180000_x000d__x000a_"/>
    <s v="_x000d__x000a_165000_x000d__x000a_"/>
    <s v="_x000d__x000a_165000_x000d__x000a_"/>
  </r>
  <r>
    <s v="10/12/2025"/>
    <s v="2025-9444"/>
    <s v="Higher Education Awards"/>
    <s v="Angela Mibey"/>
    <s v="angmib12@gmail.com"/>
    <x v="0"/>
    <x v="0"/>
    <x v="0"/>
    <x v="1"/>
    <x v="0"/>
    <x v="6"/>
    <s v="Social Sciences"/>
    <s v="EM"/>
    <x v="0"/>
    <s v="Completed"/>
    <s v="Stellenbosch University"/>
    <s v="Master's Degree in Clinical Psychology"/>
    <s v="Psychosocial well-being of immigrant women in South Africa."/>
    <d v="2026-01-12T00:00:00"/>
    <n v="2"/>
    <s v="_x000d__x000a_239430_x000d__x000a_"/>
    <s v="_x000d__x000a_230000_x000d__x000a_"/>
    <s v="_x000d__x000a_0_x000d__x000a_"/>
  </r>
  <r>
    <s v="10/12/2025"/>
    <s v="2025-8779"/>
    <s v="Higher Education Awards"/>
    <s v="Robyn Hocter"/>
    <s v="rhocter@gmail.com"/>
    <x v="0"/>
    <x v="0"/>
    <x v="1"/>
    <x v="1"/>
    <x v="0"/>
    <x v="8"/>
    <s v="Health Sciences"/>
    <s v="EM"/>
    <x v="0"/>
    <s v="Completed"/>
    <s v="University of the Witwatersrand"/>
    <s v="Genomic Medicine"/>
    <s v="Human Genetics"/>
    <d v="2025-01-06T00:00:00"/>
    <n v="1"/>
    <s v="_x000d__x000a_177500_x000d__x000a_"/>
    <s v="_x000d__x000a_0_x000d__x000a_"/>
    <s v="_x000d__x000a_0_x000d__x000a_"/>
  </r>
  <r>
    <s v="10/12/2025"/>
    <s v="2025-8924"/>
    <s v="Higher Education Awards"/>
    <s v="Kirsten Miller"/>
    <s v="kirsty@kirstenmiller.co.za"/>
    <x v="0"/>
    <x v="1"/>
    <x v="1"/>
    <x v="1"/>
    <x v="0"/>
    <x v="2"/>
    <s v="Humanities"/>
    <s v="EM"/>
    <x v="37"/>
    <s v="Completed"/>
    <s v="The University of Pretoria"/>
    <s v="PhD in Creative Writing, 2nd year"/>
    <s v="Tokarzcuk, Neurodiversity and a Literature of Tenderness"/>
    <d v="2026-01-01T00:00:00"/>
    <n v="1"/>
    <s v="_x000d__x000a_86000_x000d__x000a_"/>
    <s v="_x000d__x000a_0_x000d__x000a_"/>
    <s v="_x000d__x000a_0_x000d__x000a_"/>
  </r>
  <r>
    <s v="10/12/2025"/>
    <s v="2025-10047"/>
    <s v="Higher Education Awards"/>
    <s v="Lerato Sekele"/>
    <s v="veralerato@gmail.com"/>
    <x v="0"/>
    <x v="0"/>
    <x v="0"/>
    <x v="1"/>
    <x v="0"/>
    <x v="3"/>
    <s v="Humanities"/>
    <s v="EM"/>
    <x v="37"/>
    <s v="Draft"/>
    <s v="University of Witswatersrand"/>
    <s v="Cultural Policy and Management"/>
    <s v="Theatre Management in University Setting"/>
    <d v="2026-02-09T00:00:00"/>
    <n v="1"/>
    <s v="_x000d__x000a_38000_x000d__x000a_"/>
    <s v="_x000d__x000a_0_x000d__x000a_"/>
    <s v="_x000d__x000a_0_x000d__x000a_"/>
  </r>
  <r>
    <s v="10/12/2025"/>
    <s v="2025-9173"/>
    <s v="Higher Education Awards"/>
    <s v="Thandekile KUNENE"/>
    <s v="Thandekile.jkunene@gmail.com"/>
    <x v="0"/>
    <x v="0"/>
    <x v="0"/>
    <x v="1"/>
    <x v="0"/>
    <x v="2"/>
    <s v="Humanities"/>
    <s v="EM"/>
    <x v="0"/>
    <s v="Completed"/>
    <s v="University of the Free State"/>
    <s v="Master of Arts specialising in Anthropology"/>
    <s v="Unpacking 'Informal' economy in South Africa focusing on Emic perspectives of street vendors selling consumable goods in Ivory Park and Clayville, Johannesburg South Africa."/>
    <d v="2025-02-10T00:00:00"/>
    <n v="1"/>
    <s v="_x000d__x000a_165000_x000d__x000a_"/>
    <s v="_x000d__x000a_0_x000d__x000a_"/>
    <s v="_x000d__x000a_0_x000d__x000a_"/>
  </r>
  <r>
    <s v="10/12/2025"/>
    <s v="2025-9304"/>
    <s v="Higher Education Awards"/>
    <s v="Sanelisiwe Mhlongo"/>
    <s v="mhlongosanelisiwe68@gmail.com"/>
    <x v="0"/>
    <x v="0"/>
    <x v="0"/>
    <x v="1"/>
    <x v="0"/>
    <x v="2"/>
    <s v="Humanities"/>
    <s v="EM"/>
    <x v="0"/>
    <s v="Completed"/>
    <s v="University of Johannesburg"/>
    <s v="Sociology"/>
    <s v="Race, Disability, and Sexual Abuse: Exploring Mental Health Outcomes Through an Intersectional Lens."/>
    <d v="2026-01-13T00:00:00"/>
    <n v="2"/>
    <s v="_x000d__x000a_189000_x000d__x000a_"/>
    <s v="_x000d__x000a_92000_x000d__x000a_"/>
    <s v="_x000d__x000a_0_x000d__x000a_"/>
  </r>
  <r>
    <s v="10/12/2025"/>
    <s v="2025-9053"/>
    <s v="Higher Education Awards"/>
    <s v="Carolyne Jeptoo"/>
    <s v="carol25jeptoo@gmail.com"/>
    <x v="0"/>
    <x v="1"/>
    <x v="0"/>
    <x v="1"/>
    <x v="0"/>
    <x v="0"/>
    <s v="Natural Sciences"/>
    <s v="EM"/>
    <x v="0"/>
    <s v="Completed"/>
    <s v="Nelson Mandela University"/>
    <s v="PhD (Physics)"/>
    <s v="Terahertz over Fiber Transmission System: A Hybrid  Solution for Ultra-High Capacity IoT in 6G Networks"/>
    <d v="2026-01-29T00:00:00"/>
    <n v="3"/>
    <s v="_x000d__x000a_235800_x000d__x000a_"/>
    <s v="_x000d__x000a_331800_x000d__x000a_"/>
    <s v="_x000d__x000a_381800_x000d__x000a_"/>
  </r>
  <r>
    <s v="10/12/2025"/>
    <s v="2025-9183"/>
    <s v="Higher Education Awards"/>
    <s v="Bogosi Msutwana"/>
    <s v="bogosi.msutwana@st-annes.ox.ac.uk"/>
    <x v="0"/>
    <x v="1"/>
    <x v="0"/>
    <x v="0"/>
    <x v="1"/>
    <x v="1"/>
    <s v="Engineering &amp; the Built Environment"/>
    <s v="EM"/>
    <x v="37"/>
    <s v="Completed"/>
    <s v="University of Oxford"/>
    <s v="DPhil in Wind and Marine Energy Systems and Structures (EPSRC CDT)"/>
    <s v="Fluid mechanics of tidal stream energy"/>
    <d v="2024-03-04T00:00:00"/>
    <n v="2"/>
    <s v="_x000d__x000a_641919.18_x000d__x000a_"/>
    <s v="_x000d__x000a_624926.34_x000d__x000a_"/>
    <s v="_x000d__x000a_0_x000d__x000a_"/>
  </r>
  <r>
    <s v="10/12/2025"/>
    <s v="2025-8657"/>
    <s v="Higher Education Awards"/>
    <s v="Jessie Dixon"/>
    <s v="24811467@sun.ac.za"/>
    <x v="0"/>
    <x v="0"/>
    <x v="1"/>
    <x v="1"/>
    <x v="0"/>
    <x v="8"/>
    <s v="Natural Sciences"/>
    <s v="EM"/>
    <x v="0"/>
    <s v="Completed"/>
    <s v="Stellenbosch University"/>
    <s v="MSc Microbiology"/>
    <s v="Human Gut Microbiome"/>
    <d v="2025-01-15T00:00:00"/>
    <n v="1"/>
    <s v="_x000d__x000a_128000_x000d__x000a_"/>
    <s v="_x000d__x000a_0_x000d__x000a_"/>
    <s v="_x000d__x000a_0_x000d__x000a_"/>
  </r>
  <r>
    <s v="10/12/2025"/>
    <s v="2025-8377"/>
    <s v="Higher Education Awards"/>
    <s v="Cindy-Melissa Mouton"/>
    <s v="cindymouton.speech@gmail.com"/>
    <x v="0"/>
    <x v="1"/>
    <x v="2"/>
    <x v="1"/>
    <x v="0"/>
    <x v="2"/>
    <s v="Humanities"/>
    <s v="EM"/>
    <x v="0"/>
    <s v="Completed"/>
    <s v="University of Pretoria"/>
    <s v="Doctoral"/>
    <s v="The effectiveness of a training program in the transdisciplinary model on the collaboration of rehabilitation professionals working in the early childhood intervention population in South Africa"/>
    <d v="2026-01-01T00:00:00"/>
    <n v="3"/>
    <s v="_x000d__x000a_61000_x000d__x000a_"/>
    <s v="_x000d__x000a_66000_x000d__x000a_"/>
    <s v="_x000d__x000a_66000_x000d__x000a_"/>
  </r>
  <r>
    <s v="10/12/2025"/>
    <s v="2025-8327"/>
    <s v="Higher Education Awards"/>
    <s v="Thikho Khakhu"/>
    <s v="thikhokhakhu17@gmail.com"/>
    <x v="0"/>
    <x v="0"/>
    <x v="0"/>
    <x v="1"/>
    <x v="0"/>
    <x v="7"/>
    <s v="Law"/>
    <s v="EM"/>
    <x v="0"/>
    <s v="Completed"/>
    <s v="University of free state"/>
    <s v="Master of laws"/>
    <s v="Investigate the Historical Context of Constitutionalism and its Impact on Contemporary Legal Systems"/>
    <d v="2026-01-01T00:00:00"/>
    <n v="2"/>
    <s v="_x000d__x000a_171000_x000d__x000a_"/>
    <s v="_x000d__x000a_193000_x000d__x000a_"/>
    <s v="_x000d__x000a_0_x000d__x000a_"/>
  </r>
  <r>
    <s v="10/12/2025"/>
    <s v="2025-9396"/>
    <s v="Higher Education Awards"/>
    <s v="Ilara Slabbert"/>
    <s v="slabbertilara2000@gmail.com"/>
    <x v="3"/>
    <x v="1"/>
    <x v="1"/>
    <x v="1"/>
    <x v="0"/>
    <x v="8"/>
    <s v="Health Sciences"/>
    <s v="EM"/>
    <x v="0"/>
    <s v="Completed"/>
    <s v="University of the Witwatersrand"/>
    <s v="PhD Clinical and Experimental Pharmacology"/>
    <s v="Optimising Antidepressant Patient Information Leaflets for the South African Population"/>
    <d v="2026-01-01T00:00:00"/>
    <n v="3"/>
    <s v="_x000d__x000a_298520_x000d__x000a_"/>
    <s v="_x000d__x000a_373824_x000d__x000a_"/>
    <s v="_x000d__x000a_464188_x000d__x000a_"/>
  </r>
  <r>
    <s v="10/12/2025"/>
    <s v="2025-9864"/>
    <s v="Higher Education Awards"/>
    <s v="Neo Raseale"/>
    <s v="neor262@gmail.com"/>
    <x v="3"/>
    <x v="0"/>
    <x v="0"/>
    <x v="1"/>
    <x v="0"/>
    <x v="6"/>
    <s v="Social Sciences"/>
    <s v="EM"/>
    <x v="37"/>
    <s v="Completed"/>
    <s v="University of the Witwatersrand"/>
    <s v="Master of Arts (Sociology)"/>
    <s v="Sociology of Education"/>
    <d v="2026-02-03T00:00:00"/>
    <n v="2"/>
    <s v="_x000d__x000a_53080_x000d__x000a_"/>
    <s v="_x000d__x000a_53080_x000d__x000a_"/>
    <s v="_x000d__x000a_0_x000d__x000a_"/>
  </r>
  <r>
    <s v="10/12/2025"/>
    <s v="2025-9935"/>
    <s v="Higher Education Awards"/>
    <s v="Motshabi Selinah Ntsoeu"/>
    <s v="malaika.ntsoeu@gmail.com"/>
    <x v="0"/>
    <x v="0"/>
    <x v="0"/>
    <x v="1"/>
    <x v="0"/>
    <x v="2"/>
    <s v="Humanities"/>
    <s v="EM"/>
    <x v="0"/>
    <s v="Completed"/>
    <s v="University of the Witwatersrand"/>
    <s v="MA in Cultural Policy Management Research in Course Work"/>
    <s v="Topic: Challenges Faced by Artist-Founders in the Daily Running, Strategic Development, Growth, and Sustainability of Arts Organizations in Ekurhuleni, South Africa: A Case Study of Three Arts Organizations"/>
    <d v="2026-01-06T00:00:00"/>
    <n v="2"/>
    <s v="_x000d__x000a_105959_x000d__x000a_"/>
    <s v="_x000d__x000a_105959_x000d__x000a_"/>
    <s v="_x000d__x000a_0_x000d__x000a_"/>
  </r>
  <r>
    <s v="10/12/2025"/>
    <s v="2025-10041"/>
    <s v="Higher Education Awards"/>
    <s v="Siyabonga Sibusisi Mthethwa"/>
    <s v="ciamthethwa@gmail.com"/>
    <x v="1"/>
    <x v="1"/>
    <x v="0"/>
    <x v="0"/>
    <x v="0"/>
    <x v="2"/>
    <s v="Humanities"/>
    <s v="EM"/>
    <x v="6"/>
    <s v="Completed"/>
    <s v="WITS School of Education"/>
    <s v="Doctor of Education"/>
    <s v="Foundation Phase teachers’ experiences of Pedagogical Content Knowledge (PCK) for literacy instruction in multilingual inclusive classrooms: A case of Tshwane-West"/>
    <d v="2025-10-01T00:00:00"/>
    <n v="3"/>
    <s v="_x000d__x000a_64780_x000d__x000a_"/>
    <s v="_x000d__x000a_64780_x000d__x000a_"/>
    <s v="_x000d__x000a_64780_x000d__x000a_"/>
  </r>
  <r>
    <s v="10/12/2025"/>
    <s v="2025-9811"/>
    <s v="Higher Education Awards"/>
    <s v="Masimba Yuba"/>
    <s v="masimbayuba@gmail.com"/>
    <x v="0"/>
    <x v="1"/>
    <x v="0"/>
    <x v="0"/>
    <x v="0"/>
    <x v="6"/>
    <s v="Commerce &amp; Management"/>
    <s v="EM"/>
    <x v="37"/>
    <s v="Completed"/>
    <s v="University of the WitWatersrand"/>
    <s v="Phd Governance"/>
    <s v="Beyond Government: Mentalities in the pursuit of survival among Zimbabweans"/>
    <d v="2025-01-19T00:00:00"/>
    <n v="3"/>
    <s v="_x000d__x000a_222000_x000d__x000a_"/>
    <s v="_x000d__x000a_250000_x000d__x000a_"/>
    <s v="_x000d__x000a_250000_x000d__x000a_"/>
  </r>
  <r>
    <s v="10/12/2025"/>
    <s v="2025-8338"/>
    <s v="Higher Education Awards"/>
    <s v="Gustav Lindemann"/>
    <s v="gustavqs@outlook.com"/>
    <x v="0"/>
    <x v="0"/>
    <x v="1"/>
    <x v="0"/>
    <x v="0"/>
    <x v="6"/>
    <s v="Social Sciences"/>
    <s v="EM"/>
    <x v="0"/>
    <s v="Completed"/>
    <s v="South African College of Applied Psychology (SACAP)"/>
    <s v="Masters Degree"/>
    <s v="Community Mental Health Promotion"/>
    <d v="2025-02-17T00:00:00"/>
    <n v="1"/>
    <s v="_x000d__x000a_94656_x000d__x000a_"/>
    <s v="_x000d__x000a_0_x000d__x000a_"/>
    <s v="_x000d__x000a_0_x000d__x000a_"/>
  </r>
  <r>
    <s v="10/12/2025"/>
    <s v="2025-9863"/>
    <s v="Higher Education Awards"/>
    <s v="Khomotso Mohlala"/>
    <s v="kittymohlala07@gmail.com"/>
    <x v="0"/>
    <x v="0"/>
    <x v="0"/>
    <x v="1"/>
    <x v="0"/>
    <x v="8"/>
    <s v="Natural Sciences"/>
    <s v="CB"/>
    <x v="0"/>
    <s v="Completed"/>
    <s v="Stellenbosch University"/>
    <s v="Master in Bioinformatics of Infectious Diseases and Pathogen Genomics"/>
    <s v="Impact of population-level HPV Vaccination on Genotype-Specific HPV Prevalence, Incidence, Clearance and Acquisition Among Young Women in KwaZulu-Natal, South Africa"/>
    <d v="2026-02-09T00:00:00"/>
    <n v="2"/>
    <s v="_x000d__x000a_138371_x000d__x000a_"/>
    <s v="_x000d__x000a_139166_x000d__x000a_"/>
    <s v="_x000d__x000a_0_x000d__x000a_"/>
  </r>
  <r>
    <s v="10/12/2025"/>
    <s v="2025-9651"/>
    <s v="Higher Education Awards"/>
    <s v="Nathan Huysamen"/>
    <s v="Huysamen.nathan@gmail.com"/>
    <x v="0"/>
    <x v="0"/>
    <x v="1"/>
    <x v="0"/>
    <x v="1"/>
    <x v="3"/>
    <s v="Performing &amp; Creative Arts"/>
    <s v="CB"/>
    <x v="0"/>
    <s v="Completed"/>
    <s v="Boston Conservatory at Berklee"/>
    <s v="Graduate Clarinet Performance (masters)"/>
    <s v="Clarinet Performance"/>
    <d v="2026-01-09T00:00:00"/>
    <n v="2"/>
    <s v="_x000d__x000a_747092.37_x000d__x000a_"/>
    <s v="_x000d__x000a_747092.37_x000d__x000a_"/>
    <s v="_x000d__x000a_0_x000d__x000a_"/>
  </r>
  <r>
    <s v="10/12/2025"/>
    <s v="2025-9953"/>
    <s v="Higher Education Awards"/>
    <s v="Simon Zwelivumile Qobo"/>
    <s v="simon.qobo@gmail.com"/>
    <x v="3"/>
    <x v="1"/>
    <x v="0"/>
    <x v="0"/>
    <x v="1"/>
    <x v="7"/>
    <s v="Law"/>
    <s v="CB"/>
    <x v="1"/>
    <s v="Draft"/>
    <s v="Queen Mary University of London"/>
    <s v="Phd in International Law (Intellectual Property Law)"/>
    <s v="Domestication of the Mandatory Requirement  of the Newly Adopted WIPO Treaty on Intellectual Property (IP), Genetic Resources (GRs) and Traditional Knowledge (TK) to Promote innovation and achieve the objectives of the Convention on Biodiversity"/>
    <d v="2026-01-05T00:00:00"/>
    <n v="3"/>
    <s v="_x000d__x000a_2136312.5_x000d__x000a_"/>
    <s v="_x000d__x000a_2136312.5_x000d__x000a_"/>
    <s v="_x000d__x000a_2136312.5_x000d__x000a_"/>
  </r>
  <r>
    <s v="10/12/2025"/>
    <s v="2025-9906"/>
    <s v="Higher Education Awards"/>
    <s v="Memory Ponela"/>
    <s v="memoryponela@gmail.com"/>
    <x v="3"/>
    <x v="2"/>
    <x v="0"/>
    <x v="1"/>
    <x v="0"/>
    <x v="2"/>
    <s v="Humanities"/>
    <s v="CB"/>
    <x v="0"/>
    <s v="Completed"/>
    <s v="University of the Witwatersrand"/>
    <s v="PhD in Interdisciplinary Digital Knowledge Economy Studies"/>
    <s v="An interdisciplinary approach to predicting and modelling the development of academic vocabulary among university students."/>
    <d v="2026-01-12T00:00:00"/>
    <n v="3"/>
    <s v="_x000d__x000a_154443_x000d__x000a_"/>
    <s v="_x000d__x000a_183252_x000d__x000a_"/>
    <s v="_x000d__x000a_196081_x000d__x000a_"/>
  </r>
  <r>
    <s v="10/12/2025"/>
    <s v="2025-9962"/>
    <s v="Higher Education Awards"/>
    <s v="Damien Gergonne"/>
    <s v="gergonne.damien@gmail.com"/>
    <x v="0"/>
    <x v="2"/>
    <x v="5"/>
    <x v="0"/>
    <x v="0"/>
    <x v="5"/>
    <s v="Natural Sciences"/>
    <s v="CB"/>
    <x v="0"/>
    <s v="Completed"/>
    <s v="Stellenbosch University"/>
    <s v="Comparative genomics of eusocial evolution in termites"/>
    <s v="Genomics, Entomology"/>
    <d v="2026-01-01T00:00:00"/>
    <n v="2"/>
    <s v="_x000d__x000a_4000_x000d__x000a_"/>
    <s v="_x000d__x000a_49000_x000d__x000a_"/>
    <s v="_x000d__x000a_0_x000d__x000a_"/>
  </r>
  <r>
    <s v="10/12/2025"/>
    <s v="2025-8266"/>
    <s v="Higher Education Awards"/>
    <s v="Yolisa Palesa Tsoaeli"/>
    <s v="yolisa.tsoaeli.work@gmail.com"/>
    <x v="0"/>
    <x v="0"/>
    <x v="0"/>
    <x v="1"/>
    <x v="1"/>
    <x v="6"/>
    <s v="Social Sciences"/>
    <s v="CB"/>
    <x v="0"/>
    <s v="Completed"/>
    <s v="SRH University Berlin"/>
    <s v="Master of Arts"/>
    <s v="Social Design and Sustainable Innovation"/>
    <d v="2026-04-01T00:00:00"/>
    <n v="2"/>
    <s v="_x000d__x000a_458412.5_x000d__x000a_"/>
    <s v="_x000d__x000a_458412.5_x000d__x000a_"/>
    <s v="_x000d__x000a_0_x000d__x000a_"/>
  </r>
  <r>
    <s v="10/12/2025"/>
    <s v="2025-9324"/>
    <s v="Higher Education Awards"/>
    <s v="Tebogo Kgatle"/>
    <s v="tebogokgatle133@gmail.com"/>
    <x v="3"/>
    <x v="0"/>
    <x v="0"/>
    <x v="1"/>
    <x v="0"/>
    <x v="8"/>
    <s v="Health Sciences"/>
    <s v="CB"/>
    <x v="15"/>
    <s v="Completed"/>
    <s v="Sefako Makgatho Health Sciences University"/>
    <s v="Master of Science in Dietetics"/>
    <s v="An exploration of the body perception, body image, nutritional experiences and the effect on performance among Latin and ballroom dancers in Gauteng Province."/>
    <d v="2024-01-26T00:00:00"/>
    <n v="1"/>
    <s v="_x000d__x000a_70700_x000d__x000a_"/>
    <s v="_x000d__x000a_0_x000d__x000a_"/>
    <s v="_x000d__x000a_0_x000d__x000a_"/>
  </r>
  <r>
    <s v="10/12/2025"/>
    <s v="2025-9512"/>
    <s v="Higher Education Awards"/>
    <s v="Abi Milella"/>
    <s v="MLLABI004@myuct.ac.za"/>
    <x v="0"/>
    <x v="0"/>
    <x v="1"/>
    <x v="1"/>
    <x v="0"/>
    <x v="8"/>
    <s v="Health Sciences"/>
    <s v="CB"/>
    <x v="0"/>
    <s v="Completed"/>
    <s v="University of Cape Town"/>
    <s v="Medical Microbiology"/>
    <s v="The human gut microbiome"/>
    <d v="2026-03-04T00:00:00"/>
    <n v="2"/>
    <s v="_x000d__x000a_152000_x000d__x000a_"/>
    <s v="_x000d__x000a_152000_x000d__x000a_"/>
    <s v="_x000d__x000a_0_x000d__x000a_"/>
  </r>
  <r>
    <s v="10/12/2025"/>
    <s v="2025-9362"/>
    <s v="Higher Education Awards"/>
    <s v="Andrea Webster"/>
    <s v="andrea.webster@tuks.co.za"/>
    <x v="0"/>
    <x v="2"/>
    <x v="1"/>
    <x v="1"/>
    <x v="0"/>
    <x v="5"/>
    <s v="Natural Sciences"/>
    <s v="CB"/>
    <x v="0"/>
    <s v="Completed"/>
    <s v="University of Pretoria"/>
    <s v="University of Pretoria"/>
    <s v="Stress and reproductive hormone monitoring in arid-adapted antelope species"/>
    <d v="2026-04-01T00:00:00"/>
    <n v="2"/>
    <s v="_x000d__x000a_295000_x000d__x000a_"/>
    <s v="_x000d__x000a_245000_x000d__x000a_"/>
    <s v="_x000d__x000a_0_x000d__x000a_"/>
  </r>
  <r>
    <s v="10/12/2025"/>
    <s v="2025-10036"/>
    <s v="Higher Education Awards"/>
    <s v="SHANTANISE PHEPHENG"/>
    <s v="shantaniseb@gmail.com"/>
    <x v="3"/>
    <x v="1"/>
    <x v="2"/>
    <x v="1"/>
    <x v="0"/>
    <x v="2"/>
    <s v="Humanities"/>
    <s v="CB"/>
    <x v="0"/>
    <s v="Completed"/>
    <s v="UOFS / WITS"/>
    <s v="Phd in Heritage Studies"/>
    <s v="The Effects of Climate Change on the ‡Khomani World Heritage Cultural Landscape in the Northern Cape Province, South Africa."/>
    <d v="2026-02-01T00:00:00"/>
    <n v="3"/>
    <s v="_x000d__x000a_145000_x000d__x000a_"/>
    <s v="_x000d__x000a_145000_x000d__x000a_"/>
    <s v="_x000d__x000a_145000_x000d__x000a_"/>
  </r>
  <r>
    <s v="10/12/2025"/>
    <s v="2025-9494"/>
    <s v="Higher Education Awards"/>
    <s v="Thando Kubheka"/>
    <s v="thandokubheka11@gmail.com"/>
    <x v="0"/>
    <x v="1"/>
    <x v="0"/>
    <x v="1"/>
    <x v="0"/>
    <x v="8"/>
    <s v="Health Sciences"/>
    <s v="CB"/>
    <x v="0"/>
    <s v="Completed"/>
    <s v="University of Cape Town"/>
    <s v="PhD in Haematology"/>
    <s v="The role of miRNA-181b in HIV-associated aggressive B-cell Lymphoma"/>
    <d v="2025-03-19T00:00:00"/>
    <n v="3"/>
    <s v="_x000d__x000a_118000_x000d__x000a_"/>
    <s v="_x000d__x000a_128000_x000d__x000a_"/>
    <s v="_x000d__x000a_128000_x000d__x000a_"/>
  </r>
  <r>
    <s v="10/12/2025"/>
    <s v="2025-8425"/>
    <s v="Higher Education Awards"/>
    <s v="Hendrik Coetser"/>
    <s v="josephus.coetser@gmail.com"/>
    <x v="0"/>
    <x v="1"/>
    <x v="1"/>
    <x v="0"/>
    <x v="0"/>
    <x v="8"/>
    <s v="Health Sciences"/>
    <s v="CB"/>
    <x v="0"/>
    <s v="Completed"/>
    <s v="University of the Witwatersrand"/>
    <s v="Ph.D. Molecular Medicine"/>
    <s v="HR-HPV and Prostate Cancer in South African Men: Genomic Integration and Oncogenic Implication"/>
    <d v="2026-01-01T00:00:00"/>
    <n v="3"/>
    <s v="_x000d__x000a_156000_x000d__x000a_"/>
    <s v="_x000d__x000a_156000_x000d__x000a_"/>
    <s v="_x000d__x000a_156000_x000d__x000a_"/>
  </r>
  <r>
    <s v="10/12/2025"/>
    <s v="2025-9388"/>
    <s v="Higher Education Awards"/>
    <s v="Vimbai Siziba"/>
    <s v="Vimbai.Siziba@wits.ac.za"/>
    <x v="0"/>
    <x v="2"/>
    <x v="0"/>
    <x v="1"/>
    <x v="0"/>
    <x v="8"/>
    <s v="Health Sciences"/>
    <s v="CB"/>
    <x v="0"/>
    <s v="Completed"/>
    <s v="University of the Witwatersrand"/>
    <s v="Human Genetics"/>
    <s v="Study of genomic disease burden to complement Cause of Death investigation in Sub- Saharan Africa: a pilot study from Child Health and Mortality Prevention Surveillance (CHAMPS) Network"/>
    <d v="2026-01-01T00:00:00"/>
    <n v="2"/>
    <s v="_x000d__x000a_475000_x000d__x000a_"/>
    <s v="_x000d__x000a_479000_x000d__x000a_"/>
    <s v="_x000d__x000a_0_x000d__x000a_"/>
  </r>
  <r>
    <s v="10/12/2025"/>
    <s v="2025-8612"/>
    <s v="Higher Education Awards"/>
    <s v="Philani Ngubane"/>
    <s v="ngubanephilani625@gmail.com"/>
    <x v="0"/>
    <x v="0"/>
    <x v="0"/>
    <x v="0"/>
    <x v="0"/>
    <x v="2"/>
    <s v="Humanities"/>
    <s v="CB"/>
    <x v="0"/>
    <s v="Completed"/>
    <s v="University of Cape Town"/>
    <s v="Master of Arts: Clinical Psychology"/>
    <s v="The Association Between Parenting Practices and Adolescent Behavioural Outcomes: A study of South African NGO-Supported Families"/>
    <d v="2026-02-09T00:00:00"/>
    <n v="1"/>
    <s v="_x000d__x000a_70930_x000d__x000a_"/>
    <s v="_x000d__x000a_0_x000d__x000a_"/>
    <s v="_x000d__x000a_0_x000d__x000a_"/>
  </r>
  <r>
    <s v="10/12/2025"/>
    <s v="2025-9980"/>
    <s v="Higher Education Awards"/>
    <s v="Thando Juqu"/>
    <s v="Thando.Juqu@gmail.com"/>
    <x v="0"/>
    <x v="2"/>
    <x v="0"/>
    <x v="0"/>
    <x v="0"/>
    <x v="0"/>
    <s v="Natural Sciences"/>
    <s v="CB"/>
    <x v="21"/>
    <s v="Completed"/>
    <s v="University of the Western Cape"/>
    <s v="Postdoctoral"/>
    <s v="Chemistry"/>
    <d v="2026-02-28T00:00:00"/>
    <n v="2"/>
    <s v="_x000d__x000a_622500_x000d__x000a_"/>
    <s v="_x000d__x000a_472500_x000d__x000a_"/>
    <s v="_x000d__x000a_0_x000d__x000a_"/>
  </r>
  <r>
    <s v="10/12/2025"/>
    <s v="2025-9451"/>
    <s v="Higher Education Awards"/>
    <s v="Takudzwa Matekwe"/>
    <s v="takuemate@gmail.com"/>
    <x v="3"/>
    <x v="1"/>
    <x v="0"/>
    <x v="0"/>
    <x v="0"/>
    <x v="7"/>
    <s v="Law"/>
    <s v="CB"/>
    <x v="0"/>
    <s v="Completed"/>
    <s v="University of Pretoria"/>
    <s v="Doctor of Laws in Mercantile Law"/>
    <s v="Assessing the Adequacy of South Africa’s Consumer Protection Framework in Regulating Product Liability for Autonomous Goods"/>
    <d v="2026-01-01T00:00:00"/>
    <n v="2"/>
    <s v="_x000d__x000a_126000_x000d__x000a_"/>
    <s v="_x000d__x000a_126000_x000d__x000a_"/>
    <s v="_x000d__x000a_0_x000d__x000a_"/>
  </r>
  <r>
    <s v="10/12/2025"/>
    <s v="2025-9534"/>
    <s v="Higher Education Awards"/>
    <s v="Bongeka Biyase"/>
    <s v="221058196@stu.ukzn.ac.za"/>
    <x v="0"/>
    <x v="0"/>
    <x v="0"/>
    <x v="1"/>
    <x v="0"/>
    <x v="8"/>
    <s v="Applied Sciences"/>
    <s v="CB"/>
    <x v="0"/>
    <s v="Completed"/>
    <s v="University of KwaZulu-Natal"/>
    <s v="University-master's degree-chemistry"/>
    <s v="The main goal of this project is to develop highly effective anti-cancer agents using an integrated approach."/>
    <d v="2026-01-01T00:00:00"/>
    <n v="2"/>
    <s v="_x000d__x000a_60000_x000d__x000a_"/>
    <s v="_x000d__x000a_95000_x000d__x000a_"/>
    <s v="_x000d__x000a_0_x000d__x000a_"/>
  </r>
  <r>
    <s v="10/12/2025"/>
    <s v="2025-9704"/>
    <s v="Higher Education Awards"/>
    <s v="Anna Khensane Mayoyo"/>
    <s v="khensanimayoyo09@gmail.com"/>
    <x v="0"/>
    <x v="0"/>
    <x v="0"/>
    <x v="1"/>
    <x v="0"/>
    <x v="2"/>
    <s v="Humanities"/>
    <s v="CB"/>
    <x v="0"/>
    <s v="Completed"/>
    <s v="University of Cape Town"/>
    <s v="Masters in clinical work"/>
    <s v="Barriers to accessing Mental Health Services Among Low-income Populations"/>
    <d v="2026-02-01T00:00:00"/>
    <n v="2"/>
    <s v="_x000d__x000a_158000_x000d__x000a_"/>
    <s v="_x000d__x000a_168100_x000d__x000a_"/>
    <s v="_x000d__x000a_0_x000d__x000a_"/>
  </r>
  <r>
    <s v="10/12/2025"/>
    <s v="2025-9669"/>
    <s v="Higher Education Awards"/>
    <s v="Michaela Papangeli"/>
    <s v="michaela.papangeli@icloud.com"/>
    <x v="0"/>
    <x v="0"/>
    <x v="1"/>
    <x v="1"/>
    <x v="0"/>
    <x v="8"/>
    <s v="Health Sciences"/>
    <s v="CB"/>
    <x v="0"/>
    <s v="Completed"/>
    <s v="University of Cape Town"/>
    <s v="Master of Science in Medicine (Human Genetics specialization)"/>
    <s v="Psychiatric genetics"/>
    <d v="2025-01-01T00:00:00"/>
    <n v="1"/>
    <s v="_x000d__x000a_106000_x000d__x000a_"/>
    <s v="_x000d__x000a_0_x000d__x000a_"/>
    <s v="_x000d__x000a_0_x000d__x000a_"/>
  </r>
  <r>
    <s v="10/12/2025"/>
    <s v="2025-9447"/>
    <s v="Higher Education Awards"/>
    <s v="Matteo Gregori"/>
    <s v="Nello@sun.ac.za"/>
    <x v="0"/>
    <x v="2"/>
    <x v="1"/>
    <x v="0"/>
    <x v="0"/>
    <x v="5"/>
    <s v="Natural Sciences"/>
    <s v="CB"/>
    <x v="0"/>
    <s v="Completed"/>
    <s v="Stellenbosch University"/>
    <s v="Postdoctoral"/>
    <s v="Environmental Microbiology"/>
    <d v="2025-06-01T00:00:00"/>
    <n v="2"/>
    <s v="_x000d__x000a_180000_x000d__x000a_"/>
    <s v="_x000d__x000a_180000_x000d__x000a_"/>
    <s v="_x000d__x000a_0_x000d__x000a_"/>
  </r>
  <r>
    <s v="10/12/2025"/>
    <s v="2025-9343"/>
    <s v="Higher Education Awards"/>
    <s v="Judith Legodu"/>
    <s v="reffjudith@gmail.com"/>
    <x v="0"/>
    <x v="0"/>
    <x v="0"/>
    <x v="1"/>
    <x v="0"/>
    <x v="2"/>
    <s v="Humanities"/>
    <s v="CB"/>
    <x v="0"/>
    <s v="Completed"/>
    <s v="Sol Plaatje University"/>
    <s v="Master of Arts: Heritage Studies (Coursework)"/>
    <s v="Heritage and Museum Studies"/>
    <d v="2026-01-26T00:00:00"/>
    <n v="1"/>
    <s v="_x000d__x000a_139000_x000d__x000a_"/>
    <s v="_x000d__x000a_0_x000d__x000a_"/>
    <s v="_x000d__x000a_0_x000d__x000a_"/>
  </r>
  <r>
    <s v="10/12/2025"/>
    <s v="2025-8578"/>
    <s v="Higher Education Awards"/>
    <s v="Chantalle Crous"/>
    <s v="21204756@mynwu.ac.za"/>
    <x v="0"/>
    <x v="2"/>
    <x v="1"/>
    <x v="1"/>
    <x v="0"/>
    <x v="8"/>
    <s v="Health Sciences"/>
    <s v="CB"/>
    <x v="0"/>
    <s v="Completed"/>
    <s v="North-West University Potchefstroom"/>
    <s v="First choice: Pharmaceutical Chemistry"/>
    <s v="New antimicrobial drug discovery -  expression of recombinant bacterial enzyme targets"/>
    <d v="2025-01-01T00:00:00"/>
    <n v="1"/>
    <s v="_x000d__x000a_10400_x000d__x000a_"/>
    <s v="_x000d__x000a_0_x000d__x000a_"/>
    <s v="_x000d__x000a_0_x000d__x000a_"/>
  </r>
  <r>
    <s v="10/12/2025"/>
    <s v="2025-9104"/>
    <s v="Higher Education Awards"/>
    <s v="Michell Mpike"/>
    <s v="msmpike@gmail.com"/>
    <x v="0"/>
    <x v="1"/>
    <x v="0"/>
    <x v="1"/>
    <x v="0"/>
    <x v="2"/>
    <s v="Humanities"/>
    <s v="CB"/>
    <x v="0"/>
    <s v="Completed"/>
    <s v="University of Cape Town"/>
    <s v="Doctor of Philosophy (PhD) in Education"/>
    <s v="Customised Generative-AI chatbots in South African Higher Education Courses: Enablers, Contradictions and Opportunities for Expansive Learning"/>
    <d v="2025-02-03T00:00:00"/>
    <n v="3"/>
    <s v="_x000d__x000a_302870_x000d__x000a_"/>
    <s v="_x000d__x000a_322460_x000d__x000a_"/>
    <s v="_x000d__x000a_347950_x000d__x000a_"/>
  </r>
  <r>
    <s v="10/12/2025"/>
    <s v="2025-9178"/>
    <s v="Higher Education Awards"/>
    <s v="Tshegofatso Kgobane"/>
    <s v="tshegofkgobane@gmail.com"/>
    <x v="3"/>
    <x v="0"/>
    <x v="0"/>
    <x v="1"/>
    <x v="0"/>
    <x v="8"/>
    <s v="Health Sciences"/>
    <s v="CB"/>
    <x v="0"/>
    <s v="Completed"/>
    <s v="University of the Witwatersrand"/>
    <s v="Master of Science Epidemiology majoring in Infectious Diseases"/>
    <s v="PREVALENCE OF  COMORBIDITIES AND THEIR  ASSOCIATION WITH UPTAKE OF  TB PREVENTION TREATMENT  AMONG PLHIV IN SOUTH  AFRICA, ETHIOPIA AND  ZIMBABWE FROM 2020-2023"/>
    <d v="2026-01-01T00:00:00"/>
    <n v="1"/>
    <s v="_x000d__x000a_200000_x000d__x000a_"/>
    <s v="_x000d__x000a_0_x000d__x000a_"/>
    <s v="_x000d__x000a_0_x000d__x000a_"/>
  </r>
  <r>
    <s v="10/12/2025"/>
    <s v="2025-8401"/>
    <s v="Higher Education Awards"/>
    <s v="Stephanus Cloete"/>
    <s v="23496959@mynwu.ac.za"/>
    <x v="0"/>
    <x v="2"/>
    <x v="1"/>
    <x v="0"/>
    <x v="0"/>
    <x v="8"/>
    <s v="Health Sciences"/>
    <s v="CB"/>
    <x v="0"/>
    <s v="Completed"/>
    <s v="North-West University"/>
    <s v="First choice; Pharmaceutical Chemistry"/>
    <s v="Development of a novel treatment strategy against snakebite envenomation"/>
    <d v="2023-01-09T00:00:00"/>
    <n v="2"/>
    <s v="_x000d__x000a_-199000_x000d__x000a_"/>
    <s v="_x000d__x000a_-199000_x000d__x000a_"/>
    <s v="_x000d__x000a_0_x000d__x000a_"/>
  </r>
  <r>
    <s v="10/12/2025"/>
    <s v="2025-9575"/>
    <s v="Higher Education Awards"/>
    <s v="Ziyanda Stuurman"/>
    <s v="ziyanda.stuurman@gmail.com"/>
    <x v="0"/>
    <x v="1"/>
    <x v="0"/>
    <x v="1"/>
    <x v="0"/>
    <x v="7"/>
    <s v="Law"/>
    <s v="CB"/>
    <x v="0"/>
    <s v="Completed"/>
    <s v="University of Cape Town"/>
    <s v="DPhil Criminology"/>
    <s v="Policing; Politics; Crime"/>
    <d v="2026-02-02T00:00:00"/>
    <n v="3"/>
    <s v="_x000d__x000a_280167_x000d__x000a_"/>
    <s v="_x000d__x000a_293692_x000d__x000a_"/>
    <s v="_x000d__x000a_347100_x000d__x000a_"/>
  </r>
  <r>
    <s v="10/12/2025"/>
    <s v="2025-9648"/>
    <s v="Higher Education Awards"/>
    <s v="Nandipha Swartbooi"/>
    <s v="nandiphaswartbooi.ns@gmail.com"/>
    <x v="0"/>
    <x v="1"/>
    <x v="0"/>
    <x v="1"/>
    <x v="0"/>
    <x v="2"/>
    <s v="Humanities"/>
    <s v="CB"/>
    <x v="0"/>
    <s v="Completed"/>
    <s v="University of Johannesburg"/>
    <s v="English Doctoral"/>
    <s v="African Literatures and Cultures of Migration/Migrations of African Literatures and Cultures: A Discussion of Migration as Romance and Tragedy in Selected African Literatures and Visual Cultures"/>
    <d v="2026-02-08T00:00:00"/>
    <n v="3"/>
    <s v="_x000d__x000a_46600_x000d__x000a_"/>
    <s v="_x000d__x000a_46600_x000d__x000a_"/>
    <s v="_x000d__x000a_46600_x000d__x000a_"/>
  </r>
  <r>
    <s v="10/12/2025"/>
    <s v="2025-9135"/>
    <s v="Higher Education Awards"/>
    <s v="Xolisiwe Mhlathi"/>
    <s v="1502991@students.wits.ac.za"/>
    <x v="0"/>
    <x v="1"/>
    <x v="0"/>
    <x v="1"/>
    <x v="0"/>
    <x v="8"/>
    <s v="Health Sciences"/>
    <s v="CB"/>
    <x v="0"/>
    <s v="Completed"/>
    <s v="University of the Witwatersrand"/>
    <s v="Doctorate degree in Anatomical Sciences"/>
    <s v="Assessing the effects of different maceration techniques on the dental and oral anatomy of immature Sus scrofa domesticus"/>
    <d v="2024-04-15T00:00:00"/>
    <n v="1"/>
    <s v="_x000d__x000a_175000_x000d__x000a_"/>
    <s v="_x000d__x000a_0_x000d__x000a_"/>
    <s v="_x000d__x000a_0_x000d__x000a_"/>
  </r>
  <r>
    <s v="10/12/2025"/>
    <s v="2025-9784"/>
    <s v="Higher Education Awards"/>
    <s v="Nerissa Rajkumar"/>
    <s v="219003070@stu.ukzn.ac.za"/>
    <x v="0"/>
    <x v="1"/>
    <x v="4"/>
    <x v="1"/>
    <x v="0"/>
    <x v="0"/>
    <s v="Natural Sciences"/>
    <s v="CB"/>
    <x v="0"/>
    <s v="Completed"/>
    <s v="University of KwaZulu-Natal"/>
    <s v="PhD"/>
    <s v="Chemistry (Analytical chemistry)"/>
    <d v="2026-01-01T00:00:00"/>
    <n v="3"/>
    <s v="_x000d__x000a_198847_x000d__x000a_"/>
    <s v="_x000d__x000a_177428_x000d__x000a_"/>
    <s v="_x000d__x000a_177428_x000d__x000a_"/>
  </r>
  <r>
    <s v="10/12/2025"/>
    <s v="2025-10023"/>
    <s v="Higher Education Awards"/>
    <s v="Stacey Paulse"/>
    <s v="slap447@gmail.com"/>
    <x v="3"/>
    <x v="1"/>
    <x v="2"/>
    <x v="1"/>
    <x v="0"/>
    <x v="2"/>
    <s v="Other"/>
    <s v="CB"/>
    <x v="25"/>
    <s v="Completed"/>
    <s v="Stellenborsh Univeristy"/>
    <s v="PhD Educational Psychology"/>
    <s v="How a Community of Practice can support Learners living with ADHD in the Foundation Phase in the Francis Baard District"/>
    <d v="2026-01-26T00:00:00"/>
    <n v="3"/>
    <s v="_x000d__x000a_60000_x000d__x000a_"/>
    <s v="_x000d__x000a_60000_x000d__x000a_"/>
    <s v="_x000d__x000a_60000_x000d__x000a_"/>
  </r>
  <r>
    <s v="10/12/2025"/>
    <s v="2025-8805"/>
    <s v="Higher Education Awards"/>
    <s v="Pontso Angelina Molapo"/>
    <s v="2751154@students.wits.ac.za"/>
    <x v="3"/>
    <x v="0"/>
    <x v="0"/>
    <x v="1"/>
    <x v="0"/>
    <x v="8"/>
    <s v="Health Sciences"/>
    <s v="CB"/>
    <x v="0"/>
    <s v="Completed"/>
    <s v="University of the Witwatersrand"/>
    <s v="MSc Epidemiology (Infectious Disease Epidemiology)"/>
    <s v="Prevalence and factors associated to substance use among clients accessing HIV prevention services in Gauteng, Kwazulu-Natal and Eastern Cape from August 2023 to April 2024"/>
    <d v="2025-01-20T00:00:00"/>
    <n v="1"/>
    <s v="_x000d__x000a_25430_x000d__x000a_"/>
    <s v="_x000d__x000a_0_x000d__x000a_"/>
    <s v="_x000d__x000a_0_x000d__x000a_"/>
  </r>
  <r>
    <s v="10/12/2025"/>
    <s v="2025-8883"/>
    <s v="Higher Education Awards"/>
    <s v="Asanda Madi"/>
    <s v="718503@students.wits.ac.za"/>
    <x v="0"/>
    <x v="1"/>
    <x v="0"/>
    <x v="1"/>
    <x v="0"/>
    <x v="2"/>
    <s v="Humanities"/>
    <s v="CB"/>
    <x v="0"/>
    <s v="Completed"/>
    <s v="University of the Witwatersrand"/>
    <s v="Neuropsychology"/>
    <s v="Adolescent neurocognitive development, socio-cultural factors and socio-emotional processes in peri-rural South Africa using the Asenze population cohort."/>
    <d v="2025-01-20T00:00:00"/>
    <n v="2"/>
    <s v="_x000d__x000a_288464.6_x000d__x000a_"/>
    <s v="_x000d__x000a_406590.2_x000d__x000a_"/>
    <s v="_x000d__x000a_0_x000d__x000a_"/>
  </r>
  <r>
    <s v="10/12/2025"/>
    <s v="2025-9424"/>
    <s v="Higher Education Awards"/>
    <s v="Nyasha Melody Gorogodo"/>
    <s v="nyasha.gorogodo@wits.ac.za"/>
    <x v="0"/>
    <x v="1"/>
    <x v="0"/>
    <x v="1"/>
    <x v="0"/>
    <x v="8"/>
    <s v="Health Sciences"/>
    <s v="CB"/>
    <x v="0"/>
    <s v="Completed"/>
    <s v="University of Witwatersrand"/>
    <s v="Hematology and Molecular Medicine"/>
    <s v="Unlocking the Potential of mRNA Vaccines: A Multifaceted Approach to Boost Efficacy"/>
    <d v="2026-01-02T00:00:00"/>
    <n v="2"/>
    <s v="_x000d__x000a_51770_x000d__x000a_"/>
    <s v="_x000d__x000a_53770_x000d__x000a_"/>
    <s v="_x000d__x000a_0_x000d__x000a_"/>
  </r>
  <r>
    <s v="10/12/2025"/>
    <s v="2025-9190"/>
    <s v="Higher Education Awards"/>
    <s v="Molefi Jacob Mazibuko"/>
    <s v="MazibukoM@dws.gov.za"/>
    <x v="0"/>
    <x v="1"/>
    <x v="0"/>
    <x v="0"/>
    <x v="0"/>
    <x v="5"/>
    <s v="Natural Sciences"/>
    <s v="CB"/>
    <x v="0"/>
    <s v="Completed"/>
    <s v="North-West University"/>
    <s v="PhD"/>
    <s v="Development of a risk framework or strategy for the implementation and monitoring of the Reserve"/>
    <d v="2026-02-02T00:00:00"/>
    <n v="3"/>
    <s v="_x000d__x000a_267000_x000d__x000a_"/>
    <s v="_x000d__x000a_310000_x000d__x000a_"/>
    <s v="_x000d__x000a_327000_x000d__x000a_"/>
  </r>
  <r>
    <s v="10/12/2025"/>
    <s v="2025-9067"/>
    <s v="Higher Education Awards"/>
    <s v="Phumla Motsa"/>
    <s v="1948608@students.wits.ac.za"/>
    <x v="0"/>
    <x v="0"/>
    <x v="0"/>
    <x v="1"/>
    <x v="0"/>
    <x v="4"/>
    <s v="Commerce &amp; Management"/>
    <s v="CB"/>
    <x v="0"/>
    <s v="Completed"/>
    <s v="University of Witwatersrand"/>
    <s v=""/>
    <s v="Sustainability of Private Practice in National Health Insurance"/>
    <d v="2026-01-01T00:00:00"/>
    <n v="1"/>
    <s v="_x000d__x000a_-24000_x000d__x000a_"/>
    <s v="_x000d__x000a_41476_x000d__x000a_"/>
    <s v="_x000d__x000a_0_x000d__x000a_"/>
  </r>
  <r>
    <s v="10/12/2025"/>
    <s v="2025-8277"/>
    <s v="Higher Education Awards"/>
    <s v="Philile Njikija"/>
    <s v="Missnjikija23@gmail.com"/>
    <x v="0"/>
    <x v="0"/>
    <x v="0"/>
    <x v="1"/>
    <x v="0"/>
    <x v="3"/>
    <s v="Performing &amp; Creative Arts"/>
    <s v="CB"/>
    <x v="0"/>
    <s v="Completed"/>
    <s v="The University of Kwa-Zulu Natal"/>
    <s v="Drama and performance"/>
    <s v="Exploration of how African practices influence ways of being in South African performers from disadvantaged areas in South Africa"/>
    <d v="2025-08-27T00:00:00"/>
    <n v="2"/>
    <s v="_x000d__x000a_108105_x000d__x000a_"/>
    <s v="_x000d__x000a_108105_x000d__x000a_"/>
    <s v="_x000d__x000a_0_x000d__x000a_"/>
  </r>
  <r>
    <s v="10/12/2025"/>
    <s v="2025-8545"/>
    <s v="Higher Education Awards"/>
    <s v="Taylor Carnie"/>
    <s v="25577735@sun.ac.za"/>
    <x v="0"/>
    <x v="0"/>
    <x v="1"/>
    <x v="1"/>
    <x v="0"/>
    <x v="5"/>
    <s v="Natural Sciences"/>
    <s v="CB"/>
    <x v="0"/>
    <s v="Completed"/>
    <s v="Stellenbosch University"/>
    <s v="MSc Food Science"/>
    <s v="Food Science and Agriscience, specifically 'The impact of harvest maturity and micro-nano bubble pretreatments on drying rate and browning of mango.'"/>
    <d v="2025-02-03T00:00:00"/>
    <n v="1"/>
    <s v="_x000d__x000a_155486_x000d__x000a_"/>
    <s v="_x000d__x000a_0_x000d__x000a_"/>
    <s v="_x000d__x000a_0_x000d__x000a_"/>
  </r>
  <r>
    <s v="10/12/2025"/>
    <s v="2025-8567"/>
    <s v="Higher Education Awards"/>
    <s v="Lincon Kgasha Makofane"/>
    <s v="makofanelincon@gmail.com"/>
    <x v="0"/>
    <x v="1"/>
    <x v="0"/>
    <x v="0"/>
    <x v="0"/>
    <x v="8"/>
    <s v="Health Sciences"/>
    <s v="CB"/>
    <x v="32"/>
    <s v="Completed"/>
    <s v="University of Cape Town"/>
    <s v="PhD"/>
    <s v="Unravelling oncogenic associations between Epstein-Barr virus (EBV) and HIV in lymphomagenesis through transcriptomic and epigenetic reprogramming"/>
    <d v="2025-08-01T00:00:00"/>
    <n v="3"/>
    <s v="_x000d__x000a_203000_x000d__x000a_"/>
    <s v="_x000d__x000a_208000_x000d__x000a_"/>
    <s v="_x000d__x000a_225000_x000d__x000a_"/>
  </r>
  <r>
    <s v="10/12/2025"/>
    <s v="2025-9461"/>
    <s v="Higher Education Awards"/>
    <s v="Ingrid Masondo"/>
    <s v="ingridmasondo@gmail.com"/>
    <x v="0"/>
    <x v="1"/>
    <x v="0"/>
    <x v="1"/>
    <x v="0"/>
    <x v="2"/>
    <s v="Humanities"/>
    <s v="CB"/>
    <x v="0"/>
    <s v="Completed"/>
    <s v="University of the Western Cape"/>
    <s v="PhD"/>
    <s v="Exiled archives, near and far"/>
    <d v="2023-02-01T00:00:00"/>
    <n v="2"/>
    <s v="_x000d__x000a_350000_x000d__x000a_"/>
    <s v="_x000d__x000a_350000_x000d__x000a_"/>
    <s v="_x000d__x000a_0_x000d__x000a_"/>
  </r>
  <r>
    <s v="10/12/2025"/>
    <s v="2025-8259"/>
    <s v="Higher Education Awards"/>
    <s v="Emmanuel Adebowale Fajemisin"/>
    <s v="emmafajems16@gmail.com"/>
    <x v="0"/>
    <x v="1"/>
    <x v="0"/>
    <x v="0"/>
    <x v="0"/>
    <x v="8"/>
    <s v="Health Sciences"/>
    <s v="CB"/>
    <x v="0"/>
    <s v="Completed"/>
    <s v="University of Cape Town (UCT), South Africa"/>
    <s v="Chemical Biology"/>
    <s v="Medical Biotechnology and Cancer Immunotherapy"/>
    <d v="2026-01-26T00:00:00"/>
    <n v="2"/>
    <s v="_x000d__x000a_164180_x000d__x000a_"/>
    <s v="_x000d__x000a_164180_x000d__x000a_"/>
    <s v="_x000d__x000a_0_x000d__x000a_"/>
  </r>
  <r>
    <s v="10/12/2025"/>
    <s v="2025-8321"/>
    <s v="Higher Education Awards"/>
    <s v="Anneli Beukes"/>
    <s v="annelstheron@gmail.com"/>
    <x v="0"/>
    <x v="0"/>
    <x v="1"/>
    <x v="1"/>
    <x v="0"/>
    <x v="6"/>
    <s v="Social Sciences"/>
    <s v="CB"/>
    <x v="0"/>
    <s v="Draft"/>
    <s v="University of Cape Town"/>
    <s v="Masters Programme in Clinical Social Work"/>
    <s v="Disruption of Attachment (most possible topic, yet to be confirmed)"/>
    <d v="2025-02-18T00:00:00"/>
    <n v="2"/>
    <s v="_x000d__x000a_56000_x000d__x000a_"/>
    <s v="_x000d__x000a_91000_x000d__x000a_"/>
    <s v="_x000d__x000a_0_x000d__x000a_"/>
  </r>
  <r>
    <s v="10/12/2025"/>
    <s v="2025-9267"/>
    <s v="Higher Education Awards"/>
    <s v="Glen Maimela"/>
    <s v="glenmaimela95@gmail.com"/>
    <x v="0"/>
    <x v="1"/>
    <x v="0"/>
    <x v="0"/>
    <x v="0"/>
    <x v="6"/>
    <s v="Social Sciences"/>
    <s v="CB"/>
    <x v="0"/>
    <s v="Draft"/>
    <s v="Free State University"/>
    <s v="PhD in African Studies"/>
    <s v="Understanding Indigenous Communities’ Preparedness Towards the Just Energy Transition: Prospects and Challenges on Sustainable Livelihood"/>
    <d v="2026-01-27T00:00:00"/>
    <n v="3"/>
    <s v="_x000d__x000a_50000_x000d__x000a_"/>
    <s v="_x000d__x000a_94950_x000d__x000a_"/>
    <s v="_x000d__x000a_54450_x000d__x000a_"/>
  </r>
  <r>
    <s v="10/12/2025"/>
    <s v="2025-9073"/>
    <s v="Higher Education Awards"/>
    <s v="Natalie Davidson"/>
    <s v="nataliedavidson2606@gmail.com"/>
    <x v="0"/>
    <x v="1"/>
    <x v="1"/>
    <x v="1"/>
    <x v="0"/>
    <x v="2"/>
    <s v="Humanities"/>
    <s v="CB"/>
    <x v="0"/>
    <s v="Completed"/>
    <s v="University of Cape Town"/>
    <s v="PhD in Research Psychology"/>
    <s v="Beyond Presence: navigating involvement and caring amongst adolescent and young fathers in South Africa. What are adolescent and young fathers’ experiences of involvement in the lives of their children? How best can adolescent fathers be supported to become involved in the lives of their children?"/>
    <d v="2026-02-16T00:00:00"/>
    <n v="3"/>
    <s v="_x000d__x000a_381764.23_x000d__x000a_"/>
    <s v="_x000d__x000a_522461.79_x000d__x000a_"/>
    <s v="_x000d__x000a_522764.23_x000d__x000a_"/>
  </r>
  <r>
    <s v="10/12/2025"/>
    <s v="2025-8703"/>
    <s v="Higher Education Awards"/>
    <s v="Matsatsi Jerminah Teffu"/>
    <s v="jerminahteffu@gmail.com"/>
    <x v="0"/>
    <x v="0"/>
    <x v="0"/>
    <x v="1"/>
    <x v="0"/>
    <x v="1"/>
    <s v="Engineering &amp; the Built Environment"/>
    <s v="CB"/>
    <x v="0"/>
    <s v="Completed"/>
    <s v="University of Pretoria"/>
    <s v="Master of Town and Regional Planning"/>
    <s v="Traditional Land, Spatial Inequality, and Sustainable Development: Rethinking Planning Approaches in Rural South Africa"/>
    <d v="2026-01-05T00:00:00"/>
    <n v="2"/>
    <s v="_x000d__x000a_75150_x000d__x000a_"/>
    <s v="_x000d__x000a_93150_x000d__x000a_"/>
    <s v="_x000d__x000a_0_x000d__x000a_"/>
  </r>
  <r>
    <s v="10/12/2025"/>
    <s v="2025-8705"/>
    <s v="Higher Education Awards"/>
    <s v="Cameron Garde"/>
    <s v="26243008@sun.ac.za"/>
    <x v="0"/>
    <x v="0"/>
    <x v="1"/>
    <x v="0"/>
    <x v="0"/>
    <x v="1"/>
    <s v="Engineering &amp; the Built Environment"/>
    <s v="CB"/>
    <x v="0"/>
    <s v="Draft"/>
    <s v="Stellenbosch University"/>
    <s v="BEng Mechanical"/>
    <s v="Numerical Simulation of Wind Mitigation in Natural Draft ACCs for Concentrated Solar Power"/>
    <d v="2026-01-05T00:00:00"/>
    <n v="2"/>
    <s v="_x000d__x000a_127000_x000d__x000a_"/>
    <s v="_x000d__x000a_133350_x000d__x000a_"/>
    <s v="_x000d__x000a_0_x000d__x000a_"/>
  </r>
  <r>
    <s v="10/12/2025"/>
    <s v="2025-9963"/>
    <s v="Higher Education Awards"/>
    <s v="Ipeleng Pooa"/>
    <s v="u18232745@tuks.co.za"/>
    <x v="0"/>
    <x v="0"/>
    <x v="0"/>
    <x v="1"/>
    <x v="0"/>
    <x v="5"/>
    <s v="Natural Sciences"/>
    <s v="CB"/>
    <x v="0"/>
    <s v="Completed"/>
    <s v="University of Pretoria"/>
    <s v="MSc Microbiology"/>
    <s v="Towards Gene Editing for Resistance against Banana Bunchy Top Virus (BBTV)in Banana (Musa spp.)"/>
    <d v="2025-01-06T00:00:00"/>
    <n v="1"/>
    <s v="_x000d__x000a_123455_x000d__x000a_"/>
    <s v="_x000d__x000a_0_x000d__x000a_"/>
    <s v="_x000d__x000a_0_x000d__x000a_"/>
  </r>
  <r>
    <s v="10/12/2025"/>
    <s v="2025-9275"/>
    <s v="Higher Education Awards"/>
    <s v="Arni Le Roux"/>
    <s v="arnileroux@gmail.com"/>
    <x v="0"/>
    <x v="1"/>
    <x v="1"/>
    <x v="0"/>
    <x v="0"/>
    <x v="5"/>
    <s v="Natural Sciences"/>
    <s v="CB"/>
    <x v="0"/>
    <s v="Completed"/>
    <s v="University of the Free State, Qwaqwa"/>
    <s v="PhD Botany"/>
    <s v="A first comprehensive Floristic Survey of the Low Free State - KwaZulu Natal Escarpment"/>
    <d v="2026-04-01T00:00:00"/>
    <n v="3"/>
    <s v="_x000d__x000a_160000_x000d__x000a_"/>
    <s v="_x000d__x000a_160000_x000d__x000a_"/>
    <s v="_x000d__x000a_160000_x000d__x000a_"/>
  </r>
  <r>
    <s v="10/12/2025"/>
    <s v="2025-9783"/>
    <s v="Higher Education Awards"/>
    <s v="Amy Laura Hoad"/>
    <s v="amy.laura.hoad@gmail.com"/>
    <x v="0"/>
    <x v="0"/>
    <x v="1"/>
    <x v="1"/>
    <x v="0"/>
    <x v="5"/>
    <s v="Natural Sciences"/>
    <s v="CB"/>
    <x v="0"/>
    <s v="Completed"/>
    <s v="Nelson Mandela University"/>
    <s v="Master of Science"/>
    <s v="Nature Conservation"/>
    <d v="2025-01-01T00:00:00"/>
    <n v="2"/>
    <s v="_x000d__x000a_132000_x000d__x000a_"/>
    <s v="_x000d__x000a_27000_x000d__x000a_"/>
    <s v="_x000d__x000a_0_x000d__x000a_"/>
  </r>
  <r>
    <s v="10/12/2025"/>
    <s v="2025-9293"/>
    <s v="Higher Education Awards"/>
    <s v="Joshua Passmore"/>
    <s v="joshuapassmore@me.com"/>
    <x v="0"/>
    <x v="1"/>
    <x v="1"/>
    <x v="0"/>
    <x v="0"/>
    <x v="0"/>
    <s v="Natural Sciences"/>
    <s v="CB"/>
    <x v="0"/>
    <s v="Completed"/>
    <s v="University of the Western Cape"/>
    <s v="PhD specialising in Mathematics"/>
    <s v="Pointfree topology"/>
    <d v="2026-02-09T00:00:00"/>
    <n v="3"/>
    <s v="_x000d__x000a_285600_x000d__x000a_"/>
    <s v="_x000d__x000a_253975_x000d__x000a_"/>
    <s v="_x000d__x000a_266839.24_x000d__x000a_"/>
  </r>
  <r>
    <s v="10/12/2025"/>
    <s v="2025-8648"/>
    <s v="Higher Education Awards"/>
    <s v="NOMPILO NOKWANDA NZAMA"/>
    <s v="nzamanompilon@gmail.com"/>
    <x v="0"/>
    <x v="0"/>
    <x v="0"/>
    <x v="1"/>
    <x v="0"/>
    <x v="2"/>
    <s v="Humanities"/>
    <s v="CB"/>
    <x v="0"/>
    <s v="Draft"/>
    <s v="University of KwaZulu Natal"/>
    <s v="Masters in Drama and Performance Studies"/>
    <s v="Liberating movement pedagogy: An investigation on decolonizing contemporary ballet dance on South African CAPS curriculum in rural public schools- a case study of Nsiwa Primary School grade 7 learners."/>
    <d v="2026-01-15T00:00:00"/>
    <n v="1"/>
    <s v="_x000d__x000a_-161418_x000d__x000a_"/>
    <s v="_x000d__x000a_0_x000d__x000a_"/>
    <s v="_x000d__x000a_0_x000d__x000a_"/>
  </r>
  <r>
    <s v="10/12/2025"/>
    <s v="2025-9079"/>
    <s v="Higher Education Awards"/>
    <s v="Ntando Ndinisa"/>
    <s v="ntandondinisa@gmail.com"/>
    <x v="0"/>
    <x v="1"/>
    <x v="0"/>
    <x v="1"/>
    <x v="0"/>
    <x v="8"/>
    <s v="Health Sciences"/>
    <s v="CB"/>
    <x v="42"/>
    <s v="Completed"/>
    <s v="University of the Witwatersrand"/>
    <s v="Molecular Biomarkers as Clinical Outcome Measures to Predict Patient Recovery in Spinal Arthroplasty"/>
    <s v="Orthopaedics Spine Research"/>
    <d v="2026-01-12T00:00:00"/>
    <n v="3"/>
    <s v="_x000d__x000a_290030.05_x000d__x000a_"/>
    <s v="_x000d__x000a_296157.47_x000d__x000a_"/>
    <s v="_x000d__x000a_328499.73_x000d__x000a_"/>
  </r>
  <r>
    <s v="10/12/2025"/>
    <s v="2025-9465"/>
    <s v="Higher Education Awards"/>
    <s v="Kurauone Masungo"/>
    <s v="kuramasungo@gmail.com"/>
    <x v="0"/>
    <x v="2"/>
    <x v="0"/>
    <x v="0"/>
    <x v="0"/>
    <x v="6"/>
    <s v="Social Sciences"/>
    <s v="CB"/>
    <x v="0"/>
    <s v="Draft"/>
    <s v="University of the Free State"/>
    <s v="Postdoctoral level"/>
    <s v="Fostering Political Freedoms for Sustainable Transformation in University"/>
    <d v="2026-01-01T00:00:00"/>
    <n v="2"/>
    <s v="_x000d__x000a_310000_x000d__x000a_"/>
    <s v="_x000d__x000a_310000_x000d__x000a_"/>
    <s v="_x000d__x000a_0_x000d__x000a_"/>
  </r>
  <r>
    <s v="10/12/2025"/>
    <s v="2025-8723"/>
    <s v="Higher Education Awards"/>
    <s v="Sanele Faith Myeni"/>
    <s v="Sanelemyeni75@gmail.com"/>
    <x v="0"/>
    <x v="0"/>
    <x v="0"/>
    <x v="1"/>
    <x v="0"/>
    <x v="0"/>
    <s v="Natural Sciences"/>
    <s v="CB"/>
    <x v="21"/>
    <s v="Completed"/>
    <s v="University of zululand"/>
    <s v="Master in chemistry"/>
    <s v="Drug repositioning and/ or hybridization as a route to anti-infectives such as malaria"/>
    <d v="2026-02-03T00:00:00"/>
    <n v="1"/>
    <s v="_x000d__x000a_122000_x000d__x000a_"/>
    <s v="_x000d__x000a_0_x000d__x000a_"/>
    <s v="_x000d__x000a_0_x000d__x000a_"/>
  </r>
  <r>
    <s v="10/12/2025"/>
    <s v="2025-9966"/>
    <s v="Higher Education Awards"/>
    <s v="Charissa Shay"/>
    <s v="charissashay92@gmail.com"/>
    <x v="3"/>
    <x v="1"/>
    <x v="1"/>
    <x v="1"/>
    <x v="0"/>
    <x v="2"/>
    <s v="Humanities"/>
    <s v="CB"/>
    <x v="0"/>
    <s v="Completed"/>
    <s v="University of Johannesburg"/>
    <s v="Education PhD"/>
    <s v="(Dis)empowerment of learners on School Governing Bodies in South Africa."/>
    <d v="2026-01-01T00:00:00"/>
    <n v="3"/>
    <s v="_x000d__x000a_346210_x000d__x000a_"/>
    <s v="_x000d__x000a_345210_x000d__x000a_"/>
    <s v="_x000d__x000a_344210_x000d__x000a_"/>
  </r>
  <r>
    <s v="10/12/2025"/>
    <s v="2025-9254"/>
    <s v="Higher Education Awards"/>
    <s v="Bonaventure Kgaogelo Mashego"/>
    <s v="kgaubon@gmail.com"/>
    <x v="0"/>
    <x v="0"/>
    <x v="0"/>
    <x v="0"/>
    <x v="0"/>
    <x v="1"/>
    <s v="Engineering &amp; the Built Environment"/>
    <s v="CB"/>
    <x v="0"/>
    <s v="Draft"/>
    <s v="University Of Cape Town"/>
    <s v="Master of Philosophy in Conservation of the Built Environment"/>
    <s v="Built environment conservation, Heritage resource management, Transformative conservation practices, spatial justice and sustainable cultural futures"/>
    <d v="2026-02-23T00:00:00"/>
    <n v="2"/>
    <s v="_x000d__x000a_150009_x000d__x000a_"/>
    <s v="_x000d__x000a_150009_x000d__x000a_"/>
    <s v="_x000d__x000a_0_x000d__x000a_"/>
  </r>
  <r>
    <s v="10/12/2025"/>
    <s v="2025-9892"/>
    <s v="Higher Education Awards"/>
    <s v="Gerhard Venter"/>
    <s v="gventer@sun.ac.za"/>
    <x v="0"/>
    <x v="3"/>
    <x v="1"/>
    <x v="0"/>
    <x v="1"/>
    <x v="1"/>
    <s v="Engineering &amp; the Built Environment"/>
    <s v="CB"/>
    <x v="0"/>
    <s v="Completed"/>
    <s v="Hochschule Esslingen - University of Applied Sciences"/>
    <s v="Computational Structural Mechanics"/>
    <s v="Digital Image Correlation"/>
    <d v="2026-04-01T00:00:00"/>
    <n v="1"/>
    <s v="_x000d__x000a_148931.25_x000d__x000a_"/>
    <s v="_x000d__x000a_0_x000d__x000a_"/>
    <s v="_x000d__x000a_0_x000d__x000a_"/>
  </r>
  <r>
    <s v="10/12/2025"/>
    <s v="2025-9456"/>
    <s v="Higher Education Awards"/>
    <s v="Anathi Ntsevu"/>
    <s v="ntsevua@gmail.com"/>
    <x v="0"/>
    <x v="0"/>
    <x v="0"/>
    <x v="1"/>
    <x v="0"/>
    <x v="0"/>
    <s v="Natural Sciences"/>
    <s v="CB"/>
    <x v="0"/>
    <s v="Completed"/>
    <s v="Nelson Mandela University"/>
    <s v="Masters Chemistry"/>
    <s v="Continuous flow synthesis of a key intermediate toward gemifloxacin"/>
    <d v="2026-01-10T00:00:00"/>
    <n v="1"/>
    <s v="_x000d__x000a_120070_x000d__x000a_"/>
    <s v="_x000d__x000a_0_x000d__x000a_"/>
    <s v="_x000d__x000a_0_x000d__x000a_"/>
  </r>
  <r>
    <s v="10/12/2025"/>
    <s v="2025-8984"/>
    <s v="Higher Education Awards"/>
    <s v="Sesam Nomvete"/>
    <s v="2332360@students.wits.ac.za"/>
    <x v="0"/>
    <x v="0"/>
    <x v="0"/>
    <x v="1"/>
    <x v="0"/>
    <x v="6"/>
    <s v="Social Sciences"/>
    <s v="CB"/>
    <x v="0"/>
    <s v="Completed"/>
    <s v="University of the Witswatersrand"/>
    <s v="Masters of Arts in Development Studies"/>
    <s v="Sociology of Education: An exploration of philosophy departments in South African universities"/>
    <d v="2026-02-02T00:00:00"/>
    <n v="2"/>
    <s v="_x000d__x000a_133400_x000d__x000a_"/>
    <s v="_x000d__x000a_81400_x000d__x000a_"/>
    <s v="_x000d__x000a_0_x000d__x000a_"/>
  </r>
  <r>
    <s v="10/12/2025"/>
    <s v="2025-9251"/>
    <s v="Higher Education Awards"/>
    <s v="Michael Burgess"/>
    <s v="burgessmichael.mb@gmail.com"/>
    <x v="1"/>
    <x v="0"/>
    <x v="2"/>
    <x v="0"/>
    <x v="1"/>
    <x v="1"/>
    <s v="Engineering &amp; the Built Environment"/>
    <s v="CB"/>
    <x v="15"/>
    <s v="Completed"/>
    <s v="Washington University in St. Louis, USA"/>
    <s v="Engineering"/>
    <s v="Mechanical/ Aeronautical Engineering"/>
    <d v="2025-08-25T00:00:00"/>
    <n v="3"/>
    <s v="_x000d__x000a_1349929.5_x000d__x000a_"/>
    <s v="_x000d__x000a_1251394.5_x000d__x000a_"/>
    <s v="_x000d__x000a_1152859.5_x000d__x000a_"/>
  </r>
  <r>
    <s v="10/12/2025"/>
    <s v="2025-8208"/>
    <s v="Higher Education Awards"/>
    <s v="Tebogo Malope"/>
    <s v="b.t.malope@gmail.com"/>
    <x v="0"/>
    <x v="0"/>
    <x v="0"/>
    <x v="1"/>
    <x v="0"/>
    <x v="8"/>
    <s v="Health Sciences"/>
    <s v="CB"/>
    <x v="0"/>
    <s v="Completed"/>
    <s v="University of Cape Town"/>
    <s v="MSc Med in Clinical Sciences and Immunology"/>
    <s v="In-vitro Effects of Immunomodulatory Strategies in DRESS and TB Immune Responses in HIV"/>
    <d v="2025-01-13T00:00:00"/>
    <n v="1"/>
    <s v="_x000d__x000a_245000_x000d__x000a_"/>
    <s v="_x000d__x000a_0_x000d__x000a_"/>
    <s v="_x000d__x000a_0_x000d__x000a_"/>
  </r>
  <r>
    <s v="10/12/2025"/>
    <s v="2025-9641"/>
    <s v="Higher Education Awards"/>
    <s v="ROBERT RUHANGARIYO"/>
    <s v="rhnrob002@myuct.ac.za"/>
    <x v="0"/>
    <x v="1"/>
    <x v="0"/>
    <x v="0"/>
    <x v="0"/>
    <x v="8"/>
    <s v="Health Sciences"/>
    <s v="CB"/>
    <x v="0"/>
    <s v="Completed"/>
    <s v="University of Cape Town"/>
    <s v="PhD in Clinical Science and Immunology"/>
    <s v="INVESTIGATING THE FUNCTION OF SESTRIN 1 AND SESTRIN 2 (SESN1/2) GENE IN LISTERIA MONOCYTOGENES INFECTION"/>
    <d v="2026-02-01T00:00:00"/>
    <n v="3"/>
    <s v="_x000d__x000a_271200_x000d__x000a_"/>
    <s v="_x000d__x000a_271200_x000d__x000a_"/>
    <s v="_x000d__x000a_271200_x000d__x000a_"/>
  </r>
  <r>
    <s v="10/12/2025"/>
    <s v="2025-9773"/>
    <s v="Higher Education Awards"/>
    <s v="Temashengu Tshabalala"/>
    <s v="temashengult@gmail.com"/>
    <x v="0"/>
    <x v="0"/>
    <x v="0"/>
    <x v="1"/>
    <x v="0"/>
    <x v="2"/>
    <s v="Humanities"/>
    <s v="CB"/>
    <x v="0"/>
    <s v="Completed"/>
    <s v="University of Witwatersrand"/>
    <s v="MA English Studies"/>
    <s v="Black and African literature"/>
    <d v="2026-01-02T00:00:00"/>
    <n v="1"/>
    <s v="_x000d__x000a_31500_x000d__x000a_"/>
    <s v="_x000d__x000a_0_x000d__x000a_"/>
    <s v="_x000d__x000a_0_x000d__x000a_"/>
  </r>
  <r>
    <s v="10/12/2025"/>
    <s v="2025-8628"/>
    <s v="Higher Education Awards"/>
    <s v="Thamsanda William Mayekiso"/>
    <s v="202104017@spu.ac.za"/>
    <x v="0"/>
    <x v="0"/>
    <x v="0"/>
    <x v="0"/>
    <x v="0"/>
    <x v="2"/>
    <s v="Humanities"/>
    <s v="CB"/>
    <x v="21"/>
    <s v="Completed"/>
    <s v="Sol Plaatje University, Wits University and UCT."/>
    <s v="Archaeology"/>
    <s v="Faunal Evidence: Subsistence Practices of Later Stone Age Hunter-Gatherers: A Continuation Study at Bundu Farm"/>
    <d v="2025-07-19T00:00:00"/>
    <n v="2"/>
    <s v="_x000d__x000a_185040_x000d__x000a_"/>
    <s v="_x000d__x000a_200040_x000d__x000a_"/>
    <s v="_x000d__x000a_0_x000d__x000a_"/>
  </r>
  <r>
    <s v="10/12/2025"/>
    <s v="2025-10006"/>
    <s v="Higher Education Awards"/>
    <s v="Danél Smit"/>
    <s v="danelsmit25@gmail.com"/>
    <x v="3"/>
    <x v="0"/>
    <x v="1"/>
    <x v="1"/>
    <x v="1"/>
    <x v="7"/>
    <s v="Law"/>
    <s v="CB"/>
    <x v="0"/>
    <s v="Completed"/>
    <s v="Lindenwood University"/>
    <s v="Law"/>
    <s v="Criminal Justice"/>
    <d v="2026-01-05T00:00:00"/>
    <n v="2"/>
    <s v="_x000d__x000a_394140_x000d__x000a_"/>
    <s v="_x000d__x000a_394140_x000d__x000a_"/>
    <s v="_x000d__x000a_0_x000d__x000a_"/>
  </r>
  <r>
    <s v="10/12/2025"/>
    <s v="2025-9479"/>
    <s v="Higher Education Awards"/>
    <s v="Thabo Khumalo"/>
    <s v="thabolebokhumalo@gmail.com"/>
    <x v="0"/>
    <x v="0"/>
    <x v="0"/>
    <x v="0"/>
    <x v="0"/>
    <x v="2"/>
    <s v="Humanities"/>
    <s v="CB"/>
    <x v="0"/>
    <s v="Completed"/>
    <s v="University of Pretoria/University of Johannesburg"/>
    <s v="MEd"/>
    <s v="The Impact of Physical and Psychological Classroom Environment  on Creativity in Early Childhood Education."/>
    <d v="2026-01-01T00:00:00"/>
    <n v="2"/>
    <s v="_x000d__x000a_196500_x000d__x000a_"/>
    <s v="_x000d__x000a_196500_x000d__x000a_"/>
    <s v="_x000d__x000a_0_x000d__x000a_"/>
  </r>
  <r>
    <s v="10/12/2025"/>
    <s v="2025-9072"/>
    <s v="Higher Education Awards"/>
    <s v="Alexandra Kawecki"/>
    <s v="kawecki.alexandra@gmail.com"/>
    <x v="0"/>
    <x v="0"/>
    <x v="1"/>
    <x v="1"/>
    <x v="0"/>
    <x v="5"/>
    <s v="Natural Sciences"/>
    <s v="CB"/>
    <x v="0"/>
    <s v="Completed"/>
    <s v="University of Cape Town"/>
    <s v="MSc, Nature Conservation"/>
    <s v="AI and citizen science"/>
    <d v="2026-01-01T00:00:00"/>
    <n v="1"/>
    <s v="_x000d__x000a_341159_x000d__x000a_"/>
    <s v="_x000d__x000a_0_x000d__x000a_"/>
    <s v="_x000d__x000a_0_x000d__x000a_"/>
  </r>
  <r>
    <s v="10/12/2025"/>
    <s v="2025-8556"/>
    <s v="Higher Education Awards"/>
    <s v="Mbalenhle Ntuli"/>
    <s v="21958092@sun.ac.za"/>
    <x v="0"/>
    <x v="1"/>
    <x v="0"/>
    <x v="1"/>
    <x v="0"/>
    <x v="8"/>
    <s v="Natural Sciences"/>
    <s v="CB"/>
    <x v="0"/>
    <s v="Completed"/>
    <s v="Stellenbosch University"/>
    <s v="PhD Physiological Sciences- Thesis"/>
    <s v="Neuro Research"/>
    <d v="2026-02-01T00:00:00"/>
    <n v="3"/>
    <s v="_x000d__x000a_211015_x000d__x000a_"/>
    <s v="_x000d__x000a_222000_x000d__x000a_"/>
    <s v="_x000d__x000a_222500_x000d__x000a_"/>
  </r>
  <r>
    <s v="10/12/2025"/>
    <s v="2025-9836"/>
    <s v="Higher Education Awards"/>
    <s v="Jenna Muhlberg"/>
    <s v="mhljen002@myuct.ac.za"/>
    <x v="0"/>
    <x v="1"/>
    <x v="1"/>
    <x v="1"/>
    <x v="0"/>
    <x v="8"/>
    <s v="Health Sciences"/>
    <s v="CB"/>
    <x v="0"/>
    <s v="Completed"/>
    <s v="University of Cape Town"/>
    <s v="PhD (Med) in Medical Cell Biology"/>
    <s v="Cancer biology"/>
    <d v="2026-02-01T00:00:00"/>
    <n v="2"/>
    <s v="_x000d__x000a_63000_x000d__x000a_"/>
    <s v="_x000d__x000a_63000_x000d__x000a_"/>
    <s v="_x000d__x000a_0_x000d__x000a_"/>
  </r>
  <r>
    <s v="10/12/2025"/>
    <s v="2025-9920"/>
    <s v="Higher Education Awards"/>
    <s v="Wilika Polla"/>
    <s v="wilkapolla@gmail.com"/>
    <x v="0"/>
    <x v="0"/>
    <x v="0"/>
    <x v="1"/>
    <x v="0"/>
    <x v="5"/>
    <s v="Applied Sciences"/>
    <s v="CB"/>
    <x v="0"/>
    <s v="Completed"/>
    <s v="University of the Witwatersrand"/>
    <s v="Masters in Geophysics"/>
    <s v="Borehole logging"/>
    <d v="2026-01-01T00:00:00"/>
    <n v="2"/>
    <s v="_x000d__x000a_120000_x000d__x000a_"/>
    <s v="_x000d__x000a_120000_x000d__x000a_"/>
    <s v="_x000d__x000a_0_x000d__x000a_"/>
  </r>
  <r>
    <s v="10/12/2025"/>
    <s v="2025-9469"/>
    <s v="Higher Education Awards"/>
    <s v="Rabelani Mudzuli"/>
    <s v="u21482782@tuks.co.za"/>
    <x v="0"/>
    <x v="0"/>
    <x v="0"/>
    <x v="1"/>
    <x v="0"/>
    <x v="8"/>
    <s v="Health Sciences"/>
    <s v="CB"/>
    <x v="0"/>
    <s v="Draft"/>
    <s v="University of Pretoria"/>
    <s v="MSc Medical Virology"/>
    <s v="Human Papillomavirus Research, Vaccinology, Phylogenetic lineages and understanding the genetic relatedness between the HPV variants"/>
    <d v="2026-01-05T00:00:00"/>
    <n v="1"/>
    <s v="_x000d__x000a_113555_x000d__x000a_"/>
    <s v="_x000d__x000a_0_x000d__x000a_"/>
    <s v="_x000d__x000a_0_x000d__x000a_"/>
  </r>
  <r>
    <s v="10/12/2025"/>
    <s v="2025-9995"/>
    <s v="Higher Education Awards"/>
    <s v="Hope Thulare"/>
    <s v="khanyi.thulare@gmail.com"/>
    <x v="3"/>
    <x v="0"/>
    <x v="0"/>
    <x v="1"/>
    <x v="0"/>
    <x v="8"/>
    <s v="Health Sciences"/>
    <s v="CB"/>
    <x v="21"/>
    <s v="Completed"/>
    <s v="University of Cape Town"/>
    <s v="MSc in Epidemiology and Biostatistics"/>
    <s v="Evaluation of the association of BMI and MUAC of the first antenatal care visit before 30 weeks of gestation of women booking at Gugulethu Midwife Obstetrics Unit (GMOU) in the Western Cape, South Africa, to validate the reliability of MUAC as a surrogate for BMI in pregnant women."/>
    <d v="2025-02-27T00:00:00"/>
    <n v="1"/>
    <s v="_x000d__x000a_637000_x000d__x000a_"/>
    <s v="_x000d__x000a_0_x000d__x000a_"/>
    <s v="_x000d__x000a_0_x000d__x000a_"/>
  </r>
  <r>
    <s v="10/12/2025"/>
    <s v="2025-9998"/>
    <s v="Higher Education Awards"/>
    <s v="Lauren Marsha Grootboom"/>
    <s v="GRTLAU002@myuct.ac.za"/>
    <x v="0"/>
    <x v="1"/>
    <x v="0"/>
    <x v="1"/>
    <x v="0"/>
    <x v="1"/>
    <s v="Engineering &amp; the Built Environment"/>
    <s v="CB"/>
    <x v="0"/>
    <s v="Completed"/>
    <s v="University of Cape Town"/>
    <s v="PhD Civil Engineering"/>
    <s v="Indigenous Knowledge Systems, Women and Water Systems in South Africa"/>
    <d v="2025-02-15T00:00:00"/>
    <n v="3"/>
    <s v="_x000d__x000a_50000_x000d__x000a_"/>
    <s v="_x000d__x000a_250000_x000d__x000a_"/>
    <s v="_x000d__x000a_250000_x000d__x000a_"/>
  </r>
  <r>
    <s v="10/12/2025"/>
    <s v="2025-9200"/>
    <s v="Higher Education Awards"/>
    <s v="Osamamwen Osifo"/>
    <s v="2445330@students.wits.ac.za"/>
    <x v="0"/>
    <x v="0"/>
    <x v="0"/>
    <x v="1"/>
    <x v="0"/>
    <x v="8"/>
    <s v="Health Sciences"/>
    <s v="CB"/>
    <x v="0"/>
    <s v="Completed"/>
    <s v="University of the Witwatersrand"/>
    <s v="MSc in Epidemiology"/>
    <s v="Epidemiology and Biostatistics"/>
    <d v="2025-01-20T00:00:00"/>
    <n v="1"/>
    <s v="_x000d__x000a_196000_x000d__x000a_"/>
    <s v="_x000d__x000a_0_x000d__x000a_"/>
    <s v="_x000d__x000a_0_x000d__x000a_"/>
  </r>
  <r>
    <s v="10/12/2025"/>
    <s v="2025-9673"/>
    <s v="Higher Education Awards"/>
    <s v="Neha Seupersad"/>
    <s v="seupersad.neha@gmail.com"/>
    <x v="0"/>
    <x v="1"/>
    <x v="4"/>
    <x v="1"/>
    <x v="0"/>
    <x v="0"/>
    <s v="Natural Sciences"/>
    <s v="CB"/>
    <x v="0"/>
    <s v="Completed"/>
    <s v="University of the Witwatersrand"/>
    <s v="PhD Biochemistry and Cell Biology"/>
    <s v="Antimicrobial susceptibility testing"/>
    <d v="2026-02-05T00:00:00"/>
    <n v="3"/>
    <s v="_x000d__x000a_231000_x000d__x000a_"/>
    <s v="_x000d__x000a_258000_x000d__x000a_"/>
    <s v="_x000d__x000a_272000_x000d__x000a_"/>
  </r>
  <r>
    <s v="10/12/2025"/>
    <s v="2025-9433"/>
    <s v="Higher Education Awards"/>
    <s v="Phemelo Tshoke"/>
    <s v="tshokeps@gmail.com"/>
    <x v="0"/>
    <x v="0"/>
    <x v="0"/>
    <x v="1"/>
    <x v="0"/>
    <x v="8"/>
    <s v="Natural Sciences"/>
    <s v="CB"/>
    <x v="0"/>
    <s v="Completed"/>
    <s v="University of the Witwatersrand"/>
    <s v="MSc in Molecular and Cell Biology"/>
    <s v="Protein Biochemistry and Structural Biology"/>
    <d v="2025-01-31T00:00:00"/>
    <n v="1"/>
    <s v="_x000d__x000a_180600_x000d__x000a_"/>
    <s v="_x000d__x000a_0_x000d__x000a_"/>
    <s v="_x000d__x000a_0_x000d__x000a_"/>
  </r>
  <r>
    <s v="10/12/2025"/>
    <s v="2025-8498"/>
    <s v="Higher Education Awards"/>
    <s v="Thembelihle Myeza"/>
    <s v="thembelihlemyeza124@gmail.com"/>
    <x v="0"/>
    <x v="0"/>
    <x v="0"/>
    <x v="1"/>
    <x v="0"/>
    <x v="8"/>
    <s v="Health Sciences"/>
    <s v="CB"/>
    <x v="0"/>
    <s v="Completed"/>
    <s v="University of Witwatersrand"/>
    <s v=""/>
    <s v="The association of galectin-3 and NKCC-2 with cardiac dysfunction in adenine-induced CKD rats."/>
    <d v="2026-02-02T00:00:00"/>
    <n v="1"/>
    <s v="_x000d__x000a_173944_x000d__x000a_"/>
    <s v="_x000d__x000a_0_x000d__x000a_"/>
    <s v="_x000d__x000a_0_x000d__x000a_"/>
  </r>
  <r>
    <s v="10/12/2025"/>
    <s v="2025-9418"/>
    <s v="Higher Education Awards"/>
    <s v="Jess Capstick-Dale"/>
    <s v="jess.capstickdale@gmail.com"/>
    <x v="0"/>
    <x v="1"/>
    <x v="1"/>
    <x v="1"/>
    <x v="0"/>
    <x v="4"/>
    <s v="Commerce &amp; Management"/>
    <s v="CB"/>
    <x v="0"/>
    <s v="Completed"/>
    <s v="University of Cape Town"/>
    <s v="Digital labour and economic inclusion"/>
    <s v="The relationship between low income mothers' unpaid care work and their participation in the digital economy"/>
    <d v="2025-03-28T00:00:00"/>
    <n v="2"/>
    <s v="_x000d__x000a_337985_x000d__x000a_"/>
    <s v="_x000d__x000a_262720_x000d__x000a_"/>
    <s v="_x000d__x000a_279170_x000d__x000a_"/>
  </r>
  <r>
    <s v="10/12/2025"/>
    <s v="2025-9216"/>
    <s v="Higher Education Awards"/>
    <s v="Zukanye Tshandu"/>
    <s v="1737959@students.wits.ac.za"/>
    <x v="0"/>
    <x v="0"/>
    <x v="0"/>
    <x v="1"/>
    <x v="0"/>
    <x v="6"/>
    <s v="Performing &amp; Creative Arts"/>
    <s v="CB"/>
    <x v="0"/>
    <s v="Completed"/>
    <s v="The University of the Witwaterstrand"/>
    <s v="Masters in Cultural Policy Management"/>
    <s v="Exploring the impact of colonial and apartheid legacies on the economic status of black artists in democratic South Africa."/>
    <d v="2025-02-10T00:00:00"/>
    <n v="2"/>
    <s v="_x000d__x000a_177632_x000d__x000a_"/>
    <s v="_x000d__x000a_243218_x000d__x000a_"/>
    <s v="_x000d__x000a_0_x000d__x000a_"/>
  </r>
  <r>
    <s v="10/12/2025"/>
    <s v="2025-9983"/>
    <s v="Higher Education Awards"/>
    <s v="Ariel Renée Monique Buyens"/>
    <s v="buyensariel@gmail.com"/>
    <x v="0"/>
    <x v="1"/>
    <x v="1"/>
    <x v="1"/>
    <x v="0"/>
    <x v="8"/>
    <s v="Health Sciences"/>
    <s v="CB"/>
    <x v="0"/>
    <s v="Completed"/>
    <s v="University of Pretoria"/>
    <s v="PhD in Medical Immunology"/>
    <s v="Metabolic biomarker discovery for Neonatal Encephalopathy with Suspected Hypoxic-Ischemic Encephalopathy (NESHIE) in a low- and middle-income country cohort."/>
    <d v="2025-01-29T00:00:00"/>
    <n v="2"/>
    <s v="_x000d__x000a_263640.6_x000d__x000a_"/>
    <s v="_x000d__x000a_211354.66_x000d__x000a_"/>
    <s v="_x000d__x000a_0_x000d__x000a_"/>
  </r>
  <r>
    <s v="10/12/2025"/>
    <s v="2025-9272"/>
    <s v="Higher Education Awards"/>
    <s v="Brandon Andrews"/>
    <s v="brandonhiltonandrews@gmail.com"/>
    <x v="0"/>
    <x v="1"/>
    <x v="2"/>
    <x v="0"/>
    <x v="0"/>
    <x v="2"/>
    <s v="Humanities"/>
    <s v="CB"/>
    <x v="0"/>
    <s v="Completed"/>
    <s v="University of Cape Town"/>
    <s v="PhD in Ethnomusicology"/>
    <s v="Reimagining the sonic landscape(s) of the Khoekhoe and San people through sites of memory located in the postcolony"/>
    <d v="2024-02-05T00:00:00"/>
    <n v="1"/>
    <s v="_x000d__x000a_270000_x000d__x000a_"/>
    <s v="_x000d__x000a_0_x000d__x000a_"/>
    <s v="_x000d__x000a_0_x000d__x000a_"/>
  </r>
  <r>
    <s v="10/12/2025"/>
    <s v="2025-8750"/>
    <s v="Higher Education Awards"/>
    <s v="Lexie Timina"/>
    <s v="timinamay@gmail.com"/>
    <x v="0"/>
    <x v="1"/>
    <x v="0"/>
    <x v="1"/>
    <x v="0"/>
    <x v="8"/>
    <s v="Health Sciences"/>
    <s v="CB"/>
    <x v="0"/>
    <s v="Completed"/>
    <s v="University of Cape Town"/>
    <s v="Doctor of philosophy (PhD) - (Medicine)"/>
    <s v="Blockchain-enabled bioethics for health data sharing"/>
    <d v="2026-03-02T00:00:00"/>
    <n v="3"/>
    <s v="_x000d__x000a_222170_x000d__x000a_"/>
    <s v="_x000d__x000a_223170_x000d__x000a_"/>
    <s v="_x000d__x000a_224170_x000d__x000a_"/>
  </r>
  <r>
    <s v="10/12/2025"/>
    <s v="2025-9210"/>
    <s v="Higher Education Awards"/>
    <s v="Manohy RAMANGASON"/>
    <s v="manohyramangason@gmail.com"/>
    <x v="1"/>
    <x v="0"/>
    <x v="0"/>
    <x v="1"/>
    <x v="0"/>
    <x v="4"/>
    <s v="Commerce &amp; Management"/>
    <s v="CB"/>
    <x v="43"/>
    <s v="Completed"/>
    <s v="University of Pretoria"/>
    <s v="Bachelor of commerce honours"/>
    <s v="Business Management"/>
    <d v="2026-01-05T00:00:00"/>
    <n v="2"/>
    <s v="_x000d__x000a_303369.56_x000d__x000a_"/>
    <s v="_x000d__x000a_338960.4_x000d__x000a_"/>
    <s v="_x000d__x000a_0_x000d__x000a_"/>
  </r>
  <r>
    <s v="10/12/2025"/>
    <s v="2025-8522"/>
    <s v="Higher Education Awards"/>
    <s v="Dumisile Precious Ncongwane"/>
    <s v="ncogwanedumisile@gmail.com"/>
    <x v="0"/>
    <x v="0"/>
    <x v="0"/>
    <x v="1"/>
    <x v="0"/>
    <x v="5"/>
    <s v="Natural Sciences"/>
    <s v="CB"/>
    <x v="0"/>
    <s v="Completed"/>
    <s v="University of the Free Srate"/>
    <s v="Chemistry"/>
    <s v="Water research"/>
    <d v="2026-01-01T00:00:00"/>
    <n v="2"/>
    <s v="_x000d__x000a_232000_x000d__x000a_"/>
    <s v="_x000d__x000a_232000_x000d__x000a_"/>
    <s v="_x000d__x000a_0_x000d__x000a_"/>
  </r>
  <r>
    <s v="10/12/2025"/>
    <s v="2025-9256"/>
    <s v="Higher Education Awards"/>
    <s v="Curtis Jeaven"/>
    <s v="curtisjeaven@gmail.com"/>
    <x v="0"/>
    <x v="1"/>
    <x v="2"/>
    <x v="0"/>
    <x v="0"/>
    <x v="2"/>
    <s v="Humanities"/>
    <s v="CB"/>
    <x v="0"/>
    <s v="Completed"/>
    <s v="University of the Western Cape"/>
    <s v="Arts and Humanities"/>
    <s v="Rock Art Presentation"/>
    <d v="2026-02-02T00:00:00"/>
    <n v="3"/>
    <s v="_x000d__x000a_160000_x000d__x000a_"/>
    <s v="_x000d__x000a_200000_x000d__x000a_"/>
    <s v="_x000d__x000a_140000_x000d__x000a_"/>
  </r>
  <r>
    <s v="10/12/2025"/>
    <s v="2025-9647"/>
    <s v="Higher Education Awards"/>
    <s v="Simbulele Charlotte Dunjwa"/>
    <s v="sdunjwa@sun.ac.za"/>
    <x v="0"/>
    <x v="0"/>
    <x v="0"/>
    <x v="1"/>
    <x v="0"/>
    <x v="0"/>
    <s v="Natural Sciences"/>
    <s v="CB"/>
    <x v="0"/>
    <s v="Completed"/>
    <s v="Stellenbosch University"/>
    <s v="Masters"/>
    <s v="Polymer Science"/>
    <d v="2025-01-14T00:00:00"/>
    <n v="1"/>
    <s v="_x000d__x000a_37500_x000d__x000a_"/>
    <s v="_x000d__x000a_0_x000d__x000a_"/>
    <s v="_x000d__x000a_0_x000d__x000a_"/>
  </r>
  <r>
    <s v="10/12/2025"/>
    <s v="2025-9878"/>
    <s v="Higher Education Awards"/>
    <s v="Sonja Louw"/>
    <s v="sonja.louw04@gmail.com"/>
    <x v="0"/>
    <x v="0"/>
    <x v="1"/>
    <x v="1"/>
    <x v="0"/>
    <x v="3"/>
    <s v="Performing &amp; Creative Arts"/>
    <s v="CB"/>
    <x v="0"/>
    <s v="Completed"/>
    <s v="Stellenbosch University"/>
    <s v="MA Drama and Theatre Studies-Thesis"/>
    <s v="How creative drama techniques contribute to education for sustainable development."/>
    <d v="2026-02-02T00:00:00"/>
    <n v="2"/>
    <s v="_x000d__x000a_206410_x000d__x000a_"/>
    <s v="_x000d__x000a_206410_x000d__x000a_"/>
    <s v="_x000d__x000a_0_x000d__x000a_"/>
  </r>
  <r>
    <s v="10/12/2025"/>
    <s v="2025-9487"/>
    <s v="Higher Education Awards"/>
    <s v="Lechè Tangee"/>
    <s v="leche.tangee01@gmail.com"/>
    <x v="0"/>
    <x v="0"/>
    <x v="2"/>
    <x v="1"/>
    <x v="0"/>
    <x v="3"/>
    <s v="Humanities"/>
    <s v="CB"/>
    <x v="0"/>
    <s v="Completed"/>
    <s v="The University of the Witwatersrand"/>
    <s v="Masters in Drama therapy"/>
    <s v="Art Therapy"/>
    <d v="2025-08-08T00:00:00"/>
    <n v="2"/>
    <s v="_x000d__x000a_139353_x000d__x000a_"/>
    <s v="_x000d__x000a_108517_x000d__x000a_"/>
    <s v="_x000d__x000a_0_x000d__x000a_"/>
  </r>
  <r>
    <s v="10/12/2025"/>
    <s v="2025-9767"/>
    <s v="Higher Education Awards"/>
    <s v="Muhammad Ilyaas Amien"/>
    <s v="amnmuh004@myuct.ac.za"/>
    <x v="3"/>
    <x v="1"/>
    <x v="4"/>
    <x v="0"/>
    <x v="0"/>
    <x v="8"/>
    <s v="Health Sciences"/>
    <s v="CB"/>
    <x v="8"/>
    <s v="Completed"/>
    <s v="University of Cape Town"/>
    <s v="PhD Psychiatry"/>
    <s v="Imaging genomics of Social Anxiety Disorder"/>
    <d v="2026-01-01T00:00:00"/>
    <n v="3"/>
    <s v="_x000d__x000a_380000_x000d__x000a_"/>
    <s v="_x000d__x000a_380000_x000d__x000a_"/>
    <s v="_x000d__x000a_380000_x000d__x000a_"/>
  </r>
  <r>
    <s v="10/12/2025"/>
    <s v="2025-9947"/>
    <s v="Higher Education Awards"/>
    <s v="Loriane Yanclo"/>
    <s v="lorianeyanclo@gmail.com"/>
    <x v="0"/>
    <x v="2"/>
    <x v="0"/>
    <x v="1"/>
    <x v="0"/>
    <x v="5"/>
    <s v="Natural Sciences"/>
    <s v="CB"/>
    <x v="0"/>
    <s v="Draft"/>
    <s v="Stellenbosch University"/>
    <s v="Agricultural Sciences, Food science"/>
    <s v="Enhancing mango quality and safety: a comprehensive metagenomic and biochemical approach to postharvest management and value addition"/>
    <d v="2026-01-05T00:00:00"/>
    <n v="2"/>
    <s v="_x000d__x000a_300000_x000d__x000a_"/>
    <s v="_x000d__x000a_300000_x000d__x000a_"/>
    <s v="_x000d__x000a_0_x000d__x000a_"/>
  </r>
  <r>
    <s v="10/12/2025"/>
    <s v="2025-9477"/>
    <s v="Higher Education Awards"/>
    <s v="Mamaaooa Maoeng"/>
    <s v="Mamaaooa@gmail.com"/>
    <x v="0"/>
    <x v="1"/>
    <x v="3"/>
    <x v="1"/>
    <x v="0"/>
    <x v="8"/>
    <s v="Natural Sciences"/>
    <s v="CB"/>
    <x v="0"/>
    <s v="Completed"/>
    <s v="The University of the Witwatersrand"/>
    <s v="Phd chemistry (forensic chemistry)"/>
    <s v="A Quantitative Analysis of Urea, Uric Acid, Xanthine, and Hypoxanthine in Cadaver Vitreous Humour and Urine by LC-MS/MS, and Its Application to Post-Mortem Forensic Specimens."/>
    <d v="2026-01-12T00:00:00"/>
    <n v="3"/>
    <s v="_x000d__x000a_349000_x000d__x000a_"/>
    <s v="_x000d__x000a_348000_x000d__x000a_"/>
    <s v="_x000d__x000a_350000_x000d__x000a_"/>
  </r>
  <r>
    <s v="10/12/2025"/>
    <s v="2025-9954"/>
    <s v="Higher Education Awards"/>
    <s v="Ndivhuwo Ndou"/>
    <s v="ndivhuwondou164@gmail.com"/>
    <x v="0"/>
    <x v="0"/>
    <x v="0"/>
    <x v="0"/>
    <x v="0"/>
    <x v="2"/>
    <s v="Humanities"/>
    <s v="CB"/>
    <x v="0"/>
    <s v="Completed"/>
    <s v="University of the Witwatersrand"/>
    <s v="Masters in mathematics education"/>
    <s v="A MATHEMATICAL MODELLING INTERVENTION TO FOSTER PRE-SERVICE  TEACHERS' COMPETENCY AND ATTITUDES TOWARDS TEACHING  APPLICATIONS OF CALCULUS."/>
    <d v="2025-01-15T00:00:00"/>
    <n v="1"/>
    <s v="_x000d__x000a_177083.4_x000d__x000a_"/>
    <s v="_x000d__x000a_0_x000d__x000a_"/>
    <s v="_x000d__x000a_0_x000d__x000a_"/>
  </r>
  <r>
    <s v="10/12/2025"/>
    <s v="2025-9661"/>
    <s v="Higher Education Awards"/>
    <s v="Caltine Cele"/>
    <s v="Bongiwecat03@gmail.com"/>
    <x v="0"/>
    <x v="0"/>
    <x v="0"/>
    <x v="1"/>
    <x v="0"/>
    <x v="4"/>
    <s v="Commerce &amp; Management"/>
    <s v="CB"/>
    <x v="0"/>
    <s v="Draft"/>
    <s v="University of the Free State"/>
    <s v="Master's in commerce with specialization in Business Management"/>
    <s v="The impact of digital literacy and advanced technology adoption on the performance of women-owned SMMEs in South Africa"/>
    <d v="2025-03-03T00:00:00"/>
    <n v="1"/>
    <s v="_x000d__x000a_122840_x000d__x000a_"/>
    <s v="_x000d__x000a_0_x000d__x000a_"/>
    <s v="_x000d__x000a_0_x000d__x000a_"/>
  </r>
  <r>
    <s v="10/12/2025"/>
    <s v="2025-9993"/>
    <s v="Higher Education Awards"/>
    <s v="Lihle Mahamba"/>
    <s v="lihlemahamba3@gmail.com"/>
    <x v="3"/>
    <x v="1"/>
    <x v="0"/>
    <x v="1"/>
    <x v="0"/>
    <x v="8"/>
    <s v="Natural Sciences"/>
    <s v="CB"/>
    <x v="0"/>
    <s v="Completed"/>
    <s v="University of Johannesburg"/>
    <s v="Biochemistry"/>
    <s v="Structural determination of Mtb GlmS protein towards the discovery of new antituberculosis compounds"/>
    <d v="2026-01-19T00:00:00"/>
    <n v="3"/>
    <s v="_x000d__x000a_188620_x000d__x000a_"/>
    <s v="_x000d__x000a_188620_x000d__x000a_"/>
    <s v="_x000d__x000a_188620_x000d__x000a_"/>
  </r>
  <r>
    <s v="10/12/2025"/>
    <s v="2025-9745"/>
    <s v="Higher Education Awards"/>
    <s v="Aloise Wepener"/>
    <s v="aloise.wepener@gmail.com"/>
    <x v="0"/>
    <x v="0"/>
    <x v="1"/>
    <x v="1"/>
    <x v="0"/>
    <x v="1"/>
    <s v="Engineering &amp; the Built Environment"/>
    <s v="CB"/>
    <x v="0"/>
    <s v="Completed"/>
    <s v="Stellenbosch University"/>
    <s v="Masters in Civil Engineering"/>
    <s v="Update of the Regional Maximum Floods of South Africa and Namibia and the development of RMF: RI ratios"/>
    <d v="2026-02-09T00:00:00"/>
    <n v="2"/>
    <s v="_x000d__x000a_80264_x000d__x000a_"/>
    <s v="_x000d__x000a_85477_x000d__x000a_"/>
    <s v="_x000d__x000a_0_x000d__x000a_"/>
  </r>
  <r>
    <s v="10/12/2025"/>
    <s v="2025-9882"/>
    <s v="Higher Education Awards"/>
    <s v="Ronewa Ndou"/>
    <s v="newiendou@gmail.com"/>
    <x v="3"/>
    <x v="0"/>
    <x v="0"/>
    <x v="1"/>
    <x v="0"/>
    <x v="1"/>
    <s v="Engineering &amp; the Built Environment"/>
    <s v="CB"/>
    <x v="0"/>
    <s v="Completed"/>
    <s v="University of Pretoria"/>
    <s v="Masters in Engineering Management"/>
    <s v="Engineering Management"/>
    <d v="2025-02-03T00:00:00"/>
    <n v="2"/>
    <s v="_x000d__x000a_111915_x000d__x000a_"/>
    <s v="_x000d__x000a_79945_x000d__x000a_"/>
    <s v="_x000d__x000a_0_x000d__x000a_"/>
  </r>
  <r>
    <s v="10/12/2025"/>
    <s v="2025-8470"/>
    <s v="Higher Education Awards"/>
    <s v="Katlego Ndaba"/>
    <s v="katlegovennesa718@gmail.com"/>
    <x v="0"/>
    <x v="0"/>
    <x v="0"/>
    <x v="1"/>
    <x v="0"/>
    <x v="8"/>
    <s v="Health Sciences"/>
    <s v="CB"/>
    <x v="0"/>
    <s v="Completed"/>
    <s v="University of Pretoria"/>
    <s v="Msc Medical Virology"/>
    <s v="Characterisation of adenovirus species F, norovirus, and rotavirus detected in patients with gastroenteritis"/>
    <d v="2026-01-07T00:00:00"/>
    <n v="1"/>
    <s v="_x000d__x000a_128055_x000d__x000a_"/>
    <s v="_x000d__x000a_0_x000d__x000a_"/>
    <s v="_x000d__x000a_0_x000d__x000a_"/>
  </r>
  <r>
    <s v="10/12/2025"/>
    <s v="2025-9614"/>
    <s v="Higher Education Awards"/>
    <s v="Megan Jones"/>
    <s v="Meganfj007@gmail.com"/>
    <x v="0"/>
    <x v="0"/>
    <x v="1"/>
    <x v="1"/>
    <x v="0"/>
    <x v="5"/>
    <s v="Natural Sciences"/>
    <s v="CB"/>
    <x v="0"/>
    <s v="Completed"/>
    <s v="University of Pretoria"/>
    <s v="Zoology"/>
    <s v="Climate change and Conservation"/>
    <d v="2026-01-05T00:00:00"/>
    <n v="2"/>
    <s v="_x000d__x000a_231500_x000d__x000a_"/>
    <s v="_x000d__x000a_226500_x000d__x000a_"/>
    <s v="_x000d__x000a_0_x000d__x000a_"/>
  </r>
  <r>
    <s v="10/12/2025"/>
    <s v="2025-9225"/>
    <s v="Higher Education Awards"/>
    <s v="Neo Makole"/>
    <s v="neomakole7@gmail.com"/>
    <x v="0"/>
    <x v="0"/>
    <x v="0"/>
    <x v="0"/>
    <x v="0"/>
    <x v="5"/>
    <s v="Natural Sciences"/>
    <s v="CB"/>
    <x v="0"/>
    <s v="Completed"/>
    <s v="University of the free State"/>
    <s v="Master of Science with specialization in Chemistry"/>
    <s v="Development of a Green Analytical Method for the Determination of Biodiesel Purity using Gas Chromatography-Mass Spectrometry (GC-MS)"/>
    <d v="2026-01-01T00:00:00"/>
    <n v="2"/>
    <s v="_x000d__x000a_232000_x000d__x000a_"/>
    <s v="_x000d__x000a_232000_x000d__x000a_"/>
    <s v="_x000d__x000a_0_x000d__x000a_"/>
  </r>
  <r>
    <s v="10/12/2025"/>
    <s v="2025-8452"/>
    <s v="Higher Education Awards"/>
    <s v="Amy van der Hoven"/>
    <s v="vhvamy001@myuct.ac.za"/>
    <x v="0"/>
    <x v="1"/>
    <x v="1"/>
    <x v="1"/>
    <x v="0"/>
    <x v="8"/>
    <s v="Health Sciences"/>
    <s v="CB"/>
    <x v="0"/>
    <s v="Completed"/>
    <s v="University of Cape Town"/>
    <s v="PhD (Med) Neuroscience (Physiology)"/>
    <s v="Neural tube organoid generation"/>
    <d v="2026-02-02T00:00:00"/>
    <n v="3"/>
    <s v="_x000d__x000a_122170_x000d__x000a_"/>
    <s v="_x000d__x000a_122170_x000d__x000a_"/>
    <s v="_x000d__x000a_122170_x000d__x000a_"/>
  </r>
  <r>
    <s v="10/12/2025"/>
    <s v="2025-8602"/>
    <s v="Higher Education Awards"/>
    <s v="Vutlhari Mathonsi"/>
    <s v="edgarvutlhari2019@gmail.com"/>
    <x v="3"/>
    <x v="0"/>
    <x v="0"/>
    <x v="0"/>
    <x v="0"/>
    <x v="4"/>
    <s v="Commerce &amp; Management"/>
    <s v="CB"/>
    <x v="8"/>
    <s v="Draft"/>
    <s v="University of Cape Town"/>
    <s v="Masters of Philosophy in Strategic Communication"/>
    <s v="Student protests as a tool of strategic communication in South African student movement"/>
    <d v="2026-02-09T00:00:00"/>
    <n v="1"/>
    <s v="_x000d__x000a_114000_x000d__x000a_"/>
    <s v="_x000d__x000a_0_x000d__x000a_"/>
    <s v="_x000d__x000a_0_x000d__x000a_"/>
  </r>
  <r>
    <s v="10/12/2025"/>
    <s v="2025-9625"/>
    <s v="Higher Education Awards"/>
    <s v="Kirsten Stabrey"/>
    <s v="kirstenstabrey@gmail.com"/>
    <x v="0"/>
    <x v="0"/>
    <x v="1"/>
    <x v="1"/>
    <x v="0"/>
    <x v="8"/>
    <s v="Natural Sciences"/>
    <s v="CB"/>
    <x v="0"/>
    <s v="Completed"/>
    <s v="Stellenbosch University"/>
    <s v="MSc Physiological Sciences"/>
    <s v="Physiological Sciences (Haematology and Coagulation Research Group)"/>
    <d v="2025-01-15T00:00:00"/>
    <n v="1"/>
    <s v="_x000d__x000a_216862_x000d__x000a_"/>
    <s v="_x000d__x000a_0_x000d__x000a_"/>
    <s v="_x000d__x000a_0_x000d__x000a_"/>
  </r>
  <r>
    <s v="10/12/2025"/>
    <s v="2025-8581"/>
    <s v="Higher Education Awards"/>
    <s v="Nathalie Andersen"/>
    <s v="nathalieandersen22@gmail.com"/>
    <x v="0"/>
    <x v="1"/>
    <x v="1"/>
    <x v="1"/>
    <x v="0"/>
    <x v="8"/>
    <s v="Health Sciences"/>
    <s v="CB"/>
    <x v="0"/>
    <s v="Completed"/>
    <s v="University of Cape Town"/>
    <s v="PhD in Medical Cell Biology"/>
    <s v="Stem Cell Biology"/>
    <d v="2026-01-15T00:00:00"/>
    <n v="3"/>
    <s v="_x000d__x000a_182400_x000d__x000a_"/>
    <s v="_x000d__x000a_182400_x000d__x000a_"/>
    <s v="_x000d__x000a_182400_x000d__x000a_"/>
  </r>
  <r>
    <s v="10/12/2025"/>
    <s v="2025-9248"/>
    <s v="Higher Education Awards"/>
    <s v="Itumeleng Adolphina Dikhoba"/>
    <s v="adolphina.itu@gmail.com"/>
    <x v="0"/>
    <x v="1"/>
    <x v="0"/>
    <x v="1"/>
    <x v="0"/>
    <x v="2"/>
    <s v="Humanities"/>
    <s v="CB"/>
    <x v="0"/>
    <s v="Completed"/>
    <s v="University of South Africa"/>
    <s v="Doctor of Philosophy in Psychology"/>
    <s v="Explore the lived experiences of male parolees affected by a father's absence and its impact on delinquent behaviour in Limpopo Province."/>
    <d v="2025-05-30T00:00:00"/>
    <n v="3"/>
    <s v="_x000d__x000a_110000_x000d__x000a_"/>
    <s v="_x000d__x000a_160000_x000d__x000a_"/>
    <s v="_x000d__x000a_180000_x000d__x000a_"/>
  </r>
  <r>
    <s v="10/12/2025"/>
    <s v="2025-8647"/>
    <s v="Higher Education Awards"/>
    <s v="Khensane Ledwaba"/>
    <s v="Khensamanda@gmail.com"/>
    <x v="0"/>
    <x v="1"/>
    <x v="0"/>
    <x v="1"/>
    <x v="0"/>
    <x v="2"/>
    <s v="Humanities"/>
    <s v="CB"/>
    <x v="0"/>
    <s v="Completed"/>
    <s v="University of the Witwatersrand"/>
    <s v="Doctor of Philosophy in Psychology"/>
    <s v="Exploring the Unconscious Dynamics of Queen Bee Behaviour in African Female Leadership: A Systems Psychodynamics and Embodied Black Rage Approach to Competency Framework Development"/>
    <d v="2025-02-03T00:00:00"/>
    <n v="3"/>
    <s v="_x000d__x000a_256979.12_x000d__x000a_"/>
    <s v="_x000d__x000a_280000_x000d__x000a_"/>
    <s v="_x000d__x000a_269000_x000d__x000a_"/>
  </r>
  <r>
    <s v="10/12/2025"/>
    <s v="2025-8655"/>
    <s v="Higher Education Awards"/>
    <s v="Rachel Brown"/>
    <s v="BRWRAC003@myuct.ac.za"/>
    <x v="0"/>
    <x v="1"/>
    <x v="1"/>
    <x v="1"/>
    <x v="0"/>
    <x v="8"/>
    <s v="Health Sciences"/>
    <s v="CB"/>
    <x v="0"/>
    <s v="Completed"/>
    <s v="University of Cape Town"/>
    <s v="Docter of Science in Medicine"/>
    <s v="Neuroscience (Physiology)"/>
    <d v="2026-01-12T00:00:00"/>
    <n v="3"/>
    <s v="_x000d__x000a_241838_x000d__x000a_"/>
    <s v="_x000d__x000a_241838_x000d__x000a_"/>
    <s v="_x000d__x000a_241838_x000d__x000a_"/>
  </r>
  <r>
    <s v="10/12/2025"/>
    <s v="2025-8368"/>
    <s v="Higher Education Awards"/>
    <s v="Thapelo Matlala"/>
    <s v="matlalathapelo0@gmail.com"/>
    <x v="0"/>
    <x v="0"/>
    <x v="0"/>
    <x v="1"/>
    <x v="0"/>
    <x v="2"/>
    <s v="Humanities"/>
    <s v="CB"/>
    <x v="0"/>
    <s v="Completed"/>
    <s v="Nelson Mandela University"/>
    <s v="Master of Arts in Applied Strategic Communication"/>
    <s v="Investigating the regulations of indigenous skincare products to enhance consumer safety in Limpopo, South Africa"/>
    <d v="2026-02-10T00:00:00"/>
    <n v="1"/>
    <s v="_x000d__x000a_149630_x000d__x000a_"/>
    <s v="_x000d__x000a_0_x000d__x000a_"/>
    <s v="_x000d__x000a_0_x000d__x000a_"/>
  </r>
  <r>
    <s v="10/12/2025"/>
    <s v="2025-9201"/>
    <s v="Higher Education Awards"/>
    <s v="Ridhwaanah Bhana"/>
    <s v="ridhwaanah.jacobs@gmail.com"/>
    <x v="0"/>
    <x v="2"/>
    <x v="2"/>
    <x v="1"/>
    <x v="0"/>
    <x v="8"/>
    <s v="Health Sciences"/>
    <s v="CB"/>
    <x v="0"/>
    <s v="Completed"/>
    <s v="University of the Witwatersrand"/>
    <s v="Vectorology"/>
    <s v="Development of a novel alpha viral vector for HBV vaccine design and application"/>
    <d v="2026-01-12T00:00:00"/>
    <n v="2"/>
    <s v="_x000d__x000a_241600_x000d__x000a_"/>
    <s v="_x000d__x000a_247300_x000d__x000a_"/>
    <s v="_x000d__x000a_0_x000d__x000a_"/>
  </r>
  <r>
    <s v="10/12/2025"/>
    <s v="2025-9542"/>
    <s v="Higher Education Awards"/>
    <s v="Kyra Janse van Rensburg"/>
    <s v="kyramew@gmail.com"/>
    <x v="0"/>
    <x v="1"/>
    <x v="5"/>
    <x v="1"/>
    <x v="0"/>
    <x v="5"/>
    <s v="Natural Sciences"/>
    <s v="CB"/>
    <x v="0"/>
    <s v="Completed"/>
    <s v="University of Pretoria"/>
    <s v="Zoology"/>
    <s v="Microplastics and Climate Change on Ecological Biodiversity of Terrestrial Mammals"/>
    <d v="2026-02-01T00:00:00"/>
    <n v="3"/>
    <s v="_x000d__x000a_550240_x000d__x000a_"/>
    <s v="_x000d__x000a_589282.52_x000d__x000a_"/>
    <s v="_x000d__x000a_626259.54_x000d__x000a_"/>
  </r>
  <r>
    <s v="10/12/2025"/>
    <s v="2025-9048"/>
    <s v="Higher Education Awards"/>
    <s v="Pamela Nkompela"/>
    <s v="202211410@spu.ac.za"/>
    <x v="0"/>
    <x v="0"/>
    <x v="0"/>
    <x v="1"/>
    <x v="0"/>
    <x v="0"/>
    <s v="Natural Sciences"/>
    <s v="CB"/>
    <x v="0"/>
    <s v="Completed"/>
    <s v="University of Witwatersrand"/>
    <s v="Masters In Pure Mathematics"/>
    <s v="TRUNCATED r-GENERALIZATIONS OF SOME SPECIAL POLYNOMIALS."/>
    <d v="2026-01-26T00:00:00"/>
    <n v="1"/>
    <s v="_x000d__x000a_176159.28_x000d__x000a_"/>
    <s v="_x000d__x000a_0_x000d__x000a_"/>
    <s v="_x000d__x000a_0_x000d__x000a_"/>
  </r>
  <r>
    <s v="10/12/2025"/>
    <s v="2025-9746"/>
    <s v="Higher Education Awards"/>
    <s v="Juliette Lindup"/>
    <s v="juliettepeta@gmail.com"/>
    <x v="0"/>
    <x v="0"/>
    <x v="1"/>
    <x v="1"/>
    <x v="0"/>
    <x v="3"/>
    <s v="Performing &amp; Creative Arts"/>
    <s v="CB"/>
    <x v="0"/>
    <s v="Completed"/>
    <s v="Stellenbosch University"/>
    <s v="Masters in Visual Art"/>
    <s v="Jewellery design: The Extended Self, How Jewellery Can Act as a Signifier for Human-Microbial Entanglement"/>
    <d v="2025-02-01T00:00:00"/>
    <n v="2"/>
    <s v="_x000d__x000a_139060_x000d__x000a_"/>
    <s v="_x000d__x000a_139060_x000d__x000a_"/>
    <s v="_x000d__x000a_0_x000d__x000a_"/>
  </r>
  <r>
    <s v="10/12/2025"/>
    <s v="2025-9398"/>
    <s v="Higher Education Awards"/>
    <s v="Tilly Weston"/>
    <s v="tillyweston@gmail.com"/>
    <x v="0"/>
    <x v="0"/>
    <x v="1"/>
    <x v="1"/>
    <x v="0"/>
    <x v="8"/>
    <s v="Health Sciences"/>
    <s v="CB"/>
    <x v="0"/>
    <s v="Completed"/>
    <s v="University of Cape Town"/>
    <s v="MSc Med Physiology (specialising in sleep science)"/>
    <s v="Adolescent sleep and circadian health"/>
    <d v="2025-01-01T00:00:00"/>
    <n v="1"/>
    <s v="_x000d__x000a_150000_x000d__x000a_"/>
    <s v="_x000d__x000a_0_x000d__x000a_"/>
    <s v="_x000d__x000a_0_x000d__x000a_"/>
  </r>
  <r>
    <s v="10/12/2025"/>
    <s v="2025-9043"/>
    <s v="Higher Education Awards"/>
    <s v="Meghan Mosalisa"/>
    <s v="meghanmosalisa@gmail.com"/>
    <x v="0"/>
    <x v="1"/>
    <x v="2"/>
    <x v="1"/>
    <x v="0"/>
    <x v="6"/>
    <s v="Social Sciences"/>
    <s v="CB"/>
    <x v="0"/>
    <s v="Completed"/>
    <s v="Joint PhD with Stellenbosch University and the University of Gröningen"/>
    <s v="PhD in Psychology"/>
    <s v="Development and feasibility of a cognitive behavioural therapy intervention to improve the impact of deep dyspareunia among Endometriosis patients"/>
    <d v="2026-03-02T00:00:00"/>
    <n v="3"/>
    <s v="_x000d__x000a_288100_x000d__x000a_"/>
    <s v="_x000d__x000a_340200_x000d__x000a_"/>
    <s v="_x000d__x000a_293200_x000d__x000a_"/>
  </r>
  <r>
    <s v="10/12/2025"/>
    <s v="2025-8262"/>
    <s v="Higher Education Awards"/>
    <s v="Matthew Estment"/>
    <s v="1866730@students.wits.ac.za"/>
    <x v="0"/>
    <x v="1"/>
    <x v="1"/>
    <x v="0"/>
    <x v="0"/>
    <x v="0"/>
    <s v="Natural Sciences"/>
    <s v="CB"/>
    <x v="0"/>
    <s v="Completed"/>
    <s v="University of the Witwatersrand"/>
    <s v="PhD"/>
    <s v="Analytical chemistry"/>
    <d v="2026-03-01T00:00:00"/>
    <n v="2"/>
    <s v="_x000d__x000a_278000_x000d__x000a_"/>
    <s v="_x000d__x000a_250000_x000d__x000a_"/>
    <s v="_x000d__x000a_0_x000d__x000a_"/>
  </r>
  <r>
    <s v="10/12/2025"/>
    <s v="2025-9182"/>
    <s v="Higher Education Awards"/>
    <s v="Caitlyn O'Connor"/>
    <s v="caitlynoconnor30@gmail.com"/>
    <x v="0"/>
    <x v="1"/>
    <x v="1"/>
    <x v="1"/>
    <x v="0"/>
    <x v="8"/>
    <s v="Health Sciences"/>
    <s v="CB"/>
    <x v="0"/>
    <s v="Completed"/>
    <s v="University of the Witwatersrand"/>
    <s v="Doctor of Philosophy (PhD) by Thesis, Haematology and Molecular Medicine"/>
    <s v="HIV-1 vaccine development"/>
    <d v="2025-02-05T00:00:00"/>
    <n v="2"/>
    <s v="_x000d__x000a_203786_x000d__x000a_"/>
    <s v="_x000d__x000a_244837_x000d__x000a_"/>
    <s v="_x000d__x000a_0_x000d__x000a_"/>
  </r>
  <r>
    <s v="10/12/2025"/>
    <s v="2025-9740"/>
    <s v="Higher Education Awards"/>
    <s v="Alilita Lajoboda"/>
    <s v="gwibalajoboda@gmail.com"/>
    <x v="0"/>
    <x v="0"/>
    <x v="0"/>
    <x v="0"/>
    <x v="0"/>
    <x v="8"/>
    <s v="Health Sciences"/>
    <s v="CB"/>
    <x v="21"/>
    <s v="Completed"/>
    <s v="University of Cape Town"/>
    <s v="MSc in Medicine specializing in Immunology"/>
    <s v="Assessing the virulence and immunoreactivity of differentially regulated group B Streptococcus surface proteins using a CRISPRi gene knockdown library."/>
    <d v="2026-01-20T00:00:00"/>
    <n v="2"/>
    <s v="_x000d__x000a_161600_x000d__x000a_"/>
    <s v="_x000d__x000a_161600_x000d__x000a_"/>
    <s v="_x000d__x000a_0_x000d__x000a_"/>
  </r>
  <r>
    <s v="10/12/2025"/>
    <s v="2025-9750"/>
    <s v="Higher Education Awards"/>
    <s v="Fatima Tuz Zahra Aziz"/>
    <s v="fatima.aziz300@gmail.com"/>
    <x v="0"/>
    <x v="1"/>
    <x v="2"/>
    <x v="1"/>
    <x v="0"/>
    <x v="8"/>
    <s v="Health Sciences"/>
    <s v="CB"/>
    <x v="0"/>
    <s v="Draft"/>
    <s v="Cape Peninsula University of Technology"/>
    <s v="Doctor of Philosophy in Biomedical Science"/>
    <s v="The functional impact of the CRY2 rs11605924 variant on hepatic circadian rhythm, glucose metabolism, and lipid regulation in vitro, using CRISPR-edited HepG2 hepatocytes under varying glucose conditions"/>
    <d v="2026-05-04T00:00:00"/>
    <n v="3"/>
    <s v="_x000d__x000a_190000_x000d__x000a_"/>
    <s v="_x000d__x000a_215000_x000d__x000a_"/>
    <s v="_x000d__x000a_230000_x000d__x000a_"/>
  </r>
  <r>
    <s v="10/12/2025"/>
    <s v="2025-9606"/>
    <s v="Higher Education Awards"/>
    <s v="Lucy Macharia"/>
    <s v="lucy.macharia@uct.ac.za"/>
    <x v="0"/>
    <x v="2"/>
    <x v="0"/>
    <x v="1"/>
    <x v="0"/>
    <x v="8"/>
    <s v="Health Sciences"/>
    <s v="CB"/>
    <x v="0"/>
    <s v="Completed"/>
    <s v="University of Cape Town"/>
    <s v="Cell and Molecular Biology (Cervical cancer research)"/>
    <s v="Establishing a zebrafish human cervical cancer xenograft model for anti-cancer drug screening and evaluation of cardiovascular events"/>
    <d v="2026-01-01T00:00:00"/>
    <n v="1"/>
    <s v="_x000d__x000a_350000_x000d__x000a_"/>
    <s v="_x000d__x000a_0_x000d__x000a_"/>
    <s v="_x000d__x000a_0_x000d__x000a_"/>
  </r>
  <r>
    <s v="10/12/2025"/>
    <s v="2025-9502"/>
    <s v="Higher Education Awards"/>
    <s v="Kim Scholtz"/>
    <s v="3571589@myuwc.ac.za"/>
    <x v="0"/>
    <x v="2"/>
    <x v="2"/>
    <x v="1"/>
    <x v="0"/>
    <x v="5"/>
    <s v="Natural Sciences"/>
    <s v="CB"/>
    <x v="0"/>
    <s v="Completed"/>
    <s v="University of the Western Cape in collaboration with Robben Island Museum and Bristol University"/>
    <s v="Post-doctorate fellowship focusing on molecular ecology"/>
    <s v="Using Next Generation faecal DNA analysis to characterise the diet of mole snakes (Pseudaspis cana) on Robben Island"/>
    <d v="2026-01-30T00:00:00"/>
    <n v="2"/>
    <s v="_x000d__x000a_490000_x000d__x000a_"/>
    <s v="_x000d__x000a_470000_x000d__x000a_"/>
    <s v="_x000d__x000a_0_x000d__x000a_"/>
  </r>
  <r>
    <s v="10/12/2025"/>
    <s v="2025-8325"/>
    <s v="Higher Education Awards"/>
    <s v="Shannon Misplon"/>
    <s v="shanmisplon@gmail.com"/>
    <x v="0"/>
    <x v="1"/>
    <x v="1"/>
    <x v="1"/>
    <x v="0"/>
    <x v="0"/>
    <s v="Natural Sciences"/>
    <s v="CB"/>
    <x v="0"/>
    <s v="Completed"/>
    <s v="University of Cape Town"/>
    <s v="PhD in Chemistry"/>
    <s v="Chemistry"/>
    <d v="2025-01-13T00:00:00"/>
    <n v="3"/>
    <s v="_x000d__x000a_281170_x000d__x000a_"/>
    <s v="_x000d__x000a_288000_x000d__x000a_"/>
    <s v="_x000d__x000a_305000_x000d__x000a_"/>
  </r>
  <r>
    <s v="10/12/2025"/>
    <s v="2025-8457"/>
    <s v="Higher Education Awards"/>
    <s v="Sandisiwe Nkosi"/>
    <s v="SANDIDR.SN@GMAIL.COM"/>
    <x v="0"/>
    <x v="1"/>
    <x v="0"/>
    <x v="1"/>
    <x v="0"/>
    <x v="8"/>
    <s v="Health Sciences"/>
    <s v="CB"/>
    <x v="0"/>
    <s v="Completed"/>
    <s v="University of the Witwatersrand"/>
    <s v="Doctor of Philosophy, School of Clinical medicine"/>
    <s v="Type 2 diabetes and lung function: an African perspective"/>
    <d v="2026-01-05T00:00:00"/>
    <n v="2"/>
    <s v="_x000d__x000a_288000_x000d__x000a_"/>
    <s v="_x000d__x000a_295000_x000d__x000a_"/>
    <s v="_x000d__x000a_0_x000d__x000a_"/>
  </r>
  <r>
    <s v="10/12/2025"/>
    <s v="2025-8901"/>
    <s v="Higher Education Awards"/>
    <s v="Lebogang Omoregie"/>
    <s v="lebogangomoregie@gmail.com"/>
    <x v="0"/>
    <x v="0"/>
    <x v="0"/>
    <x v="1"/>
    <x v="0"/>
    <x v="4"/>
    <s v="Commerce &amp; Management"/>
    <s v="CB"/>
    <x v="0"/>
    <s v="Completed"/>
    <s v="University of Johannesburg"/>
    <s v="Master in Environmental and Energy Economics"/>
    <s v="Government and Institutional Contributions to a Sustainable and Diversified Energy Future in South Africa"/>
    <d v="2026-01-01T00:00:00"/>
    <n v="1"/>
    <s v="_x000d__x000a_177000_x000d__x000a_"/>
    <s v="_x000d__x000a_0_x000d__x000a_"/>
    <s v="_x000d__x000a_0_x000d__x000a_"/>
  </r>
  <r>
    <s v="10/12/2025"/>
    <s v="2025-9536"/>
    <s v="Higher Education Awards"/>
    <s v="Yondela Murhula"/>
    <s v="2028969786@ufs4life.ac.za"/>
    <x v="0"/>
    <x v="0"/>
    <x v="0"/>
    <x v="1"/>
    <x v="0"/>
    <x v="2"/>
    <s v="Humanities"/>
    <s v="CB"/>
    <x v="0"/>
    <s v="Completed"/>
    <s v="University of the Free State"/>
    <s v="Masters degree"/>
    <s v="Caregivers’ Perceptions of Access to Health Services for Children with Intellectual Disability in Rural South Africa: A Case Study of uMzimkhulu"/>
    <d v="2025-03-03T00:00:00"/>
    <n v="1"/>
    <s v="_x000d__x000a_78000_x000d__x000a_"/>
    <s v="_x000d__x000a_0_x000d__x000a_"/>
    <s v="_x000d__x000a_0_x000d__x000a_"/>
  </r>
  <r>
    <s v="10/12/2025"/>
    <s v="2025-9235"/>
    <s v="Higher Education Awards"/>
    <s v="Thomas Cornelius van der Hoven"/>
    <s v="thomasvanderhoven@gmail.com"/>
    <x v="0"/>
    <x v="1"/>
    <x v="1"/>
    <x v="0"/>
    <x v="1"/>
    <x v="5"/>
    <s v="Natural Sciences"/>
    <s v="CB"/>
    <x v="0"/>
    <s v="Completed"/>
    <s v="University of Glasgow"/>
    <s v=""/>
    <s v="Temperature-dependant alternative splicing in Arabidopsis Thaliana"/>
    <d v="2026-01-01T00:00:00"/>
    <n v="3"/>
    <s v="_x000d__x000a_914097.6_x000d__x000a_"/>
    <s v="_x000d__x000a_914097.6_x000d__x000a_"/>
    <s v="_x000d__x000a_914097.6_x000d__x000a_"/>
  </r>
  <r>
    <s v="10/12/2025"/>
    <s v="2025-8955"/>
    <s v="Higher Education Awards"/>
    <s v="Tshepo Skosana"/>
    <s v="tshepoenos31@gmail.com"/>
    <x v="0"/>
    <x v="0"/>
    <x v="0"/>
    <x v="0"/>
    <x v="0"/>
    <x v="2"/>
    <s v="Humanities"/>
    <s v="CB"/>
    <x v="0"/>
    <s v="Completed"/>
    <s v="University of the Witwatersrand"/>
    <s v="Full time"/>
    <s v="Master of Arts in Cultural Policy and Management (CPM) by coursework and Research Report"/>
    <d v="2025-02-05T00:00:00"/>
    <n v="1"/>
    <s v="_x000d__x000a_207427.76_x000d__x000a_"/>
    <s v="_x000d__x000a_0_x000d__x000a_"/>
    <s v="_x000d__x000a_0_x000d__x000a_"/>
  </r>
  <r>
    <s v="10/12/2025"/>
    <s v="2025-8983"/>
    <s v="Higher Education Awards"/>
    <s v="tania menezes"/>
    <s v="menezestania210@gmail.com"/>
    <x v="1"/>
    <x v="0"/>
    <x v="0"/>
    <x v="1"/>
    <x v="0"/>
    <x v="2"/>
    <s v="Humanities"/>
    <s v="CB"/>
    <x v="5"/>
    <s v="Completed"/>
    <s v="Rhodes university"/>
    <s v="journalism"/>
    <s v="The Impact of Digital Platforms and Algorithmic Systems on Personal Identity: Investigating Fragmentation, Categorization, and Audience Engagement in South African Contexts"/>
    <d v="2025-08-27T00:00:00"/>
    <n v="2"/>
    <s v="_x000d__x000a_89757_x000d__x000a_"/>
    <s v="_x000d__x000a_84079_x000d__x000a_"/>
    <s v="_x000d__x000a_0_x000d__x000a_"/>
  </r>
  <r>
    <s v="10/12/2025"/>
    <s v="2025-9861"/>
    <s v="Higher Education Awards"/>
    <s v="Mandisa Mthombeni"/>
    <s v="mandisamthombeni001@gmail.com"/>
    <x v="0"/>
    <x v="0"/>
    <x v="0"/>
    <x v="1"/>
    <x v="0"/>
    <x v="5"/>
    <s v="Natural Sciences"/>
    <s v="CB"/>
    <x v="0"/>
    <s v="Completed"/>
    <s v="University of Pretoria"/>
    <s v="Masters in Microbiology"/>
    <s v="Characterization of biofilms and extracellular vesicles from Sclerotinia sclerotiorum"/>
    <d v="2025-01-15T00:00:00"/>
    <n v="1"/>
    <s v="_x000d__x000a_139000_x000d__x000a_"/>
    <s v="_x000d__x000a_0_x000d__x000a_"/>
    <s v="_x000d__x000a_0_x000d__x000a_"/>
  </r>
  <r>
    <s v="10/12/2025"/>
    <s v="2025-8293"/>
    <s v="Higher Education Awards"/>
    <s v="Sisipho Khumbuza"/>
    <s v="sisiphokhumbuza18@gmail.com"/>
    <x v="0"/>
    <x v="0"/>
    <x v="0"/>
    <x v="1"/>
    <x v="0"/>
    <x v="2"/>
    <s v="Humanities"/>
    <s v="CB"/>
    <x v="0"/>
    <s v="Completed"/>
    <s v="Sol Plaatje University"/>
    <s v="Masters of Arts"/>
    <s v="Studentification and Gentrification: The impact of Sol Plaatje University on housing, space and community in New Park, Kimberley"/>
    <d v="2026-02-16T00:00:00"/>
    <n v="1"/>
    <s v="_x000d__x000a_130000_x000d__x000a_"/>
    <s v="_x000d__x000a_0_x000d__x000a_"/>
    <s v="_x000d__x000a_0_x000d__x000a_"/>
  </r>
  <r>
    <s v="10/12/2025"/>
    <s v="2025-9288"/>
    <s v="Higher Education Awards"/>
    <s v="Mariam Hajee"/>
    <s v="mariamhajee0@gmail.com"/>
    <x v="0"/>
    <x v="1"/>
    <x v="4"/>
    <x v="1"/>
    <x v="0"/>
    <x v="0"/>
    <s v="Other"/>
    <s v="CB"/>
    <x v="0"/>
    <s v="Completed"/>
    <s v="University of KwaZulu-Natal"/>
    <s v="Chemistry"/>
    <s v="Paper-based electrochemical sensors for the detection of pharmaceuticals in water"/>
    <d v="2025-07-21T00:00:00"/>
    <n v="3"/>
    <s v="_x000d__x000a_146200_x000d__x000a_"/>
    <s v="_x000d__x000a_146200_x000d__x000a_"/>
    <s v="_x000d__x000a_146200_x000d__x000a_"/>
  </r>
  <r>
    <s v="10/12/2025"/>
    <s v="2025-9281"/>
    <s v="Higher Education Awards"/>
    <s v="Sonia Mbowa"/>
    <s v="Soniasomeme4s@gmail.com"/>
    <x v="0"/>
    <x v="1"/>
    <x v="0"/>
    <x v="1"/>
    <x v="0"/>
    <x v="2"/>
    <s v="Humanities"/>
    <s v="CB"/>
    <x v="0"/>
    <s v="Completed"/>
    <s v="University of South Africa"/>
    <s v="Psychology"/>
    <s v="Narratives of mental (de)institutionalization among Black South African families with institutionalized loved ones."/>
    <d v="2026-03-02T00:00:00"/>
    <n v="3"/>
    <s v="_x000d__x000a_190500_x000d__x000a_"/>
    <s v="_x000d__x000a_215500_x000d__x000a_"/>
    <s v="_x000d__x000a_217500_x000d__x000a_"/>
  </r>
  <r>
    <s v="10/12/2025"/>
    <s v="2025-9480"/>
    <s v="Higher Education Awards"/>
    <s v="Othembele Gcaba"/>
    <s v="ortizgcaba02@gmail.com"/>
    <x v="0"/>
    <x v="1"/>
    <x v="0"/>
    <x v="0"/>
    <x v="0"/>
    <x v="8"/>
    <s v="Health Sciences"/>
    <s v="CB"/>
    <x v="0"/>
    <s v="Completed"/>
    <s v="University of Free State"/>
    <s v="Pharmacology"/>
    <s v="In Vivo Evaluation of the Antitumor and Photodynamic Therapy Potential of Laguncularia racemosa Ethanol Extract in a Xenograft Model of Oesophageal Cancer"/>
    <d v="2025-01-20T00:00:00"/>
    <n v="3"/>
    <s v="_x000d__x000a_132000_x000d__x000a_"/>
    <s v="_x000d__x000a_132000_x000d__x000a_"/>
    <s v="_x000d__x000a_132000_x000d__x000a_"/>
  </r>
  <r>
    <s v="10/12/2025"/>
    <s v="2025-9924"/>
    <s v="Higher Education Awards"/>
    <s v="Samwel Opiyo"/>
    <s v="27266745@mylife.unisa.ac.za"/>
    <x v="0"/>
    <x v="1"/>
    <x v="3"/>
    <x v="0"/>
    <x v="0"/>
    <x v="0"/>
    <s v="Natural Sciences"/>
    <s v="CB"/>
    <x v="0"/>
    <s v="Completed"/>
    <s v="University of South Africa (UNISA)"/>
    <s v="PhD"/>
    <s v="Nitrogen-doped graphene oxide@X (X=Ni, Ta, Ga, Fe, Ti) nanocomposites for enhancement of biohydrogen production from biomass under anaerobic digestion"/>
    <d v="2025-02-04T00:00:00"/>
    <n v="3"/>
    <s v="_x000d__x000a_307760_x000d__x000a_"/>
    <s v="_x000d__x000a_307760_x000d__x000a_"/>
    <s v="_x000d__x000a_307760_x000d__x000a_"/>
  </r>
  <r>
    <s v="10/12/2025"/>
    <s v="2025-9515"/>
    <s v="Higher Education Awards"/>
    <s v="NONDUDUZO SLUNGILE NGEMA"/>
    <s v="nonduduzosngema@gmail.com"/>
    <x v="0"/>
    <x v="0"/>
    <x v="0"/>
    <x v="1"/>
    <x v="0"/>
    <x v="2"/>
    <s v="Humanities"/>
    <s v="CB"/>
    <x v="0"/>
    <s v="Completed"/>
    <s v="University of Mpumalanga"/>
    <s v="Masters of Arts in English"/>
    <s v="Comparing Marriage as Patriarchal Constraint and Space for Self-Reinvention in Ama Ata Aidoo’s Changes: A Love Story and Flora Nwapa’s One Is Enough"/>
    <d v="2026-01-26T00:00:00"/>
    <n v="2"/>
    <s v="_x000d__x000a_160000_x000d__x000a_"/>
    <s v="_x000d__x000a_160000_x000d__x000a_"/>
    <s v="_x000d__x000a_0_x000d__x000a_"/>
  </r>
  <r>
    <s v="10/12/2025"/>
    <s v="2025-9015"/>
    <s v="Higher Education Awards"/>
    <s v="Masilo Lerato Maupi"/>
    <s v="masilomaupi29@gmail.com"/>
    <x v="0"/>
    <x v="1"/>
    <x v="0"/>
    <x v="1"/>
    <x v="0"/>
    <x v="5"/>
    <s v="Other"/>
    <s v="CB"/>
    <x v="0"/>
    <s v="Completed"/>
    <s v="University of Pretoria"/>
    <s v="PhD Entomology"/>
    <s v="From waste to wealth: Producing nutritional food, feed and fertiliser using yellow and dark mealworms"/>
    <d v="2026-01-12T00:00:00"/>
    <n v="3"/>
    <s v="_x000d__x000a_277740_x000d__x000a_"/>
    <s v="_x000d__x000a_298740_x000d__x000a_"/>
    <s v="_x000d__x000a_270740_x000d__x000a_"/>
  </r>
  <r>
    <s v="10/12/2025"/>
    <s v="2025-9880"/>
    <s v="Higher Education Awards"/>
    <s v="Zoe Fortuin"/>
    <s v="zoe.fortuin168@gmail.com"/>
    <x v="0"/>
    <x v="0"/>
    <x v="2"/>
    <x v="1"/>
    <x v="0"/>
    <x v="2"/>
    <s v="Humanities"/>
    <s v="CB"/>
    <x v="19"/>
    <s v="Completed"/>
    <s v="University of Cape Town"/>
    <s v="Master of Social Science"/>
    <s v="Gender and Transformation"/>
    <d v="2026-02-16T00:00:00"/>
    <n v="1"/>
    <s v="_x000d__x000a_290000_x000d__x000a_"/>
    <s v="_x000d__x000a_0_x000d__x000a_"/>
    <s v="_x000d__x000a_0_x000d__x000a_"/>
  </r>
  <r>
    <s v="10/12/2025"/>
    <s v="2025-8197"/>
    <s v="Higher Education Awards"/>
    <s v="Nicola  van Tellingen "/>
    <s v="nicolavtellingen@gmail.com"/>
    <x v="0"/>
    <x v="0"/>
    <x v="1"/>
    <x v="1"/>
    <x v="0"/>
    <x v="7"/>
    <s v="Law"/>
    <s v="CB"/>
    <x v="0"/>
    <s v="Completed"/>
    <s v="Stellenbosch University"/>
    <s v="LLM (by dissertation)"/>
    <s v="The Constitution and the Law of Unjustified Enrichment"/>
    <d v="2026-01-01T00:00:00"/>
    <n v="1"/>
    <s v="_x000d__x000a_234000_x000d__x000a_"/>
    <s v="_x000d__x000a_0_x000d__x000a_"/>
    <s v="_x000d__x000a_0_x000d__x000a_"/>
  </r>
  <r>
    <s v="10/12/2025"/>
    <s v="2025-9463"/>
    <s v="Higher Education Awards"/>
    <s v="Zibusiso Buthelezi"/>
    <s v="mayibongwe.buthelezi@gmail.com"/>
    <x v="0"/>
    <x v="2"/>
    <x v="0"/>
    <x v="0"/>
    <x v="0"/>
    <x v="5"/>
    <s v="Natural Sciences"/>
    <s v="CB"/>
    <x v="0"/>
    <s v="Completed"/>
    <s v="Stellenbosch University"/>
    <s v="Microbiology"/>
    <s v="Reworking microbial energy trade-offs in the changing Southern Ocean: carbon fixation, stress tolerance, and nutrient acquisition"/>
    <d v="2026-01-19T00:00:00"/>
    <n v="2"/>
    <s v="_x000d__x000a_154498_x000d__x000a_"/>
    <s v="_x000d__x000a_523000_x000d__x000a_"/>
    <s v="_x000d__x000a_0_x000d__x000a_"/>
  </r>
  <r>
    <s v="10/12/2025"/>
    <s v="2025-8329"/>
    <s v="Higher Education Awards"/>
    <s v="Ariel Kraitzick"/>
    <s v="arielkraitzick@gmail.com"/>
    <x v="0"/>
    <x v="1"/>
    <x v="1"/>
    <x v="0"/>
    <x v="0"/>
    <x v="8"/>
    <s v="Health Sciences"/>
    <s v="CB"/>
    <x v="0"/>
    <s v="Completed"/>
    <s v="University of Cape Town"/>
    <s v="PhD"/>
    <s v="Neuroscience"/>
    <d v="2026-02-02T00:00:00"/>
    <n v="3"/>
    <s v="_x000d__x000a_249328_x000d__x000a_"/>
    <s v="_x000d__x000a_243381_x000d__x000a_"/>
    <s v="_x000d__x000a_256946_x000d__x000a_"/>
  </r>
  <r>
    <s v="10/12/2025"/>
    <s v="2025-9232"/>
    <s v="Higher Education Awards"/>
    <s v="Pieter Conradie"/>
    <s v="pconradie0531@gmail.com"/>
    <x v="0"/>
    <x v="1"/>
    <x v="1"/>
    <x v="0"/>
    <x v="0"/>
    <x v="2"/>
    <s v="Humanities"/>
    <s v="CB"/>
    <x v="0"/>
    <s v="Completed"/>
    <s v="Stellenbosch University"/>
    <s v="PhD in English Studies"/>
    <s v="Caribbean epic poetry; Oceanic Studies; Postcolonial Critique"/>
    <d v="2026-02-01T00:00:00"/>
    <n v="3"/>
    <s v="_x000d__x000a_124500_x000d__x000a_"/>
    <s v="_x000d__x000a_124500_x000d__x000a_"/>
    <s v="_x000d__x000a_124500_x000d__x000a_"/>
  </r>
  <r>
    <s v="10/12/2025"/>
    <s v="2025-8422"/>
    <s v="Higher Education Awards"/>
    <s v="Stephanie Dwyer"/>
    <s v="dwyersteph@gmail.com"/>
    <x v="0"/>
    <x v="1"/>
    <x v="1"/>
    <x v="1"/>
    <x v="0"/>
    <x v="0"/>
    <s v="Natural Sciences"/>
    <s v="CB"/>
    <x v="0"/>
    <s v="Completed"/>
    <s v="Rhodes University"/>
    <s v="PHD in applied mathematics"/>
    <s v="Black holes in general relativity "/>
    <d v="2026-01-18T00:00:00"/>
    <n v="3"/>
    <s v="_x000d__x000a_68100_x000d__x000a_"/>
    <s v="_x000d__x000a_200600_x000d__x000a_"/>
    <s v="_x000d__x000a_215100_x000d__x000a_"/>
  </r>
  <r>
    <s v="10/12/2025"/>
    <s v="2025-8877"/>
    <s v="Higher Education Awards"/>
    <s v="Luke Stoffels"/>
    <s v="lukestoffels.light147@gmail.com"/>
    <x v="0"/>
    <x v="0"/>
    <x v="2"/>
    <x v="0"/>
    <x v="0"/>
    <x v="2"/>
    <s v="Humanities"/>
    <s v="CB"/>
    <x v="0"/>
    <s v="Completed"/>
    <s v="University of the Western Cape"/>
    <s v="Philosophy"/>
    <s v="Systems of Oppression"/>
    <d v="2025-02-03T00:00:00"/>
    <n v="2"/>
    <s v="_x000d__x000a_180000_x000d__x000a_"/>
    <s v="_x000d__x000a_160000_x000d__x000a_"/>
    <s v="_x000d__x000a_0_x000d__x000a_"/>
  </r>
  <r>
    <s v="10/12/2025"/>
    <s v="2025-9040"/>
    <s v="Higher Education Awards"/>
    <s v="Namhla Faith Mtukushe"/>
    <s v="607147@students.wits.ac.za"/>
    <x v="0"/>
    <x v="1"/>
    <x v="0"/>
    <x v="1"/>
    <x v="0"/>
    <x v="1"/>
    <s v="Engineering &amp; the Built Environment"/>
    <s v="CB"/>
    <x v="0"/>
    <s v="Completed"/>
    <s v="University of the Witwatersrand"/>
    <s v="Doctor of Philosophy in Electrical &amp; Information Engineering"/>
    <s v="Power Smoothing and Integration of Oscillating Water Column Wave Energy Converter into an Isolated DC Microgrid"/>
    <d v="2022-07-01T00:00:00"/>
    <n v="1"/>
    <s v="_x000d__x000a_106000_x000d__x000a_"/>
    <s v="_x000d__x000a_0_x000d__x000a_"/>
    <s v="_x000d__x000a_0_x000d__x000a_"/>
  </r>
  <r>
    <s v="10/12/2025"/>
    <s v="2025-9905"/>
    <s v="Higher Education Awards"/>
    <s v="Johanna Nambili"/>
    <s v="joeynambili@gmail.com"/>
    <x v="3"/>
    <x v="0"/>
    <x v="0"/>
    <x v="1"/>
    <x v="0"/>
    <x v="0"/>
    <s v="Applied Sciences"/>
    <s v="CB"/>
    <x v="0"/>
    <s v="Completed"/>
    <s v="Witwatersrand University"/>
    <s v="Masters in Geophysics"/>
    <s v="Analysis of Surface waves"/>
    <d v="2026-01-02T00:00:00"/>
    <n v="2"/>
    <s v="_x000d__x000a_60000_x000d__x000a_"/>
    <s v="_x000d__x000a_60000_x000d__x000a_"/>
    <s v="_x000d__x000a_0_x000d__x000a_"/>
  </r>
  <r>
    <s v="10/12/2025"/>
    <s v="2025-9602"/>
    <s v="Higher Education Awards"/>
    <s v="Anneliese Mehnert"/>
    <s v="mehneah@unisa.ac.za"/>
    <x v="0"/>
    <x v="1"/>
    <x v="1"/>
    <x v="1"/>
    <x v="0"/>
    <x v="2"/>
    <s v="Other"/>
    <s v="CB"/>
    <x v="0"/>
    <s v="Completed"/>
    <s v="University of the Witwatersrand"/>
    <s v="Doctor of Philosophy in Education"/>
    <s v="History education and museum collections as educational resources"/>
    <d v="2022-06-01T00:00:00"/>
    <n v="1"/>
    <s v="_x000d__x000a_246000_x000d__x000a_"/>
    <s v="_x000d__x000a_0_x000d__x000a_"/>
    <s v="_x000d__x000a_0_x000d__x000a_"/>
  </r>
  <r>
    <s v="10/12/2025"/>
    <s v="2025-9682"/>
    <s v="Higher Education Awards"/>
    <s v="Chavonne Sukdaven"/>
    <s v="sukchavvy@gmail.com"/>
    <x v="0"/>
    <x v="0"/>
    <x v="4"/>
    <x v="1"/>
    <x v="0"/>
    <x v="5"/>
    <s v="Natural Sciences"/>
    <s v="CB"/>
    <x v="0"/>
    <s v="Completed"/>
    <s v="University of Pretoria"/>
    <s v="MSc Chemistry"/>
    <s v="Studying the Anticancer and Anti-inflammatory Potential of 12 South African Medicinal Plants"/>
    <d v="2025-12-17T00:00:00"/>
    <n v="1"/>
    <s v="_x000d__x000a_84000_x000d__x000a_"/>
    <s v="_x000d__x000a_0_x000d__x000a_"/>
    <s v="_x000d__x000a_0_x000d__x000a_"/>
  </r>
  <r>
    <s v="10/12/2025"/>
    <s v="2025-9382"/>
    <s v="Higher Education Awards"/>
    <s v="Sophia Trollip"/>
    <s v="sophiatrollip@outlook.com"/>
    <x v="3"/>
    <x v="0"/>
    <x v="1"/>
    <x v="1"/>
    <x v="0"/>
    <x v="8"/>
    <s v="Health Sciences"/>
    <s v="CB"/>
    <x v="0"/>
    <s v="Completed"/>
    <s v="Stellenbosch University"/>
    <s v="Human Genetics - Biomedical Science"/>
    <s v="TB Host Genetics"/>
    <d v="2025-01-20T00:00:00"/>
    <n v="1"/>
    <s v="_x000d__x000a_113250_x000d__x000a_"/>
    <s v="_x000d__x000a_0_x000d__x000a_"/>
    <s v="_x000d__x000a_0_x000d__x000a_"/>
  </r>
  <r>
    <s v="10/12/2025"/>
    <s v="2025-8495"/>
    <s v="Higher Education Awards"/>
    <s v="Mosa Mahamane"/>
    <s v="mosamahamane@gmail.com"/>
    <x v="0"/>
    <x v="0"/>
    <x v="0"/>
    <x v="1"/>
    <x v="0"/>
    <x v="8"/>
    <s v="Health Sciences"/>
    <s v="CB"/>
    <x v="0"/>
    <s v="Completed"/>
    <s v="University of the Witwatersrand"/>
    <s v="Master of Science in Medicine (Physiology)"/>
    <s v="Cardiorenal pathophysiology"/>
    <d v="2026-01-12T00:00:00"/>
    <n v="1"/>
    <s v="_x000d__x000a_140000_x000d__x000a_"/>
    <s v="_x000d__x000a_0_x000d__x000a_"/>
    <s v="_x000d__x000a_0_x000d__x000a_"/>
  </r>
  <r>
    <s v="10/12/2025"/>
    <s v="2025-9823"/>
    <s v="Higher Education Awards"/>
    <s v="Sodiq Alimi"/>
    <s v="alimi.sodiq@gmail.com"/>
    <x v="0"/>
    <x v="2"/>
    <x v="0"/>
    <x v="0"/>
    <x v="0"/>
    <x v="5"/>
    <s v="Natural Sciences"/>
    <s v="CB"/>
    <x v="0"/>
    <s v="Draft"/>
    <s v="University of Cape Town"/>
    <s v="Geology"/>
    <s v="Advancing Diamond Exploration in the Kaapvaal Craton: A Predictive Framework Integrating Multi-Source Geoexploration Data and Machine Learning"/>
    <d v="2026-01-01T00:00:00"/>
    <n v="2"/>
    <s v="_x000d__x000a_400000_x000d__x000a_"/>
    <s v="_x000d__x000a_320000_x000d__x000a_"/>
    <s v="_x000d__x000a_0_x000d__x000a_"/>
  </r>
  <r>
    <s v="10/12/2025"/>
    <s v="2025-9306"/>
    <s v="Higher Education Awards"/>
    <s v="Mildith Bosch"/>
    <s v="mildie.b@gmail.com"/>
    <x v="3"/>
    <x v="0"/>
    <x v="2"/>
    <x v="1"/>
    <x v="0"/>
    <x v="8"/>
    <s v="Health Sciences"/>
    <s v="CB"/>
    <x v="0"/>
    <s v="Completed"/>
    <s v="University of Pretoria"/>
    <s v="MPhil in Philosophy and Ethics of Mental Health"/>
    <s v="An evaluation of the link between mental health practice and the philosophies influencing these practices, within the South African context."/>
    <d v="2026-02-02T00:00:00"/>
    <n v="1"/>
    <s v="_x000d__x000a_28000_x000d__x000a_"/>
    <s v="_x000d__x000a_0_x000d__x000a_"/>
    <s v="_x000d__x000a_0_x000d__x000a_"/>
  </r>
  <r>
    <s v="10/12/2025"/>
    <s v="2025-8691"/>
    <s v="Higher Education Awards"/>
    <s v="Gwen Ironsi"/>
    <s v="IRNGWE001@myuct.ac.za"/>
    <x v="0"/>
    <x v="1"/>
    <x v="0"/>
    <x v="1"/>
    <x v="0"/>
    <x v="3"/>
    <s v="Humanities"/>
    <s v="CB"/>
    <x v="0"/>
    <s v="Completed"/>
    <s v="University of Cape Town"/>
    <s v="PhD in Music"/>
    <s v="Perceptions of the Music Industry in Africa - A Comparative analysis between South Africa and Nigeria"/>
    <d v="2022-01-24T00:00:00"/>
    <n v="1"/>
    <s v="_x000d__x000a_246000_x000d__x000a_"/>
    <s v="_x000d__x000a_0_x000d__x000a_"/>
    <s v="_x000d__x000a_0_x000d__x000a_"/>
  </r>
  <r>
    <s v="10/12/2025"/>
    <s v="2025-9618"/>
    <s v="Higher Education Awards"/>
    <s v="Lungelo Mthembu"/>
    <s v="mthlun058@myuct.ac.za"/>
    <x v="0"/>
    <x v="1"/>
    <x v="0"/>
    <x v="0"/>
    <x v="0"/>
    <x v="8"/>
    <s v="Health Sciences"/>
    <s v="CB"/>
    <x v="0"/>
    <s v="Completed"/>
    <s v="University of Cape Town"/>
    <s v="Cellular Neuroscience"/>
    <s v="Elucidating the dynamics of inhibitory receptor driving force in the nervous system"/>
    <d v="2026-01-15T00:00:00"/>
    <n v="3"/>
    <s v="_x000d__x000a_21000_x000d__x000a_"/>
    <s v="_x000d__x000a_151000_x000d__x000a_"/>
    <s v="_x000d__x000a_151000_x000d__x000a_"/>
  </r>
  <r>
    <s v="10/12/2025"/>
    <s v="2025-9085"/>
    <s v="Higher Education Awards"/>
    <s v="Tlakuso Bechas Makhuva"/>
    <s v="2456473@students.wits.ac.za"/>
    <x v="0"/>
    <x v="0"/>
    <x v="0"/>
    <x v="0"/>
    <x v="0"/>
    <x v="2"/>
    <s v="Humanities"/>
    <s v="CB"/>
    <x v="0"/>
    <s v="Completed"/>
    <s v="University of the Witwatersrand"/>
    <s v="Master of Arts in Theatre and Performance"/>
    <s v="THE PARADOX OF INFLUENCE: EXPLORING THE TENSION BETWEEN MIMESIS AND POIESIS IN CONTEMPORARY THEATRE WITHIN 21ST-CENTURY AFRICA."/>
    <d v="2025-02-20T00:00:00"/>
    <n v="1"/>
    <s v="_x000d__x000a_192093_x000d__x000a_"/>
    <s v="_x000d__x000a_0_x000d__x000a_"/>
    <s v="_x000d__x000a_0_x000d__x000a_"/>
  </r>
  <r>
    <s v="10/12/2025"/>
    <s v="2025-9698"/>
    <s v="Higher Education Awards"/>
    <s v="Kelebogile Ramaphoko"/>
    <s v="alettakelebogile@gmail.com"/>
    <x v="0"/>
    <x v="0"/>
    <x v="0"/>
    <x v="1"/>
    <x v="0"/>
    <x v="6"/>
    <s v="Social Sciences"/>
    <s v="CB"/>
    <x v="0"/>
    <s v="Completed"/>
    <s v="University of Mpumalanga"/>
    <s v="Master of Arts in Sociology"/>
    <s v="Social media and community activism"/>
    <d v="2026-02-01T00:00:00"/>
    <n v="1"/>
    <s v="_x000d__x000a_150000_x000d__x000a_"/>
    <s v="_x000d__x000a_0_x000d__x000a_"/>
    <s v="_x000d__x000a_0_x000d__x000a_"/>
  </r>
  <r>
    <s v="10/12/2025"/>
    <s v="2025-8529"/>
    <s v="Higher Education Awards"/>
    <s v="Pontsho Dube"/>
    <s v="dubepontsho@gmail.com"/>
    <x v="0"/>
    <x v="0"/>
    <x v="0"/>
    <x v="1"/>
    <x v="0"/>
    <x v="2"/>
    <s v="Humanities"/>
    <s v="CB"/>
    <x v="0"/>
    <s v="Completed"/>
    <s v="University of the Witwatersrand"/>
    <s v="MA in Cultural Policy and Management"/>
    <s v="Examining the Implementation of National Cultural Policy in Grade-9 Arts Education: A Case Study of Public Schools in Thokoza"/>
    <d v="2026-01-01T00:00:00"/>
    <n v="2"/>
    <s v="_x000d__x000a_77712.15_x000d__x000a_"/>
    <s v="_x000d__x000a_42288_x000d__x000a_"/>
    <s v="_x000d__x000a_0_x000d__x000a_"/>
  </r>
  <r>
    <s v="10/12/2025"/>
    <s v="2025-9944"/>
    <s v="Higher Education Awards"/>
    <s v="Noluthando Sawuka"/>
    <s v="noluthandosawuka01@gmail.com"/>
    <x v="0"/>
    <x v="1"/>
    <x v="0"/>
    <x v="1"/>
    <x v="0"/>
    <x v="5"/>
    <s v="Natural Sciences"/>
    <s v="CB"/>
    <x v="8"/>
    <s v="Completed"/>
    <s v="University of the Witwatersrand"/>
    <s v="PhD Environmental Sciences"/>
    <s v="PLANKTON COMMUNITIES AND ASSOCIATED ECOSYSTEM PROCESSES: A CASE STUDY OF THE WAKKERSTROOM WETLAND, MPUMALANGA, SOUTH AFRICA"/>
    <d v="2025-01-30T00:00:00"/>
    <n v="3"/>
    <s v="_x000d__x000a_62746_x000d__x000a_"/>
    <s v="_x000d__x000a_152746_x000d__x000a_"/>
    <s v="_x000d__x000a_62746_x000d__x000a_"/>
  </r>
  <r>
    <s v="10/12/2025"/>
    <s v="2025-9843"/>
    <s v="Higher Education Awards"/>
    <s v="Zolani Potane"/>
    <s v="zolanipotane@gmail.com"/>
    <x v="3"/>
    <x v="0"/>
    <x v="0"/>
    <x v="0"/>
    <x v="0"/>
    <x v="2"/>
    <s v="Humanities"/>
    <s v="CB"/>
    <x v="0"/>
    <s v="Completed"/>
    <s v="UNIVERSITY OF CAPE TOWN"/>
    <s v="CINICAL SOCIAL WORK"/>
    <s v="REDIFINING MASCULINITY: A CLINICAL SOCIAL WORK PERSPECTIVE ON EMOTIONAL EXPRESSION IN MEN"/>
    <d v="2025-02-18T00:00:00"/>
    <n v="1"/>
    <s v="_x000d__x000a_127500_x000d__x000a_"/>
    <s v="_x000d__x000a_0_x000d__x000a_"/>
    <s v="_x000d__x000a_0_x000d__x000a_"/>
  </r>
  <r>
    <s v="10/12/2025"/>
    <s v="2025-8200"/>
    <s v="Higher Education Awards"/>
    <s v="Marcel Kruger"/>
    <s v="marcelkruger143@gmail.com"/>
    <x v="0"/>
    <x v="1"/>
    <x v="1"/>
    <x v="0"/>
    <x v="0"/>
    <x v="5"/>
    <s v="Natural Sciences"/>
    <s v="CB"/>
    <x v="0"/>
    <s v="Completed"/>
    <s v="North-West University"/>
    <s v="Doctoral"/>
    <s v="Uncovering Hidden Biodiversity: A Dual-Method Approach to Inform Freshwater Fish Conservation in the Limpopo Basin"/>
    <d v="2026-02-01T00:00:00"/>
    <n v="3"/>
    <s v="_x000d__x000a_245000_x000d__x000a_"/>
    <s v="_x000d__x000a_260500_x000d__x000a_"/>
    <s v="_x000d__x000a_268500_x000d__x000a_"/>
  </r>
  <r>
    <s v="10/12/2025"/>
    <s v="2025-8497"/>
    <s v="Higher Education Awards"/>
    <s v="Sinovuyo Halana"/>
    <s v="sinovuyo.halana@gmail.com"/>
    <x v="0"/>
    <x v="0"/>
    <x v="0"/>
    <x v="0"/>
    <x v="0"/>
    <x v="8"/>
    <s v="Health Sciences"/>
    <s v="CB"/>
    <x v="0"/>
    <s v="Completed"/>
    <s v="University of the Witwatersrand"/>
    <s v="MSc (Medicine) in Physiology"/>
    <s v="The Prevalence of Metabolic Syndrome and Its Association with Vascular Markers in Young South African Adults"/>
    <d v="2025-02-05T00:00:00"/>
    <n v="1"/>
    <s v="_x000d__x000a_190149.6_x000d__x000a_"/>
    <s v="_x000d__x000a_0_x000d__x000a_"/>
    <s v="_x000d__x000a_0_x000d__x000a_"/>
  </r>
  <r>
    <s v="10/12/2025"/>
    <s v="2025-9384"/>
    <s v="Higher Education Awards"/>
    <s v="Carmen Schoeman"/>
    <s v="carmenschoeman2505@gmail.com"/>
    <x v="0"/>
    <x v="1"/>
    <x v="1"/>
    <x v="1"/>
    <x v="0"/>
    <x v="8"/>
    <s v="Health Sciences"/>
    <s v="CB"/>
    <x v="0"/>
    <s v="Completed"/>
    <s v="North West University"/>
    <s v="Doctor of Philosophy in Pharmaceutics"/>
    <s v="Nose-to-Brain drug delivery"/>
    <d v="2025-01-01T00:00:00"/>
    <n v="2"/>
    <s v="_x000d__x000a_159754.5_x000d__x000a_"/>
    <s v="_x000d__x000a_165961.25_x000d__x000a_"/>
    <s v="_x000d__x000a_0_x000d__x000a_"/>
  </r>
  <r>
    <s v="10/12/2025"/>
    <s v="2025-9622"/>
    <s v="Higher Education Awards"/>
    <s v="Yamkela Ntantiso"/>
    <s v="yamkelantantiso@gmail.com"/>
    <x v="0"/>
    <x v="1"/>
    <x v="0"/>
    <x v="0"/>
    <x v="0"/>
    <x v="8"/>
    <s v="Health Sciences"/>
    <s v="CB"/>
    <x v="0"/>
    <s v="Completed"/>
    <s v="University of Cape Town"/>
    <s v="PhD Bioinformatics"/>
    <s v="Genomics"/>
    <d v="2026-01-12T00:00:00"/>
    <n v="3"/>
    <s v="_x000d__x000a_282170_x000d__x000a_"/>
    <s v="_x000d__x000a_287170_x000d__x000a_"/>
    <s v="_x000d__x000a_297170_x000d__x000a_"/>
  </r>
  <r>
    <s v="10/12/2025"/>
    <s v="2025-8348"/>
    <s v="Higher Education Awards"/>
    <s v="Odwa Biko"/>
    <s v="ody@sun.ac.za"/>
    <x v="0"/>
    <x v="2"/>
    <x v="0"/>
    <x v="0"/>
    <x v="0"/>
    <x v="5"/>
    <s v="Natural Sciences"/>
    <s v="CB"/>
    <x v="0"/>
    <s v="Completed"/>
    <s v="Stellenbosch University"/>
    <s v="Microbiology"/>
    <s v="High-yield production of recombinant bioplastic hydrolases in yeast"/>
    <d v="2026-01-15T00:00:00"/>
    <n v="2"/>
    <s v="_x000d__x000a_434000_x000d__x000a_"/>
    <s v="_x000d__x000a_463200_x000d__x000a_"/>
    <s v="_x000d__x000a_443520_x000d__x000a_"/>
  </r>
  <r>
    <s v="10/12/2025"/>
    <s v="2025-9253"/>
    <s v="Higher Education Awards"/>
    <s v="Itumeleng Makhubela"/>
    <s v="itumeleng.makhubelaa@gmail.com"/>
    <x v="3"/>
    <x v="0"/>
    <x v="0"/>
    <x v="0"/>
    <x v="0"/>
    <x v="4"/>
    <s v="Commerce &amp; Management"/>
    <s v="CB"/>
    <x v="19"/>
    <s v="Draft"/>
    <s v="Wits Business School"/>
    <s v="Masters of Management in Finance and Investment."/>
    <s v="Finance and Investment."/>
    <d v="2026-01-05T00:00:00"/>
    <n v="1"/>
    <s v="_x000d__x000a_363000_x000d__x000a_"/>
    <s v="_x000d__x000a_0_x000d__x000a_"/>
    <s v="_x000d__x000a_0_x000d__x000a_"/>
  </r>
  <r>
    <s v="10/12/2025"/>
    <s v="2025-9325"/>
    <s v="Higher Education Awards"/>
    <s v="Blessing Gumbu"/>
    <s v="blessgumbu98@gmail.com"/>
    <x v="0"/>
    <x v="0"/>
    <x v="0"/>
    <x v="0"/>
    <x v="0"/>
    <x v="8"/>
    <s v="Health Sciences"/>
    <s v="CB"/>
    <x v="0"/>
    <s v="Completed"/>
    <s v="University of Cape Town"/>
    <s v="Msc in Neuroscience and Physiology"/>
    <s v="Neuroimmune response of astrocytes to cryptococcal meningitis"/>
    <d v="2026-01-30T00:00:00"/>
    <n v="2"/>
    <s v="_x000d__x000a_231400_x000d__x000a_"/>
    <s v="_x000d__x000a_231400_x000d__x000a_"/>
    <s v="_x000d__x000a_0_x000d__x000a_"/>
  </r>
  <r>
    <s v="10/12/2025"/>
    <s v="2025-8393"/>
    <s v="Higher Education Awards"/>
    <s v="Shawana Mafuna"/>
    <s v="shawanapulanemafuna@gmail.com"/>
    <x v="1"/>
    <x v="0"/>
    <x v="0"/>
    <x v="1"/>
    <x v="1"/>
    <x v="3"/>
    <s v="Performing &amp; Creative Arts"/>
    <s v="CB"/>
    <x v="15"/>
    <s v="Completed"/>
    <s v="Columbia University"/>
    <s v="Master of Fine Arts in Creative Producing"/>
    <s v="Creative Producing"/>
    <d v="2025-09-02T00:00:00"/>
    <n v="2"/>
    <s v="_x000d__x000a_1452718.27_x000d__x000a_"/>
    <s v="_x000d__x000a_1522450.49_x000d__x000a_"/>
    <s v="_x000d__x000a_0_x000d__x000a_"/>
  </r>
  <r>
    <s v="10/12/2025"/>
    <s v="2025-9734"/>
    <s v="Higher Education Awards"/>
    <s v="Vuyisani Mkwambi"/>
    <s v="mkwvuy006@myuct.ac.za"/>
    <x v="0"/>
    <x v="0"/>
    <x v="0"/>
    <x v="0"/>
    <x v="0"/>
    <x v="3"/>
    <s v="Humanities"/>
    <s v="CB"/>
    <x v="0"/>
    <s v="Completed"/>
    <s v="University of Cape Town"/>
    <s v="Master of Music"/>
    <s v="Indigenous knowledge and music innovation: the integrationof African indigenous instruments into commercial music"/>
    <d v="2026-02-16T00:00:00"/>
    <n v="1"/>
    <s v="_x000d__x000a_183000_x000d__x000a_"/>
    <s v="_x000d__x000a_0_x000d__x000a_"/>
    <s v="_x000d__x000a_0_x000d__x000a_"/>
  </r>
  <r>
    <s v="10/12/2025"/>
    <s v="2025-8771"/>
    <s v="Higher Education Awards"/>
    <s v="Monique Williams"/>
    <s v="monique.williams@uct.ac.za"/>
    <x v="0"/>
    <x v="3"/>
    <x v="2"/>
    <x v="1"/>
    <x v="1"/>
    <x v="8"/>
    <s v="Natural Sciences"/>
    <s v="CB"/>
    <x v="0"/>
    <s v="Draft"/>
    <s v="University of East Anglia, United Kingdom"/>
    <s v="Short research visit"/>
    <s v="Studying iron-sulfur cluster proteins using native mass spectrometry"/>
    <d v="2026-03-01T00:00:00"/>
    <n v="1"/>
    <s v="_x000d__x000a_126713.85_x000d__x000a_"/>
    <s v="_x000d__x000a_0_x000d__x000a_"/>
    <s v="_x000d__x000a_0_x000d__x000a_"/>
  </r>
  <r>
    <s v="10/12/2025"/>
    <s v="2025-9405"/>
    <s v="Higher Education Awards"/>
    <s v="Bianca Wessels"/>
    <s v="Biancawessels29@gmail.com"/>
    <x v="0"/>
    <x v="0"/>
    <x v="1"/>
    <x v="1"/>
    <x v="0"/>
    <x v="8"/>
    <s v="Health Sciences"/>
    <s v="CB"/>
    <x v="0"/>
    <s v="Completed"/>
    <s v="Stellenbosch University"/>
    <s v="Human Genetics"/>
    <s v="The role of mitochondrial dysfunction and oxidative stress in neurodegenerative disorders and if antioxidant therapy can reduce cognitive decline"/>
    <d v="2026-01-01T00:00:00"/>
    <n v="2"/>
    <s v="_x000d__x000a_373000_x000d__x000a_"/>
    <s v="_x000d__x000a_373000_x000d__x000a_"/>
    <s v="_x000d__x000a_0_x000d__x000a_"/>
  </r>
  <r>
    <s v="10/12/2025"/>
    <s v="2025-9777"/>
    <s v="Higher Education Awards"/>
    <s v="Martine van den Berg"/>
    <s v="martinevdb1@gmail.com"/>
    <x v="0"/>
    <x v="1"/>
    <x v="1"/>
    <x v="1"/>
    <x v="0"/>
    <x v="5"/>
    <s v="Natural Sciences"/>
    <s v="CB"/>
    <x v="0"/>
    <s v="Completed"/>
    <s v="University of the Witwatersrand"/>
    <s v="PhD in Animal, Plant and Environmental Sciences"/>
    <s v="Modelling the sensitivity and exposure of small mammals to current and future warming"/>
    <d v="2026-01-05T00:00:00"/>
    <n v="3"/>
    <s v="_x000d__x000a_195525_x000d__x000a_"/>
    <s v="_x000d__x000a_207094_x000d__x000a_"/>
    <s v="_x000d__x000a_207014_x000d__x000a_"/>
  </r>
  <r>
    <s v="10/12/2025"/>
    <s v="2025-8216"/>
    <s v="Higher Education Awards"/>
    <s v="Kirstin Davies"/>
    <s v="DVSKIR003@myuct.ac.za"/>
    <x v="0"/>
    <x v="0"/>
    <x v="1"/>
    <x v="1"/>
    <x v="0"/>
    <x v="8"/>
    <s v="Health Sciences"/>
    <s v="CB"/>
    <x v="0"/>
    <s v="Completed"/>
    <s v="University of Cape Town"/>
    <s v="MSc Physiology with focus on Sleep Science"/>
    <s v="Investigating physiological hyperarousal during sleep in adolescents: Implications for autonomic nervous system regulation and sleep quality"/>
    <d v="2025-02-17T00:00:00"/>
    <n v="1"/>
    <s v="_x000d__x000a_83000_x000d__x000a_"/>
    <s v="_x000d__x000a_0_x000d__x000a_"/>
    <s v="_x000d__x000a_0_x000d__x000a_"/>
  </r>
  <r>
    <s v="10/12/2025"/>
    <s v="2025-9016"/>
    <s v="Higher Education Awards"/>
    <s v="Hannah Wesson"/>
    <s v="hannahwesson666@gmail.com"/>
    <x v="0"/>
    <x v="0"/>
    <x v="1"/>
    <x v="1"/>
    <x v="0"/>
    <x v="2"/>
    <s v="Humanities"/>
    <s v="CB"/>
    <x v="0"/>
    <s v="Draft"/>
    <s v="University of Cape Town"/>
    <s v="Masters in Political Communication"/>
    <s v="Propaganda and Political Strategy"/>
    <d v="2026-02-16T00:00:00"/>
    <n v="2"/>
    <s v="_x000d__x000a_145700_x000d__x000a_"/>
    <s v="_x000d__x000a_153174_x000d__x000a_"/>
    <s v="_x000d__x000a_0_x000d__x000a_"/>
  </r>
  <r>
    <s v="10/12/2025"/>
    <s v="2025-9471"/>
    <s v="Higher Education Awards"/>
    <s v="Albert Kagande"/>
    <s v="kagandealbert@gmail.com"/>
    <x v="0"/>
    <x v="2"/>
    <x v="0"/>
    <x v="0"/>
    <x v="0"/>
    <x v="6"/>
    <s v="Social Sciences"/>
    <s v="CB"/>
    <x v="0"/>
    <s v="Completed"/>
    <s v="Nelson Mandela University"/>
    <s v="Postdoctoral Fellowship"/>
    <s v="Leveraging Non-Profit and Social Enterprise Circular Economy Models for Sustainable Climate-Action in South Africa"/>
    <d v="2026-01-05T00:00:00"/>
    <n v="2"/>
    <s v="_x000d__x000a_432000_x000d__x000a_"/>
    <s v="_x000d__x000a_466000_x000d__x000a_"/>
    <s v="_x000d__x000a_0_x000d__x000a_"/>
  </r>
  <r>
    <s v="10/12/2025"/>
    <s v="2025-8566"/>
    <s v="Higher Education Awards"/>
    <s v="Lineo Sakoane"/>
    <s v="Lsakoane@yahoo.co.uk"/>
    <x v="1"/>
    <x v="1"/>
    <x v="0"/>
    <x v="1"/>
    <x v="0"/>
    <x v="6"/>
    <s v="Social Sciences"/>
    <s v="CB"/>
    <x v="1"/>
    <s v="Completed"/>
    <s v="University of Kwazulu-Natal"/>
    <s v="Doctor of Philosophy (Development Studies)"/>
    <s v="The Economic effects of youth unemployment in South Africa, a case study of Alexandra Township."/>
    <d v="2026-02-01T00:00:00"/>
    <n v="3"/>
    <s v="_x000d__x000a_145000_x000d__x000a_"/>
    <s v="_x000d__x000a_155000_x000d__x000a_"/>
    <s v="_x000d__x000a_180000_x000d__x000a_"/>
  </r>
  <r>
    <s v="10/12/2025"/>
    <s v="2025-8206"/>
    <s v="Higher Education Awards"/>
    <s v="Qiniso Mavuso"/>
    <s v="mavusoqiniso11@gmail.com"/>
    <x v="0"/>
    <x v="1"/>
    <x v="0"/>
    <x v="0"/>
    <x v="0"/>
    <x v="0"/>
    <s v="Natural Sciences"/>
    <s v="CB"/>
    <x v="0"/>
    <s v="Completed"/>
    <s v="University of Cape Town"/>
    <s v="Mathematics"/>
    <s v="Topic in Topological Data Analysis (TDA)"/>
    <d v="2026-02-09T00:00:00"/>
    <n v="3"/>
    <s v="_x000d__x000a_205000_x000d__x000a_"/>
    <s v="_x000d__x000a_205000_x000d__x000a_"/>
    <s v="_x000d__x000a_205000_x000d__x000a_"/>
  </r>
  <r>
    <s v="10/12/2025"/>
    <s v="2025-9420"/>
    <s v="Higher Education Awards"/>
    <s v="Anelisiwe Qetuka"/>
    <s v="qetukaanelisiwe@gmail.com"/>
    <x v="0"/>
    <x v="0"/>
    <x v="0"/>
    <x v="1"/>
    <x v="0"/>
    <x v="8"/>
    <s v="Health Sciences"/>
    <s v="CB"/>
    <x v="0"/>
    <s v="Completed"/>
    <s v="University of the Witwatersrand"/>
    <s v="Masters of Science (MSc) in Epidemiology"/>
    <s v="Mental health experiences of young Xhosa men undergoing traditional male circumcision (ulwaluko) in South Africa"/>
    <d v="2026-01-12T00:00:00"/>
    <n v="2"/>
    <s v="_x000d__x000a_231000_x000d__x000a_"/>
    <s v="_x000d__x000a_148000_x000d__x000a_"/>
    <s v="_x000d__x000a_0_x000d__x000a_"/>
  </r>
  <r>
    <s v="10/12/2025"/>
    <s v="2025-9307"/>
    <s v="Higher Education Awards"/>
    <s v="Rirhandzu Chantel Nukeri"/>
    <s v="Chantelnukeri@gmail.com"/>
    <x v="0"/>
    <x v="0"/>
    <x v="0"/>
    <x v="1"/>
    <x v="0"/>
    <x v="7"/>
    <s v="Law"/>
    <s v="CB"/>
    <x v="44"/>
    <s v="Completed"/>
    <s v="University of the free state"/>
    <s v="Master of Laws specializing in Constitutional law and philosophy of law"/>
    <s v="The disposal of foetal matter born before viability period: A legal and ethical analysis"/>
    <d v="2025-08-11T00:00:00"/>
    <n v="1"/>
    <s v="_x000d__x000a_122490_x000d__x000a_"/>
    <s v="_x000d__x000a_0_x000d__x000a_"/>
    <s v="_x000d__x000a_0_x000d__x000a_"/>
  </r>
  <r>
    <s v="10/12/2025"/>
    <s v="2025-9483"/>
    <s v="Higher Education Awards"/>
    <s v="Rudzani Mashau"/>
    <s v="Rudzanim@nicd.ac.za"/>
    <x v="0"/>
    <x v="1"/>
    <x v="0"/>
    <x v="1"/>
    <x v="0"/>
    <x v="8"/>
    <s v="Health Sciences"/>
    <s v="CB"/>
    <x v="0"/>
    <s v="Draft"/>
    <s v="University of Witswatersrand"/>
    <s v="Doctor Of Philosophy (PhD)"/>
    <s v="Epidemiology of bacterial and fungal invasive infections in neonates in South Africa"/>
    <d v="2026-01-01T00:00:00"/>
    <n v="2"/>
    <s v="_x000d__x000a_-687000_x000d__x000a_"/>
    <s v="_x000d__x000a_105000_x000d__x000a_"/>
    <s v="_x000d__x000a_0_x000d__x000a_"/>
  </r>
  <r>
    <s v="10/12/2025"/>
    <s v="2025-9342"/>
    <s v="Higher Education Awards"/>
    <s v="Ayanda Boitumelo Mafadza"/>
    <s v="mafadzaboitumelo@gmail.com"/>
    <x v="3"/>
    <x v="0"/>
    <x v="0"/>
    <x v="1"/>
    <x v="0"/>
    <x v="2"/>
    <s v="Humanities"/>
    <s v="CB"/>
    <x v="21"/>
    <s v="Completed"/>
    <s v="University of Cape Town"/>
    <s v="Masters"/>
    <s v="Exploring physical health of social work students at one Higher Education Institution in the Western Cape - The perspective of graduates."/>
    <d v="2026-01-02T00:00:00"/>
    <n v="2"/>
    <s v="_x000d__x000a_215600_x000d__x000a_"/>
    <s v="_x000d__x000a_215700_x000d__x000a_"/>
    <s v="_x000d__x000a_0_x000d__x000a_"/>
  </r>
  <r>
    <s v="10/12/2025"/>
    <s v="2025-9927"/>
    <s v="Higher Education Awards"/>
    <s v="Lorraine Thandiwe Matshazi"/>
    <s v="thandiwelm92@gmail.com"/>
    <x v="0"/>
    <x v="1"/>
    <x v="0"/>
    <x v="1"/>
    <x v="0"/>
    <x v="6"/>
    <s v="Social Sciences"/>
    <s v="CB"/>
    <x v="0"/>
    <s v="Draft"/>
    <s v="University of Johannesburg"/>
    <s v="Doctorate"/>
    <s v="The Silent Stakeholder: Examining the Unintended Consequences of Gender Equality Policies on Men in South Africa and the Case for Inclusive Reform"/>
    <d v="2026-01-01T00:00:00"/>
    <n v="3"/>
    <s v="_x000d__x000a_240000_x000d__x000a_"/>
    <s v="_x000d__x000a_550000_x000d__x000a_"/>
    <s v="_x000d__x000a_330000_x000d__x000a_"/>
  </r>
  <r>
    <s v="10/12/2025"/>
    <s v="2025-9649"/>
    <s v="Higher Education Awards"/>
    <s v="Sankwetea Prudent Mokgokong"/>
    <s v="sankwetea@gmail.com"/>
    <x v="0"/>
    <x v="1"/>
    <x v="0"/>
    <x v="1"/>
    <x v="0"/>
    <x v="5"/>
    <s v="Natural Sciences"/>
    <s v="CB"/>
    <x v="0"/>
    <s v="Completed"/>
    <s v="North-West University"/>
    <s v="Doctoral"/>
    <s v="Antibiotic resistance in communal and commercial farms"/>
    <d v="2026-01-05T00:00:00"/>
    <n v="3"/>
    <s v="_x000d__x000a_175112_x000d__x000a_"/>
    <s v="_x000d__x000a_137623.2_x000d__x000a_"/>
    <s v="_x000d__x000a_106385.52_x000d__x000a_"/>
  </r>
  <r>
    <s v="10/12/2025"/>
    <s v="2025-8903"/>
    <s v="Higher Education Awards"/>
    <s v="Willem Hendrik Boshoff"/>
    <s v="willembshff763@gmail.com"/>
    <x v="0"/>
    <x v="1"/>
    <x v="5"/>
    <x v="0"/>
    <x v="0"/>
    <x v="5"/>
    <s v="Natural Sciences"/>
    <s v="CB"/>
    <x v="32"/>
    <s v="Completed"/>
    <s v="University of Pretoria"/>
    <s v="PhD Medicinal Plant Science"/>
    <s v="Chemical Ecology, Psychoactive Plants"/>
    <d v="2026-01-01T00:00:00"/>
    <n v="3"/>
    <s v="_x000d__x000a_100000_x000d__x000a_"/>
    <s v="_x000d__x000a_100000_x000d__x000a_"/>
    <s v="_x000d__x000a_100000_x000d__x000a_"/>
  </r>
  <r>
    <s v="10/12/2025"/>
    <s v="2025-8584"/>
    <s v="Higher Education Awards"/>
    <s v="Enrike Groenewald"/>
    <s v="enrikegroenewald@gmail.com"/>
    <x v="0"/>
    <x v="0"/>
    <x v="1"/>
    <x v="1"/>
    <x v="0"/>
    <x v="3"/>
    <s v="Performing &amp; Creative Arts"/>
    <s v="CB"/>
    <x v="0"/>
    <s v="Completed"/>
    <s v="Stellenbosch University"/>
    <s v="MA Visual Arts, specialising in Jewellery Design"/>
    <s v="Investigating the abject embodiment of insects through Contemporary Jewellery"/>
    <d v="2026-02-09T00:00:00"/>
    <n v="1"/>
    <s v="_x000d__x000a_197518_x000d__x000a_"/>
    <s v="_x000d__x000a_0_x000d__x000a_"/>
    <s v="_x000d__x000a_0_x000d__x000a_"/>
  </r>
  <r>
    <s v="10/12/2025"/>
    <s v="2025-9898"/>
    <s v="Higher Education Awards"/>
    <s v="Thembelihle Siduduzo Ngwenya"/>
    <s v="2096897@students.wits.ac.za"/>
    <x v="3"/>
    <x v="0"/>
    <x v="0"/>
    <x v="1"/>
    <x v="0"/>
    <x v="1"/>
    <s v="Engineering &amp; the Built Environment"/>
    <s v="CB"/>
    <x v="0"/>
    <s v="Completed"/>
    <s v="University of the Witwatersrand"/>
    <s v="Chemical and Metallurgical Engineering"/>
    <s v="Carbon Dioxide-Assisted Fabrication of Structural Glass-Ceramic Materials from Fly Ash and Silicate Binder"/>
    <d v="2025-03-03T00:00:00"/>
    <n v="1"/>
    <s v="_x000d__x000a_215820_x000d__x000a_"/>
    <s v="_x000d__x000a_0_x000d__x000a_"/>
    <s v="_x000d__x000a_0_x000d__x000a_"/>
  </r>
  <r>
    <s v="10/12/2025"/>
    <s v="2025-8873"/>
    <s v="Higher Education Awards"/>
    <s v="Roseline Hwati"/>
    <s v="683975@students.wits.ac.za"/>
    <x v="3"/>
    <x v="1"/>
    <x v="0"/>
    <x v="1"/>
    <x v="0"/>
    <x v="4"/>
    <s v="Commerce &amp; Management"/>
    <s v="CB"/>
    <x v="0"/>
    <s v="Completed"/>
    <s v="University of the Witwatersrand"/>
    <s v="Management (Monitoring and Evaluation and Sexual Reproductive Health Rights)"/>
    <s v="Evidence-use to improve access to sexual and reproductive healthcare services in humanitarian contexts."/>
    <d v="2026-01-08T00:00:00"/>
    <n v="3"/>
    <s v="_x000d__x000a_300246.44_x000d__x000a_"/>
    <s v="_x000d__x000a_300588.76_x000d__x000a_"/>
    <s v="_x000d__x000a_302098.23_x000d__x000a_"/>
  </r>
  <r>
    <s v="10/12/2025"/>
    <s v="2025-9832"/>
    <s v="Higher Education Awards"/>
    <s v="Sbonakaliso Zwane"/>
    <s v="sbonakalisomsizeni@gmail.com"/>
    <x v="0"/>
    <x v="1"/>
    <x v="0"/>
    <x v="0"/>
    <x v="0"/>
    <x v="5"/>
    <s v="Natural Sciences"/>
    <s v="CB"/>
    <x v="0"/>
    <s v="Completed"/>
    <s v="University of KwaZulu Natal"/>
    <s v="Soil Science"/>
    <s v="Soil organic carbon, phosphorus and other quality parameters as affected  sugarcane harvest practices under contrasting conditions"/>
    <d v="2026-01-01T00:00:00"/>
    <n v="1"/>
    <s v="_x000d__x000a_82090_x000d__x000a_"/>
    <s v="_x000d__x000a_0_x000d__x000a_"/>
    <s v="_x000d__x000a_0_x000d__x000a_"/>
  </r>
  <r>
    <s v="10/12/2025"/>
    <s v="2025-9295"/>
    <s v="Higher Education Awards"/>
    <s v="Akholiwe Lawrance Ndevu"/>
    <s v="23791950@sun.ac.za"/>
    <x v="0"/>
    <x v="0"/>
    <x v="0"/>
    <x v="0"/>
    <x v="0"/>
    <x v="6"/>
    <s v="Social Sciences"/>
    <s v="CB"/>
    <x v="0"/>
    <s v="Completed"/>
    <s v="Stellenbosch University"/>
    <s v="MPhil (Violent Histories and Repair)"/>
    <s v="Applied Ethics and Bioethics"/>
    <d v="2026-02-14T00:00:00"/>
    <n v="2"/>
    <s v="_x000d__x000a_150000_x000d__x000a_"/>
    <s v="_x000d__x000a_150000_x000d__x000a_"/>
    <s v="_x000d__x000a_0_x000d__x000a_"/>
  </r>
  <r>
    <s v="10/12/2025"/>
    <s v="2025-9883"/>
    <s v="Higher Education Awards"/>
    <s v="Arnold Mugwagwa"/>
    <s v="arnoldmugwagwa@gmail.com"/>
    <x v="0"/>
    <x v="1"/>
    <x v="0"/>
    <x v="0"/>
    <x v="0"/>
    <x v="2"/>
    <s v="Humanities"/>
    <s v="CB"/>
    <x v="0"/>
    <s v="Completed"/>
    <s v="University of Johannesburg"/>
    <s v="Doctor of Philosophy in Political Studies"/>
    <s v="Peacebuilding Politics: A Participatory Action Research evaluating and examining Approaches to Address the Politicisation of Identity, manipulative politics,  Ethno-Political, and Sectarian Divisions in Africa: Case Study of Zimbabwe"/>
    <d v="2026-02-01T00:00:00"/>
    <n v="3"/>
    <s v="_x000d__x000a_198000_x000d__x000a_"/>
    <s v="_x000d__x000a_215000_x000d__x000a_"/>
    <s v="_x000d__x000a_250000_x000d__x000a_"/>
  </r>
  <r>
    <s v="10/12/2025"/>
    <s v="2025-9873"/>
    <s v="Higher Education Awards"/>
    <s v="Thaboluhle Mkwananzi"/>
    <s v="MKWTHA036@myuct.ac.za"/>
    <x v="0"/>
    <x v="1"/>
    <x v="0"/>
    <x v="1"/>
    <x v="0"/>
    <x v="2"/>
    <s v="Humanities"/>
    <s v="CB"/>
    <x v="0"/>
    <s v="Completed"/>
    <s v="University of Cape Town"/>
    <s v="Gender Studies"/>
    <s v="Stripping Back the Gaze: Plus Size Black Burlesque as a Site of Radical Visibility"/>
    <d v="2026-01-26T00:00:00"/>
    <n v="3"/>
    <s v="_x000d__x000a_171856_x000d__x000a_"/>
    <s v="_x000d__x000a_171856_x000d__x000a_"/>
    <s v="_x000d__x000a_171856_x000d__x000a_"/>
  </r>
  <r>
    <s v="10/12/2025"/>
    <s v="2025-8738"/>
    <s v="Higher Education Awards"/>
    <s v="Sage Naidoo"/>
    <s v="sage.k.naidoo@gmail.com"/>
    <x v="0"/>
    <x v="1"/>
    <x v="4"/>
    <x v="0"/>
    <x v="0"/>
    <x v="5"/>
    <s v="Natural Sciences"/>
    <s v="CB"/>
    <x v="0"/>
    <s v="Completed"/>
    <s v="University of the Witwatersrand"/>
    <s v="PhD in Ecology and Biodiversity"/>
    <s v="Ecological, social, and economic values of nature"/>
    <d v="2025-04-11T00:00:00"/>
    <n v="2"/>
    <s v="_x000d__x000a_128000_x000d__x000a_"/>
    <s v="_x000d__x000a_128000_x000d__x000a_"/>
    <s v="_x000d__x000a_0_x000d__x000a_"/>
  </r>
  <r>
    <s v="10/12/2025"/>
    <s v="2025-9535"/>
    <s v="Higher Education Awards"/>
    <s v="Zahn Stanvliet"/>
    <s v="zstanvliet@sun.ac.za"/>
    <x v="0"/>
    <x v="1"/>
    <x v="1"/>
    <x v="1"/>
    <x v="0"/>
    <x v="0"/>
    <s v="Natural Sciences"/>
    <s v="CB"/>
    <x v="0"/>
    <s v="Completed"/>
    <s v="Stellenbosch University"/>
    <s v="PhD Polymer Science"/>
    <s v="In-depth characterisation of polymer-based nanostructures using scattering techniques"/>
    <d v="2023-02-01T00:00:00"/>
    <n v="1"/>
    <s v="_x000d__x000a_199000_x000d__x000a_"/>
    <s v="_x000d__x000a_0_x000d__x000a_"/>
    <s v="_x000d__x000a_0_x000d__x000a_"/>
  </r>
  <r>
    <s v="10/12/2025"/>
    <s v="2025-8466"/>
    <s v="Higher Education Awards"/>
    <s v="John William Robert Davids"/>
    <s v="john.davids@uct.ac.za"/>
    <x v="0"/>
    <x v="1"/>
    <x v="2"/>
    <x v="0"/>
    <x v="0"/>
    <x v="2"/>
    <s v="Humanities"/>
    <s v="CB"/>
    <x v="45"/>
    <s v="Completed"/>
    <s v="University of Cape Town"/>
    <s v="History"/>
    <s v="Documenting and archiving the history of Black African community choirs on the Cape Flats, 1980 - 2010"/>
    <d v="2026-02-01T00:00:00"/>
    <n v="3"/>
    <s v="_x000d__x000a_60073_x000d__x000a_"/>
    <s v="_x000d__x000a_58570_x000d__x000a_"/>
    <s v="_x000d__x000a_54070_x000d__x000a_"/>
  </r>
  <r>
    <s v="10/12/2025"/>
    <s v="2025-9900"/>
    <s v="Higher Education Awards"/>
    <s v="Abongile Pindo"/>
    <s v="zamapindo@gmail.com"/>
    <x v="3"/>
    <x v="2"/>
    <x v="0"/>
    <x v="1"/>
    <x v="0"/>
    <x v="8"/>
    <s v="Other"/>
    <s v="CB"/>
    <x v="0"/>
    <s v="Completed"/>
    <s v="Nelson Mandela University"/>
    <s v="Postdoctoral"/>
    <s v="mHealth framework for chronic healthcare access and patient outcomes in rural South Africa"/>
    <d v="2026-03-01T00:00:00"/>
    <n v="2"/>
    <s v="_x000d__x000a_228000_x000d__x000a_"/>
    <s v="_x000d__x000a_226000_x000d__x000a_"/>
    <s v="_x000d__x000a_0_x000d__x000a_"/>
  </r>
  <r>
    <s v="10/12/2025"/>
    <s v="2025-9796"/>
    <s v="Higher Education Awards"/>
    <s v="Megan Collings"/>
    <s v="megancollings@gmail.com"/>
    <x v="0"/>
    <x v="0"/>
    <x v="1"/>
    <x v="1"/>
    <x v="0"/>
    <x v="2"/>
    <s v="Humanities"/>
    <s v="CB"/>
    <x v="0"/>
    <s v="Completed"/>
    <s v="University of Cape Town"/>
    <s v="Masters in Research Psychology"/>
    <s v="Exploring Platonic Intimacy Among Queer Men"/>
    <d v="2025-02-18T00:00:00"/>
    <n v="1"/>
    <s v="_x000d__x000a_120228_x000d__x000a_"/>
    <s v="_x000d__x000a_0_x000d__x000a_"/>
    <s v="_x000d__x000a_0_x000d__x000a_"/>
  </r>
  <r>
    <s v="10/12/2025"/>
    <s v="2025-9562"/>
    <s v="Higher Education Awards"/>
    <s v="Olivia Jones"/>
    <s v="oliviajones@sun.ac.za"/>
    <x v="0"/>
    <x v="1"/>
    <x v="1"/>
    <x v="1"/>
    <x v="1"/>
    <x v="5"/>
    <s v="Natural Sciences"/>
    <s v="CB"/>
    <x v="0"/>
    <s v="Completed"/>
    <s v="Adelaide University"/>
    <s v="Doctor of Philosophy in Biological Sciences"/>
    <s v="Disentangling large feral herbivore impacts from interacting drivers in arid Central Australia: comparing ecological function to natives, and extinct megafauna"/>
    <d v="2026-01-01T00:00:00"/>
    <n v="3"/>
    <s v="_x000d__x000a_-51.44_x000d__x000a_"/>
    <s v="_x000d__x000a_-51.44_x000d__x000a_"/>
    <s v="_x000d__x000a_-51.44_x000d__x000a_"/>
  </r>
  <r>
    <s v="10/12/2025"/>
    <s v="2025-9896"/>
    <s v="Higher Education Awards"/>
    <s v="Siyabonga Mahlangu"/>
    <s v="sphephilesiyabonga8@gmail.com"/>
    <x v="0"/>
    <x v="0"/>
    <x v="0"/>
    <x v="0"/>
    <x v="0"/>
    <x v="5"/>
    <s v="Natural Sciences"/>
    <s v="CB"/>
    <x v="32"/>
    <s v="Completed"/>
    <s v="Rhodes University"/>
    <s v="Msc Environmental Sciences"/>
    <s v="Soil biogeochemistry"/>
    <d v="2025-01-01T00:00:00"/>
    <n v="2"/>
    <s v="_x000d__x000a_167000_x000d__x000a_"/>
    <s v="_x000d__x000a_167000_x000d__x000a_"/>
    <s v="_x000d__x000a_0_x000d__x000a_"/>
  </r>
  <r>
    <s v="10/12/2025"/>
    <s v="2025-8388"/>
    <s v="Higher Education Awards"/>
    <s v="Jordan Bougardt"/>
    <s v="jordan.bougardt@gmail.com"/>
    <x v="0"/>
    <x v="1"/>
    <x v="1"/>
    <x v="0"/>
    <x v="0"/>
    <x v="1"/>
    <s v="Engineering &amp; the Built Environment"/>
    <s v="CB"/>
    <x v="0"/>
    <s v="Completed"/>
    <s v="University of Cape Town (UCT)"/>
    <s v="PhD"/>
    <s v="Mechanical Engineering"/>
    <d v="2026-01-15T00:00:00"/>
    <n v="2"/>
    <s v="_x000d__x000a_275000_x000d__x000a_"/>
    <s v="_x000d__x000a_275000_x000d__x000a_"/>
    <s v="_x000d__x000a_0_x000d__x000a_"/>
  </r>
  <r>
    <s v="10/12/2025"/>
    <s v="2025-9588"/>
    <s v="Higher Education Awards"/>
    <s v="Skye de Pontes"/>
    <s v="skyevera58@gmail.com"/>
    <x v="0"/>
    <x v="0"/>
    <x v="1"/>
    <x v="1"/>
    <x v="0"/>
    <x v="8"/>
    <s v="Health Sciences"/>
    <s v="CB"/>
    <x v="0"/>
    <s v="Completed"/>
    <s v="University of Cape Town"/>
    <s v="MPhil in Behavioural Medicine"/>
    <s v="Exploring Willingness and Perspectives on Integrative HIV Services in Barbershops: A Mixed-Methods Study"/>
    <d v="2026-01-01T00:00:00"/>
    <n v="1"/>
    <s v="_x000d__x000a_258800_x000d__x000a_"/>
    <s v="_x000d__x000a_0_x000d__x000a_"/>
    <s v="_x000d__x000a_0_x000d__x000a_"/>
  </r>
  <r>
    <s v="10/12/2025"/>
    <s v="2025-8389"/>
    <s v="Higher Education Awards"/>
    <s v="Graham Maseli"/>
    <s v="gtmaseli@gmail.com"/>
    <x v="0"/>
    <x v="0"/>
    <x v="0"/>
    <x v="0"/>
    <x v="0"/>
    <x v="4"/>
    <s v="Commerce &amp; Management"/>
    <s v="CB"/>
    <x v="0"/>
    <s v="Completed"/>
    <s v="Stellenbosch Business School / Stellenbosch University"/>
    <s v="MPhil (Development Finance)"/>
    <s v="Development Finance"/>
    <d v="2026-02-01T00:00:00"/>
    <n v="2"/>
    <s v="_x000d__x000a_90000_x000d__x000a_"/>
    <s v="_x000d__x000a_30000_x000d__x000a_"/>
    <s v="_x000d__x000a_0_x000d__x000a_"/>
  </r>
  <r>
    <s v="10/12/2025"/>
    <s v="2025-8246"/>
    <s v="Higher Education Awards"/>
    <s v="Parthiban Pandian"/>
    <s v="dr.parthi2009@gmail.com"/>
    <x v="0"/>
    <x v="2"/>
    <x v="4"/>
    <x v="0"/>
    <x v="0"/>
    <x v="5"/>
    <s v="Natural Sciences"/>
    <s v="CB"/>
    <x v="0"/>
    <s v="Completed"/>
    <s v="University of the Witwatersrand, Johannesburg, South Africa"/>
    <s v="Environmental Science – Molecular Cell and Biology"/>
    <s v="From Liability to Asset: Hybrid Enzymatic–Membrane Pathways for Acid Mine Drainage Treatment and Mineral Recovery in South Africa"/>
    <d v="2026-01-01T00:00:00"/>
    <n v="2"/>
    <s v="_x000d__x000a_480000_x000d__x000a_"/>
    <s v="_x000d__x000a_432000_x000d__x000a_"/>
    <s v="_x000d__x000a_0_x000d__x000a_"/>
  </r>
  <r>
    <s v="10/12/2025"/>
    <s v="2025-8807"/>
    <s v="Higher Education Awards"/>
    <s v="Lindokuhle Biyela"/>
    <s v="lindo.biyela@tuks.co.za"/>
    <x v="0"/>
    <x v="1"/>
    <x v="0"/>
    <x v="2"/>
    <x v="0"/>
    <x v="5"/>
    <s v="Natural Sciences"/>
    <s v="CB"/>
    <x v="0"/>
    <s v="Completed"/>
    <s v="University of Pretoria"/>
    <s v="PhD Microbiology"/>
    <s v="Communication and interactions in plant pathogenic bacteria mediated by extracellular vesicles"/>
    <d v="2026-02-09T00:00:00"/>
    <n v="3"/>
    <s v="_x000d__x000a_170000_x000d__x000a_"/>
    <s v="_x000d__x000a_189000_x000d__x000a_"/>
    <s v="_x000d__x000a_200000_x000d__x000a_"/>
  </r>
  <r>
    <s v="10/12/2025"/>
    <s v="2025-8772"/>
    <s v="Higher Education Awards"/>
    <s v="Sarah Frances Summers"/>
    <s v="soema.summers@gmail.com"/>
    <x v="0"/>
    <x v="1"/>
    <x v="2"/>
    <x v="1"/>
    <x v="0"/>
    <x v="2"/>
    <s v="Humanities"/>
    <s v="CB"/>
    <x v="0"/>
    <s v="Completed"/>
    <s v="University of the Western Cape"/>
    <s v="Philosophy"/>
    <s v="Subaltern Futurisms: Cosmic Fantasy Fields of Mutual Life"/>
    <d v="2026-02-09T00:00:00"/>
    <n v="3"/>
    <s v="_x000d__x000a_434000_x000d__x000a_"/>
    <s v="_x000d__x000a_431800_x000d__x000a_"/>
    <s v="_x000d__x000a_475480_x000d__x000a_"/>
  </r>
  <r>
    <s v="10/12/2025"/>
    <s v="2025-8869"/>
    <s v="Higher Education Awards"/>
    <s v="Kiera Hürlimann"/>
    <s v="HRLKIE001@myuct.ac.za"/>
    <x v="0"/>
    <x v="0"/>
    <x v="1"/>
    <x v="1"/>
    <x v="0"/>
    <x v="8"/>
    <s v="Health Sciences"/>
    <s v="CB"/>
    <x v="0"/>
    <s v="Completed"/>
    <s v="University of Cape Town"/>
    <s v="Master's in Medical Science specialising in Medical Cell Biology"/>
    <s v="Cancer biology"/>
    <d v="2025-02-10T00:00:00"/>
    <n v="1"/>
    <s v="_x000d__x000a_253530_x000d__x000a_"/>
    <s v="_x000d__x000a_0_x000d__x000a_"/>
    <s v="_x000d__x000a_0_x000d__x000a_"/>
  </r>
  <r>
    <s v="10/12/2025"/>
    <s v="2025-8523"/>
    <s v="Higher Education Awards"/>
    <s v="Pieter de Wet"/>
    <s v="pieter.dewet@tuks.co.za"/>
    <x v="0"/>
    <x v="1"/>
    <x v="1"/>
    <x v="0"/>
    <x v="0"/>
    <x v="8"/>
    <s v="Health Sciences"/>
    <s v="CB"/>
    <x v="0"/>
    <s v="Completed"/>
    <s v="University of Pretoria"/>
    <s v="PhD Anatomy"/>
    <s v="Forensic Anthropology - Saw Mark Analysis"/>
    <d v="2025-02-02T00:00:00"/>
    <n v="2"/>
    <s v="_x000d__x000a_134900_x000d__x000a_"/>
    <s v="_x000d__x000a_134700_x000d__x000a_"/>
    <s v="_x000d__x000a_0_x000d__x000a_"/>
  </r>
  <r>
    <s v="10/12/2025"/>
    <s v="2025-9753"/>
    <s v="Higher Education Awards"/>
    <s v="Tafara Makunike"/>
    <s v="makunike52@gmail.com"/>
    <x v="0"/>
    <x v="0"/>
    <x v="0"/>
    <x v="1"/>
    <x v="0"/>
    <x v="4"/>
    <s v="Commerce &amp; Management"/>
    <s v="CB"/>
    <x v="46"/>
    <s v="Completed"/>
    <s v="Witwatersrand  University"/>
    <s v="Masters of Management"/>
    <s v="Development and Economics"/>
    <d v="2026-02-02T00:00:00"/>
    <n v="1"/>
    <s v="_x000d__x000a_70476_x000d__x000a_"/>
    <s v="_x000d__x000a_0_x000d__x000a_"/>
    <s v="_x000d__x000a_0_x000d__x000a_"/>
  </r>
  <r>
    <s v="10/12/2025"/>
    <s v="2025-8494"/>
    <s v="Higher Education Awards"/>
    <s v="Charl Johan Broekman"/>
    <s v="charlbroekman11@gmail.com"/>
    <x v="0"/>
    <x v="1"/>
    <x v="1"/>
    <x v="0"/>
    <x v="0"/>
    <x v="5"/>
    <s v="Natural Sciences"/>
    <s v="CB"/>
    <x v="47"/>
    <s v="Completed"/>
    <s v="University of Pretoria"/>
    <s v=""/>
    <s v="Earth Observation"/>
    <d v="2026-01-01T00:00:00"/>
    <n v="3"/>
    <s v="_x000d__x000a_300000_x000d__x000a_"/>
    <s v="_x000d__x000a_300000_x000d__x000a_"/>
    <s v="_x000d__x000a_315200_x000d__x000a_"/>
  </r>
  <r>
    <s v="10/12/2025"/>
    <s v="2025-8357"/>
    <s v="Higher Education Awards"/>
    <s v="NGOM NGOM Justice Tresor"/>
    <s v="justicengom@gmail.com"/>
    <x v="0"/>
    <x v="2"/>
    <x v="0"/>
    <x v="0"/>
    <x v="0"/>
    <x v="8"/>
    <s v="Health Sciences"/>
    <s v="CB"/>
    <x v="47"/>
    <s v="Completed"/>
    <s v="Division of Molecular Biology and Human Genetics, Faculty of Medicine and Health Sciences, Stellenbosch University"/>
    <s v="Genomic epidemiology and surveillance (Public Health)"/>
    <s v="The impact of strategic changes in drug-resistant TB diagnostic algorithms and Treatment regimens on the pathogen in Western Cape Province over a 15-year period"/>
    <d v="2026-01-05T00:00:00"/>
    <n v="2"/>
    <s v="_x000d__x000a_380000_x000d__x000a_"/>
    <s v="_x000d__x000a_380000_x000d__x000a_"/>
    <s v="_x000d__x000a_0_x000d__x000a_"/>
  </r>
  <r>
    <s v="10/12/2025"/>
    <s v="2025-9584"/>
    <s v="Higher Education Awards"/>
    <s v="Zifikile Mose"/>
    <s v="mosezifikile@gmail.com"/>
    <x v="0"/>
    <x v="0"/>
    <x v="0"/>
    <x v="1"/>
    <x v="0"/>
    <x v="8"/>
    <s v="Health Sciences"/>
    <s v="CB"/>
    <x v="48"/>
    <s v="Completed"/>
    <s v="University of Cape Town"/>
    <s v="MSc (Medicine) in Biological Anthropology"/>
    <s v="Forensic Anthropology - Stature estimation in South African populations"/>
    <d v="2026-01-05T00:00:00"/>
    <n v="2"/>
    <s v="_x000d__x000a_218630_x000d__x000a_"/>
    <s v="_x000d__x000a_208630_x000d__x000a_"/>
    <s v="_x000d__x000a_0_x000d__x000a_"/>
  </r>
  <r>
    <s v="10/12/2025"/>
    <s v="2025-8694"/>
    <s v="Higher Education Awards"/>
    <s v="Rubina Razack"/>
    <s v="rubina@sun.ac.za"/>
    <x v="0"/>
    <x v="1"/>
    <x v="4"/>
    <x v="1"/>
    <x v="1"/>
    <x v="8"/>
    <s v="Health Sciences"/>
    <s v="CB"/>
    <x v="32"/>
    <s v="Completed"/>
    <s v="Joint agreement between Leiden University Medical Centre and Stellenbosch University"/>
    <s v="PhD"/>
    <s v="Transforming EC Diagnosis in South Africa: Genomic, Economic, and AI Perspectives"/>
    <d v="2026-06-01T00:00:00"/>
    <n v="2"/>
    <s v="_x000d__x000a_830212.5_x000d__x000a_"/>
    <s v="_x000d__x000a_59150_x000d__x000a_"/>
    <s v="_x000d__x000a_0_x000d__x000a_"/>
  </r>
  <r>
    <s v="10/12/2025"/>
    <s v="2025-8696"/>
    <s v="Higher Education Awards"/>
    <s v="Darlington Ashiegbu"/>
    <s v="darlingtonashiegbu1985@yahoo.com"/>
    <x v="0"/>
    <x v="2"/>
    <x v="0"/>
    <x v="0"/>
    <x v="0"/>
    <x v="1"/>
    <s v="Engineering &amp; the Built Environment"/>
    <s v="CB"/>
    <x v="0"/>
    <s v="Completed"/>
    <s v="University of Witwatersrand"/>
    <s v="Postdoctoral Fellowship"/>
    <s v="Multifunctional 3D-Printed Electrodes for Integrated Wastewater Detoxification, Green Hydrogen Production, and Energy Storage via Supercapacitors"/>
    <d v="2026-01-01T00:00:00"/>
    <n v="2"/>
    <s v="_x000d__x000a_440000_x000d__x000a_"/>
    <s v="_x000d__x000a_460000_x000d__x000a_"/>
    <s v="_x000d__x000a_0_x000d__x000a_"/>
  </r>
  <r>
    <s v="10/12/2025"/>
    <s v="2025-8349"/>
    <s v="Higher Education Awards"/>
    <s v="Professor Zodwa Dlamini"/>
    <s v="Zodwa.Dlamini@up.ac.za"/>
    <x v="0"/>
    <x v="3"/>
    <x v="0"/>
    <x v="1"/>
    <x v="1"/>
    <x v="8"/>
    <s v="Health Sciences"/>
    <s v="CB"/>
    <x v="49"/>
    <s v="Completed"/>
    <s v="Columbia University, New York, USA"/>
    <s v="Integrated Cancer Control in Africa"/>
    <s v="Contextualizing Precision Health Equity: Integrating Genomics, Exposomics, and Social Determinants in African Cancer Control"/>
    <d v="2026-01-01T00:00:00"/>
    <n v="1"/>
    <s v="_x000d__x000a_2306113.14_x000d__x000a_"/>
    <s v="_x000d__x000a_0_x000d__x000a_"/>
    <s v="_x000d__x000a_0_x000d__x000a_"/>
  </r>
  <r>
    <s v="10/12/2025"/>
    <s v="2025-8547"/>
    <s v="Higher Education Awards"/>
    <s v="KUTLO MABATI"/>
    <s v="kutlokevin3@gmail.com"/>
    <x v="0"/>
    <x v="0"/>
    <x v="0"/>
    <x v="0"/>
    <x v="0"/>
    <x v="8"/>
    <s v="Health Sciences"/>
    <s v="CB"/>
    <x v="0"/>
    <s v="Completed"/>
    <s v="University of the Witwatersrand"/>
    <s v="Masters of medicine in Biokinetics"/>
    <s v="Free-living sedentary behaviour, physical activity and sleep and cardiometabolic risk factors in adults at Moremela village."/>
    <d v="2026-01-01T00:00:00"/>
    <n v="1"/>
    <s v="_x000d__x000a_61659.49_x000d__x000a_"/>
    <s v="_x000d__x000a_0_x000d__x000a_"/>
    <s v="_x000d__x000a_0_x000d__x000a_"/>
  </r>
  <r>
    <s v="10/12/2025"/>
    <s v="2025-9495"/>
    <s v="Higher Education Awards"/>
    <s v="Boitumelo Sebiloane"/>
    <s v="boitumlo.sebiloane@gmail.com"/>
    <x v="0"/>
    <x v="0"/>
    <x v="0"/>
    <x v="1"/>
    <x v="0"/>
    <x v="2"/>
    <s v="Humanities"/>
    <s v="CB"/>
    <x v="0"/>
    <s v="Completed"/>
    <s v="University of the Witwatersrand"/>
    <s v="Master in Arts in Community-Based Counselling Psychology"/>
    <s v="Exploring and understanding the discrimination and stigma experienced by people living wiExploring and understanding the stigma and discrimination experienced by individuals with mental illness and their families in South African black communities."/>
    <d v="2026-01-19T00:00:00"/>
    <n v="1"/>
    <s v="_x000d__x000a_150000_x000d__x000a_"/>
    <s v="_x000d__x000a_0_x000d__x000a_"/>
    <s v="_x000d__x000a_0_x000d__x000a_"/>
  </r>
  <r>
    <s v="10/12/2025"/>
    <s v="2025-8419"/>
    <s v="Higher Education Awards"/>
    <s v="Nischette Willemse"/>
    <s v="nischette@gmail.com"/>
    <x v="3"/>
    <x v="1"/>
    <x v="2"/>
    <x v="1"/>
    <x v="0"/>
    <x v="2"/>
    <s v="Humanities"/>
    <s v="CB"/>
    <x v="0"/>
    <s v="Completed"/>
    <s v="University of Johannesburg"/>
    <s v="PhD in Audiovisual Communication"/>
    <s v="YouTube's positive and negative implications on married millennials in Johannesburg."/>
    <d v="2026-02-02T00:00:00"/>
    <n v="3"/>
    <s v="_x000d__x000a_270000_x000d__x000a_"/>
    <s v="_x000d__x000a_250000_x000d__x000a_"/>
    <s v="_x000d__x000a_250000_x000d__x000a_"/>
  </r>
  <r>
    <s v="10/12/2025"/>
    <s v="2025-8894"/>
    <s v="Higher Education Awards"/>
    <s v="Ntsako Khosa"/>
    <s v="KHSNSA001@myuct.ac.za"/>
    <x v="0"/>
    <x v="1"/>
    <x v="0"/>
    <x v="0"/>
    <x v="0"/>
    <x v="7"/>
    <s v="Law"/>
    <s v="CB"/>
    <x v="48"/>
    <s v="Completed"/>
    <s v="University of Cape Town"/>
    <s v="Constitutional Law"/>
    <s v="The Basic Structure of the Constitution: Restrictions on Constitutional Amendments."/>
    <d v="2026-01-01T00:00:00"/>
    <n v="3"/>
    <s v="_x000d__x000a_315000_x000d__x000a_"/>
    <s v="_x000d__x000a_315000_x000d__x000a_"/>
    <s v="_x000d__x000a_315000_x000d__x000a_"/>
  </r>
  <r>
    <s v="10/12/2025"/>
    <s v="2025-9907"/>
    <s v="Higher Education Awards"/>
    <s v="Craig Lucas"/>
    <s v="4116564@myuwc.ac.za"/>
    <x v="0"/>
    <x v="1"/>
    <x v="2"/>
    <x v="0"/>
    <x v="0"/>
    <x v="6"/>
    <s v="Social Sciences"/>
    <s v="CB"/>
    <x v="48"/>
    <s v="Completed"/>
    <s v="The University of the Western Cape"/>
    <s v="PhD Development Studies"/>
    <s v="Early Childhood Development Policy Research"/>
    <d v="2026-02-01T00:00:00"/>
    <n v="3"/>
    <s v="_x000d__x000a_79045_x000d__x000a_"/>
    <s v="_x000d__x000a_160845_x000d__x000a_"/>
    <s v="_x000d__x000a_105145_x000d__x000a_"/>
  </r>
  <r>
    <s v="10/12/2025"/>
    <s v="2025-9771"/>
    <s v="Higher Education Awards"/>
    <s v="Pius Loupa"/>
    <s v="ploupa89@gmail.com"/>
    <x v="1"/>
    <x v="0"/>
    <x v="0"/>
    <x v="0"/>
    <x v="1"/>
    <x v="5"/>
    <s v="Natural Sciences"/>
    <s v="CB"/>
    <x v="15"/>
    <s v="Completed"/>
    <s v="Gulu University"/>
    <s v="Master of science in Environmental sciences and Natural Resource Management"/>
    <s v="Impacts of Woody Plants encroachment on Wildlife habitat Use"/>
    <d v="2023-08-15T00:00:00"/>
    <n v="1"/>
    <s v="_x000d__x000a_407934.9_x000d__x000a_"/>
    <s v="_x000d__x000a_0_x000d__x000a_"/>
    <s v="_x000d__x000a_0_x000d__x000a_"/>
  </r>
  <r>
    <s v="10/12/2025"/>
    <s v="2025-8463"/>
    <s v="Higher Education Awards"/>
    <s v="Tendani Matamela"/>
    <s v="matamelatendani0202@gmail.com"/>
    <x v="0"/>
    <x v="1"/>
    <x v="0"/>
    <x v="1"/>
    <x v="0"/>
    <x v="5"/>
    <s v="Natural Sciences"/>
    <s v="CB"/>
    <x v="0"/>
    <s v="Completed"/>
    <s v="Stellenbosch University"/>
    <s v="Microbiology"/>
    <s v="Investigation of microbial composition and their metabolic roles on biogeochemical processes in the Southern Ocean"/>
    <d v="2026-01-15T00:00:00"/>
    <n v="3"/>
    <s v="_x000d__x000a_242819_x000d__x000a_"/>
    <s v="_x000d__x000a_244288_x000d__x000a_"/>
    <s v="_x000d__x000a_243592_x000d__x000a_"/>
  </r>
  <r>
    <s v="10/12/2025"/>
    <s v="2025-9496"/>
    <s v="Higher Education Awards"/>
    <s v="Thalukanyo Mudau"/>
    <s v="divinethalu@gmail.com"/>
    <x v="3"/>
    <x v="0"/>
    <x v="0"/>
    <x v="1"/>
    <x v="0"/>
    <x v="2"/>
    <s v="Humanities"/>
    <s v="CB"/>
    <x v="47"/>
    <s v="Completed"/>
    <s v="Sol plaatje university"/>
    <s v="BEd masters in curriculum studies"/>
    <s v="exploring educators perceptions on the integration of blended learning in Accounting FET"/>
    <d v="2026-01-12T00:00:00"/>
    <n v="2"/>
    <s v="_x000d__x000a_100000_x000d__x000a_"/>
    <s v="_x000d__x000a_100000_x000d__x000a_"/>
    <s v="_x000d__x000a_0_x000d__x000a_"/>
  </r>
  <r>
    <s v="10/12/2025"/>
    <s v="2025-9540"/>
    <s v="Higher Education Awards"/>
    <s v="Babalwa Nontiya"/>
    <s v="nontiyababalwa@gmail.com"/>
    <x v="0"/>
    <x v="0"/>
    <x v="0"/>
    <x v="1"/>
    <x v="0"/>
    <x v="2"/>
    <s v="Humanities"/>
    <s v="CB"/>
    <x v="50"/>
    <s v="Completed"/>
    <s v="University of Fort Hare"/>
    <s v="Masters in History"/>
    <s v="The Political Division in the Black African Cape Electorate: A study between two rival newspapers, Imvo Zabantsundu and Izwi Labantu, 1890-1909."/>
    <d v="2026-01-20T00:00:00"/>
    <n v="1"/>
    <s v="_x000d__x000a_60000_x000d__x000a_"/>
    <s v="_x000d__x000a_0_x000d__x000a_"/>
    <s v="_x000d__x000a_0_x000d__x000a_"/>
  </r>
  <r>
    <s v="10/12/2025"/>
    <s v="2025-9837"/>
    <s v="Higher Education Awards"/>
    <s v="ANDIMA MARIA KULA"/>
    <s v="andimamariak@gmail.com"/>
    <x v="0"/>
    <x v="0"/>
    <x v="0"/>
    <x v="1"/>
    <x v="0"/>
    <x v="2"/>
    <s v="Humanities"/>
    <s v="CB"/>
    <x v="0"/>
    <s v="Completed"/>
    <s v="UNIVERSITY OF THE WITWATERSRAND"/>
    <s v=""/>
    <s v="Dance meet Policy Exploring Policy Implementation for the Cultural Management of Dance Therapy in Higher Education Institutions in Johannesburg, South Africa"/>
    <d v="2026-01-05T00:00:00"/>
    <n v="2"/>
    <s v="_x000d__x000a_262033_x000d__x000a_"/>
    <s v="_x000d__x000a_255033_x000d__x000a_"/>
    <s v="_x000d__x000a_0_x000d__x000a_"/>
  </r>
  <r>
    <s v="10/12/2025"/>
    <s v="2025-8565"/>
    <s v="Higher Education Awards"/>
    <s v="Isabelle Joubert"/>
    <s v="isabelleelenajoubert@gmail.com"/>
    <x v="0"/>
    <x v="1"/>
    <x v="1"/>
    <x v="1"/>
    <x v="0"/>
    <x v="2"/>
    <s v="Humanities"/>
    <s v="CB"/>
    <x v="0"/>
    <s v="Completed"/>
    <s v="University of Cape Town"/>
    <s v="English Literary Studies"/>
    <s v="Cultural representations of fungi"/>
    <d v="2026-01-01T00:00:00"/>
    <n v="2"/>
    <s v="_x000d__x000a_216057_x000d__x000a_"/>
    <s v="_x000d__x000a_216057_x000d__x000a_"/>
    <s v="_x000d__x000a_0_x000d__x000a_"/>
  </r>
  <r>
    <s v="10/12/2025"/>
    <s v="2025-9854"/>
    <s v="Higher Education Awards"/>
    <s v="Monica Shekunyenge"/>
    <s v="moshekunyenge@gmail.com"/>
    <x v="0"/>
    <x v="0"/>
    <x v="0"/>
    <x v="1"/>
    <x v="0"/>
    <x v="5"/>
    <s v="Natural Sciences"/>
    <s v="CB"/>
    <x v="0"/>
    <s v="Completed"/>
    <s v="University of The Witwatersrand"/>
    <s v="Msc Geophysics"/>
    <s v="Seismic and Resistivity Analysis for Hydrocarbon Prospectivity in the Offshore Bredasdorp Basin"/>
    <d v="2026-02-02T00:00:00"/>
    <n v="2"/>
    <s v="_x000d__x000a_181676.26_x000d__x000a_"/>
    <s v="_x000d__x000a_150920.9_x000d__x000a_"/>
    <s v="_x000d__x000a_0_x000d__x000a_"/>
  </r>
  <r>
    <s v="10/12/2025"/>
    <s v="2025-8844"/>
    <s v="Higher Education Awards"/>
    <s v="Shahen Ramnath"/>
    <s v="shahenr003@gmail.com"/>
    <x v="0"/>
    <x v="1"/>
    <x v="4"/>
    <x v="0"/>
    <x v="0"/>
    <x v="5"/>
    <s v="Other"/>
    <s v="CB"/>
    <x v="51"/>
    <s v="Completed"/>
    <s v="UNISA"/>
    <s v="Computer science"/>
    <s v="Mitigate African Ocean environmental sustainability using advanced learning"/>
    <d v="2026-02-02T00:00:00"/>
    <n v="2"/>
    <s v="_x000d__x000a_381200_x000d__x000a_"/>
    <s v="_x000d__x000a_340500_x000d__x000a_"/>
    <s v="_x000d__x000a_0_x000d__x000a_"/>
  </r>
  <r>
    <s v="10/12/2025"/>
    <s v="2025-8326"/>
    <s v="Higher Education Awards"/>
    <s v="Kundai Gwembere"/>
    <s v="kundiegwembere@gmail.com"/>
    <x v="0"/>
    <x v="0"/>
    <x v="0"/>
    <x v="1"/>
    <x v="0"/>
    <x v="8"/>
    <s v="Health Sciences"/>
    <s v="CB"/>
    <x v="0"/>
    <s v="Completed"/>
    <s v="University of Witwatersrand"/>
    <s v="Masters"/>
    <s v="Masters in Epidemiology and Biostatistics"/>
    <d v="2026-01-26T00:00:00"/>
    <n v="2"/>
    <s v="_x000d__x000a_204000_x000d__x000a_"/>
    <s v="_x000d__x000a_116000_x000d__x000a_"/>
    <s v="_x000d__x000a_0_x000d__x000a_"/>
  </r>
  <r>
    <s v="10/12/2025"/>
    <s v="2025-8857"/>
    <s v="Higher Education Awards"/>
    <s v="Lelebrigitar Masalesa"/>
    <s v="lelemasalesa@gmail.com"/>
    <x v="3"/>
    <x v="0"/>
    <x v="0"/>
    <x v="1"/>
    <x v="0"/>
    <x v="8"/>
    <s v="Health Sciences"/>
    <s v="CB"/>
    <x v="0"/>
    <s v="Completed"/>
    <s v="University of the Witwatersrand"/>
    <s v="Master of Science in Medicine (Pharmaceutical Affairs)"/>
    <s v="Evaluating the Effects of Pharmaceutical Patents on Essential Oncology Medicine Accessibility and Affordability in South Africa"/>
    <d v="2025-02-03T00:00:00"/>
    <n v="2"/>
    <s v="_x000d__x000a_74806_x000d__x000a_"/>
    <s v="_x000d__x000a_25000_x000d__x000a_"/>
    <s v="_x000d__x000a_0_x000d__x000a_"/>
  </r>
  <r>
    <s v="10/12/2025"/>
    <s v="2025-9859"/>
    <s v="Higher Education Awards"/>
    <s v="Orevaoghene Eterigho-Ikelegbe"/>
    <s v="eterighoo@gmail.com"/>
    <x v="3"/>
    <x v="2"/>
    <x v="0"/>
    <x v="0"/>
    <x v="0"/>
    <x v="1"/>
    <s v="Engineering &amp; the Built Environment"/>
    <s v="CB"/>
    <x v="52"/>
    <s v="Completed"/>
    <s v="University of the Witwatersrand"/>
    <s v="Chemical and Metallurgical Engineering"/>
    <s v="Sustainable Transformation of Waste Coal into Ceramic-Bonded Structural Composites via Silicate/CO2 Curing and Thermal Treatment"/>
    <d v="2026-01-01T00:00:00"/>
    <n v="2"/>
    <s v="_x000d__x000a_505000_x000d__x000a_"/>
    <s v="_x000d__x000a_495000_x000d__x000a_"/>
    <s v="_x000d__x000a_0_x000d__x000a_"/>
  </r>
  <r>
    <s v="10/12/2025"/>
    <s v="2025-9755"/>
    <s v="Higher Education Awards"/>
    <s v="Thamizhthendral Dhanasekaran"/>
    <s v="thamizhthendral12@gmail.com"/>
    <x v="0"/>
    <x v="1"/>
    <x v="4"/>
    <x v="1"/>
    <x v="0"/>
    <x v="8"/>
    <s v="Health Sciences"/>
    <s v="CB"/>
    <x v="53"/>
    <s v="Completed"/>
    <s v="University of the Witwatersrand"/>
    <s v="School of Molecular and Cell Biology"/>
    <s v="Targeting colorectal cancer using transition metals Co- and Ni-doped CuO nanoparticles obtained by chemical and green synthesis methods using extract from Colombian oregano (Plectranthus amboinicus) and holy basil (Ocimum tenuiflorum)"/>
    <d v="2025-01-01T00:00:00"/>
    <n v="3"/>
    <s v="_x000d__x000a_299000_x000d__x000a_"/>
    <s v="_x000d__x000a_299000_x000d__x000a_"/>
    <s v="_x000d__x000a_289000_x000d__x000a_"/>
  </r>
  <r>
    <s v="10/12/2025"/>
    <s v="2025-9380"/>
    <s v="Higher Education Awards"/>
    <s v="Sivuyile Pharela"/>
    <s v="sivuyilepharela@gmail.com"/>
    <x v="0"/>
    <x v="0"/>
    <x v="0"/>
    <x v="0"/>
    <x v="0"/>
    <x v="2"/>
    <s v="Humanities"/>
    <s v="CB"/>
    <x v="8"/>
    <s v="Completed"/>
    <s v="University of Cape Town"/>
    <s v="Anthropology"/>
    <s v="Digital Identity of a deceased individual on Social Media"/>
    <d v="2026-01-12T00:00:00"/>
    <n v="2"/>
    <s v="_x000d__x000a_106775_x000d__x000a_"/>
    <s v="_x000d__x000a_141010_x000d__x000a_"/>
    <s v="_x000d__x000a_0_x000d__x000a_"/>
  </r>
  <r>
    <s v="10/12/2025"/>
    <s v="2025-9541"/>
    <s v="Higher Education Awards"/>
    <s v="Cheron Rudolf"/>
    <s v="Cheronrudolf@gmail.com"/>
    <x v="3"/>
    <x v="0"/>
    <x v="2"/>
    <x v="1"/>
    <x v="0"/>
    <x v="8"/>
    <s v="Health Sciences"/>
    <s v="CB"/>
    <x v="15"/>
    <s v="Completed"/>
    <s v="University of Stellenbosch"/>
    <s v="Masters degree in speech-language and hearing therapy"/>
    <s v="Early Communication Intervention"/>
    <d v="2024-01-01T00:00:00"/>
    <n v="1"/>
    <s v="_x000d__x000a_96000_x000d__x000a_"/>
    <s v="_x000d__x000a_0_x000d__x000a_"/>
    <s v="_x000d__x000a_0_x000d__x000a_"/>
  </r>
  <r>
    <s v="10/12/2025"/>
    <s v="2025-9707"/>
    <s v="Higher Education Awards"/>
    <s v="Oluwaseyi Samuel Olanrewaju"/>
    <s v="olusam777@gmail.com"/>
    <x v="0"/>
    <x v="2"/>
    <x v="0"/>
    <x v="0"/>
    <x v="0"/>
    <x v="5"/>
    <s v="Natural Sciences"/>
    <s v="CB"/>
    <x v="54"/>
    <s v="Completed"/>
    <s v="North-West University, Potchefstroom"/>
    <s v="Postdoctoral study"/>
    <s v="Engineering microbial consortia for antibiotic degradation and crop protection in South African agriculture"/>
    <d v="2026-01-12T00:00:00"/>
    <n v="2"/>
    <s v="_x000d__x000a_420000_x000d__x000a_"/>
    <s v="_x000d__x000a_420000_x000d__x000a_"/>
    <s v="_x000d__x000a_0_x000d__x000a_"/>
  </r>
  <r>
    <s v="10/12/2025"/>
    <s v="2025-9858"/>
    <s v="Higher Education Awards"/>
    <s v="CRUSADER MATHEBULA"/>
    <s v="crusadermathebula@gmail.com"/>
    <x v="3"/>
    <x v="0"/>
    <x v="0"/>
    <x v="1"/>
    <x v="0"/>
    <x v="1"/>
    <s v="Engineering &amp; the Built Environment"/>
    <s v="CB"/>
    <x v="52"/>
    <s v="Draft"/>
    <s v="University of Venda"/>
    <s v="Masters"/>
    <s v="Geochemical and mineralogical characterization of carbonatite tailings at Phalaborwa Mining Company and evaluation of lithium recovery potential of the resource"/>
    <d v="2026-01-15T00:00:00"/>
    <n v="1"/>
    <s v="_x000d__x000a_190630_x000d__x000a_"/>
    <s v="_x000d__x000a_0_x000d__x000a_"/>
    <s v="_x000d__x000a_0_x000d__x000a_"/>
  </r>
  <r>
    <s v="10/12/2025"/>
    <s v="2025-8735"/>
    <s v="Higher Education Awards"/>
    <s v="Ayanda Johnson"/>
    <s v="radebe.ayanda.ar@gmail.com"/>
    <x v="3"/>
    <x v="1"/>
    <x v="0"/>
    <x v="1"/>
    <x v="0"/>
    <x v="4"/>
    <s v="Other"/>
    <s v="CB"/>
    <x v="52"/>
    <s v="Completed"/>
    <s v="University of Pretoria"/>
    <s v="DEd"/>
    <s v="ECDE principalship in the 21st century, from manager to leader: A collaborative transition from business administration to pedagogical practices in Gauteng townships"/>
    <d v="2026-01-01T00:00:00"/>
    <n v="2"/>
    <s v="_x000d__x000a_41740_x000d__x000a_"/>
    <s v="_x000d__x000a_54740_x000d__x000a_"/>
    <s v="_x000d__x000a_0_x000d__x000a_"/>
  </r>
  <r>
    <s v="10/12/2025"/>
    <s v="2025-8487"/>
    <s v="Higher Education Awards"/>
    <s v="Johannes van der Walt"/>
    <s v="walliescycle@gmail.com"/>
    <x v="0"/>
    <x v="0"/>
    <x v="1"/>
    <x v="0"/>
    <x v="0"/>
    <x v="5"/>
    <s v="Natural Sciences"/>
    <s v="CB"/>
    <x v="0"/>
    <s v="Completed"/>
    <s v="University of Stellenbosch"/>
    <s v="Bushveld Complex Drilling Project Phase 3 depth-specific groundwater sampling for water quality, stable water isotopes and radiogenic samples to determine age of groundwater."/>
    <s v="Hydrogeology"/>
    <d v="2026-01-01T00:00:00"/>
    <n v="2"/>
    <s v="_x000d__x000a_161000_x000d__x000a_"/>
    <s v="_x000d__x000a_161000_x000d__x000a_"/>
    <s v="_x000d__x000a_0_x000d__x000a_"/>
  </r>
  <r>
    <s v="10/12/2025"/>
    <s v="2025-9729"/>
    <s v="Higher Education Awards"/>
    <s v="Thabo Matshoba"/>
    <s v="mtstha085@myuct.ac.za"/>
    <x v="0"/>
    <x v="2"/>
    <x v="0"/>
    <x v="0"/>
    <x v="0"/>
    <x v="8"/>
    <s v="Health Sciences"/>
    <s v="CB"/>
    <x v="48"/>
    <s v="Completed"/>
    <s v="University of Cape Town"/>
    <s v="Chemical Biology"/>
    <s v="Immune and microbiome profiling of pancreatic cancer tumors."/>
    <d v="2026-03-02T00:00:00"/>
    <n v="2"/>
    <s v="_x000d__x000a_216000_x000d__x000a_"/>
    <s v="_x000d__x000a_216000_x000d__x000a_"/>
    <s v="_x000d__x000a_0_x000d__x000a_"/>
  </r>
  <r>
    <s v="10/12/2025"/>
    <s v="2025-9844"/>
    <s v="Higher Education Awards"/>
    <s v="Khona Maziya"/>
    <s v="sibusisiwe.maziya@gmail.com"/>
    <x v="0"/>
    <x v="2"/>
    <x v="0"/>
    <x v="1"/>
    <x v="0"/>
    <x v="0"/>
    <s v="Natural Sciences"/>
    <s v="CB"/>
    <x v="0"/>
    <s v="Completed"/>
    <s v="University of Witwatersrand"/>
    <s v="Postdoctoral research"/>
    <s v="Modification of Cellulose Nanocrystals Derived from Cannabis sativa Fibers for Enhanced Removal of dyes/salts."/>
    <d v="2026-01-01T00:00:00"/>
    <n v="2"/>
    <s v="_x000d__x000a_350000_x000d__x000a_"/>
    <s v="_x000d__x000a_350000_x000d__x000a_"/>
    <s v="_x000d__x000a_0_x000d__x000a_"/>
  </r>
  <r>
    <s v="10/12/2025"/>
    <s v="2025-8591"/>
    <s v="Higher Education Awards"/>
    <s v="Katharine Khoury"/>
    <s v="katharinekhoury@gmail.com"/>
    <x v="0"/>
    <x v="1"/>
    <x v="1"/>
    <x v="1"/>
    <x v="0"/>
    <x v="5"/>
    <s v="Natural Sciences"/>
    <s v="CB"/>
    <x v="48"/>
    <s v="Completed"/>
    <s v="Rhodes University"/>
    <s v=""/>
    <s v="Evolutionary Ecology in the Cape Floristic Region of South Africa"/>
    <d v="2026-01-15T00:00:00"/>
    <n v="3"/>
    <s v="_x000d__x000a_238618.7_x000d__x000a_"/>
    <s v="_x000d__x000a_252219.64_x000d__x000a_"/>
    <s v="_x000d__x000a_266788.62_x000d__x000a_"/>
  </r>
  <r>
    <s v="10/12/2025"/>
    <s v="2025-9779"/>
    <s v="Higher Education Awards"/>
    <s v="Sandra Bhaiwa"/>
    <s v="chitavasandra@gmail.com"/>
    <x v="0"/>
    <x v="1"/>
    <x v="0"/>
    <x v="1"/>
    <x v="0"/>
    <x v="5"/>
    <s v="Natural Sciences"/>
    <s v="CB"/>
    <x v="0"/>
    <s v="Draft"/>
    <s v="University of the Free State"/>
    <s v="Natural and Agricultural Sciences"/>
    <s v="Implications of Climate Change on Agricultural Productivity"/>
    <d v="2026-01-03T00:00:00"/>
    <n v="3"/>
    <s v="_x000d__x000a_1008000_x000d__x000a_"/>
    <s v="_x000d__x000a_1008000_x000d__x000a_"/>
    <s v="_x000d__x000a_1168000_x000d__x000a_"/>
  </r>
  <r>
    <s v="10/12/2025"/>
    <s v="2025-9395"/>
    <s v="Higher Education Awards"/>
    <s v="Precious Maenzanise"/>
    <s v="precious.maenzanise@uct.ac.za"/>
    <x v="0"/>
    <x v="2"/>
    <x v="0"/>
    <x v="1"/>
    <x v="0"/>
    <x v="5"/>
    <s v="Applied Sciences"/>
    <s v="CB"/>
    <x v="0"/>
    <s v="Completed"/>
    <s v="University of Cape Town"/>
    <s v="Archaeology"/>
    <s v="Geochemical provenance of Korannaberg quartzite at the Tswalu Kalahari Reserve: Insights into landscape use from the Earlier to Middle Stone Age in the southern Kalahari, Northern Cape, South Africa"/>
    <d v="2026-01-01T00:00:00"/>
    <n v="2"/>
    <s v="_x000d__x000a_500000_x000d__x000a_"/>
    <s v="_x000d__x000a_500000_x000d__x000a_"/>
    <s v="_x000d__x000a_0_x000d__x000a_"/>
  </r>
  <r>
    <s v="10/12/2025"/>
    <s v="2025-9791"/>
    <s v="Higher Education Awards"/>
    <s v="Nomcebo Shongwe"/>
    <s v="Nomceboshongwe0105@gmail.com"/>
    <x v="0"/>
    <x v="1"/>
    <x v="0"/>
    <x v="1"/>
    <x v="0"/>
    <x v="6"/>
    <s v="Social Sciences"/>
    <s v="CB"/>
    <x v="0"/>
    <s v="Completed"/>
    <s v="University of Witwatersrand"/>
    <s v="Doctor of Philosophy in Development Studies"/>
    <s v="The Economic Impact of Evolving Skills Demands in South Africa'sEnergy and Water Sector Amid the Transition to Sustainable and Inclusive Development"/>
    <d v="2026-02-09T00:00:00"/>
    <n v="3"/>
    <s v="_x000d__x000a_174128_x000d__x000a_"/>
    <s v="_x000d__x000a_32780_x000d__x000a_"/>
    <s v="_x000d__x000a_32780_x000d__x000a_"/>
  </r>
  <r>
    <s v="10/12/2025"/>
    <s v="2025-9713"/>
    <s v="Higher Education Awards"/>
    <s v="Itshephe Malapane"/>
    <s v="nkwanemalapane@gmail.com"/>
    <x v="0"/>
    <x v="0"/>
    <x v="0"/>
    <x v="1"/>
    <x v="0"/>
    <x v="2"/>
    <s v="Humanities"/>
    <s v="CB"/>
    <x v="0"/>
    <s v="Completed"/>
    <s v="University of Pretoria"/>
    <s v="Master of Arts in Research Psychology"/>
    <s v="Flourishing and well-being of university students with ADHD in higher education"/>
    <d v="2026-01-05T00:00:00"/>
    <n v="2"/>
    <s v="_x000d__x000a_181600_x000d__x000a_"/>
    <s v="_x000d__x000a_181600_x000d__x000a_"/>
    <s v="_x000d__x000a_0_x000d__x000a_"/>
  </r>
  <r>
    <s v="10/12/2025"/>
    <s v="2025-9260"/>
    <s v="Higher Education Awards"/>
    <s v="Tolu Soogun"/>
    <s v="tolanre2003@gmail.com"/>
    <x v="0"/>
    <x v="0"/>
    <x v="0"/>
    <x v="0"/>
    <x v="0"/>
    <x v="5"/>
    <s v="Natural Sciences"/>
    <s v="CB"/>
    <x v="0"/>
    <s v="Completed"/>
    <s v="University of Pretoria"/>
    <s v="Masters"/>
    <s v="Genetics"/>
    <d v="2026-01-20T00:00:00"/>
    <n v="1"/>
    <s v="_x000d__x000a_43500_x000d__x000a_"/>
    <s v="_x000d__x000a_0_x000d__x000a_"/>
    <s v="_x000d__x000a_0_x000d__x000a_"/>
  </r>
  <r>
    <s v="10/12/2025"/>
    <s v="2025-9345"/>
    <s v="Higher Education Awards"/>
    <s v="Ankit N-A"/>
    <s v="224196173@stu.ukzn.ac.za"/>
    <x v="0"/>
    <x v="1"/>
    <x v="4"/>
    <x v="0"/>
    <x v="0"/>
    <x v="0"/>
    <s v="Applied Sciences"/>
    <s v="CB"/>
    <x v="0"/>
    <s v="Completed"/>
    <s v="University Of Kwazulu-Natal- Westville Campus"/>
    <s v="UNIVERSITY-  Doctor of Philosophy (Science)-Medicinal &amp; Organic Chemistry"/>
    <s v="Synthesis &amp; Biological evaluation of anti-tubercular Agents."/>
    <d v="2026-01-01T00:00:00"/>
    <n v="2"/>
    <s v="_x000d__x000a_124068_x000d__x000a_"/>
    <s v="_x000d__x000a_169163_x000d__x000a_"/>
    <s v="_x000d__x000a_0_x000d__x000a_"/>
  </r>
  <r>
    <s v="10/12/2025"/>
    <s v="2025-9831"/>
    <s v="Higher Education Awards"/>
    <s v="Kwenama Buthelezi"/>
    <s v="kwenamahbuthelezi@gmail.com"/>
    <x v="0"/>
    <x v="1"/>
    <x v="0"/>
    <x v="0"/>
    <x v="0"/>
    <x v="5"/>
    <s v="Natural Sciences"/>
    <s v="CB"/>
    <x v="0"/>
    <s v="Completed"/>
    <s v="University of KwaZulu-Natal"/>
    <s v="Soil Science"/>
    <s v="Assessment and Monitoring of Soil Health Parameters in Potato Cultivation using Remote Sensing and Machine Learning Techniques."/>
    <d v="2026-01-12T00:00:00"/>
    <n v="3"/>
    <s v="_x000d__x000a_31320_x000d__x000a_"/>
    <s v="_x000d__x000a_14320_x000d__x000a_"/>
    <s v="_x000d__x000a_121320_x000d__x000a_"/>
  </r>
  <r>
    <s v="10/12/2025"/>
    <s v="2025-9813"/>
    <s v="Higher Education Awards"/>
    <s v="Gerald Chikowore"/>
    <s v="gkchikore@gmail.com"/>
    <x v="0"/>
    <x v="2"/>
    <x v="0"/>
    <x v="0"/>
    <x v="0"/>
    <x v="5"/>
    <s v="Natural Sciences"/>
    <s v="CB"/>
    <x v="0"/>
    <s v="Completed"/>
    <s v="Centre for Biological Control , Department of Zoology and Entomology, Rhodes University"/>
    <s v="Post-Doctoral"/>
    <s v="Biological control of Australian Acacia seeds in montane grasslands of Eastern Zimbabwe"/>
    <d v="2026-01-01T00:00:00"/>
    <n v="2"/>
    <s v="_x000d__x000a_485912_x000d__x000a_"/>
    <s v="_x000d__x000a_495800_x000d__x000a_"/>
    <s v="_x000d__x000a_0_x000d__x000a_"/>
  </r>
  <r>
    <s v="10/12/2025"/>
    <s v="2025-9328"/>
    <s v="Higher Education Awards"/>
    <s v="Meaka Garland"/>
    <s v="meakagarland@gmail.com"/>
    <x v="0"/>
    <x v="0"/>
    <x v="1"/>
    <x v="1"/>
    <x v="0"/>
    <x v="8"/>
    <s v="Health Sciences"/>
    <s v="CB"/>
    <x v="0"/>
    <s v="Completed"/>
    <s v="University of the Free State"/>
    <s v="MSc Dietetics"/>
    <s v="Determinants of Neonatal Length-For-Age and Body Composition in Neonates born at Universitas Academic Hospital, Bloemfontein, South Africa"/>
    <d v="2025-01-01T00:00:00"/>
    <n v="1"/>
    <s v="_x000d__x000a_35969.26_x000d__x000a_"/>
    <s v="_x000d__x000a_0_x000d__x000a_"/>
    <s v="_x000d__x000a_0_x000d__x000a_"/>
  </r>
  <r>
    <s v="10/12/2025"/>
    <s v="2025-9386"/>
    <s v="Higher Education Awards"/>
    <s v="Anotidaishe Muradya"/>
    <s v="anotida.nicole@gmail.com"/>
    <x v="3"/>
    <x v="0"/>
    <x v="0"/>
    <x v="1"/>
    <x v="0"/>
    <x v="1"/>
    <s v="Engineering &amp; the Built Environment"/>
    <s v="CB"/>
    <x v="0"/>
    <s v="Completed"/>
    <s v="University of Witwatersrand"/>
    <s v="Master of Science in Power Engineering"/>
    <s v="Demand-side Management"/>
    <d v="2025-04-01T00:00:00"/>
    <n v="1"/>
    <s v="_x000d__x000a_189200_x000d__x000a_"/>
    <s v="_x000d__x000a_0_x000d__x000a_"/>
    <s v="_x000d__x000a_0_x000d__x000a_"/>
  </r>
  <r>
    <s v="10/12/2025"/>
    <s v="2025-9261"/>
    <s v="Higher Education Awards"/>
    <s v="Rovhofhololwa Malindi"/>
    <s v="rovho18@gmail.com"/>
    <x v="0"/>
    <x v="0"/>
    <x v="0"/>
    <x v="1"/>
    <x v="0"/>
    <x v="8"/>
    <s v="Health Sciences"/>
    <s v="CB"/>
    <x v="0"/>
    <s v="Completed"/>
    <s v="University of the Witwatersrand"/>
    <s v="Master of Science in Epidemiology"/>
    <s v="Epidemiology &amp; Biostatistics"/>
    <d v="2026-01-19T00:00:00"/>
    <n v="1"/>
    <s v="_x000d__x000a_147179.1_x000d__x000a_"/>
    <s v="_x000d__x000a_0_x000d__x000a_"/>
    <s v="_x000d__x000a_0_x000d__x000a_"/>
  </r>
  <r>
    <s v="10/12/2025"/>
    <s v="2025-8707"/>
    <s v="Higher Education Awards"/>
    <s v="Michael Koning"/>
    <s v="michaelkoning4@gmail.com"/>
    <x v="0"/>
    <x v="1"/>
    <x v="1"/>
    <x v="0"/>
    <x v="0"/>
    <x v="0"/>
    <s v="Natural Sciences"/>
    <s v="CB"/>
    <x v="0"/>
    <s v="Completed"/>
    <s v="University of Cape Town"/>
    <s v="Theoretical Physics"/>
    <s v="Color Glass Condensate Correlators: Connecting the JIMWLK and BMS Frameworks"/>
    <d v="2025-01-13T00:00:00"/>
    <n v="2"/>
    <s v="_x000d__x000a_104860_x000d__x000a_"/>
    <s v="_x000d__x000a_118700_x000d__x000a_"/>
    <s v="_x000d__x000a_0_x000d__x000a_"/>
  </r>
  <r>
    <s v="10/12/2025"/>
    <s v="2025-9218"/>
    <s v="Higher Education Awards"/>
    <s v="Dylan le Roux"/>
    <s v="dylanlr98@gmail.com"/>
    <x v="0"/>
    <x v="0"/>
    <x v="1"/>
    <x v="0"/>
    <x v="0"/>
    <x v="5"/>
    <s v="Natural Sciences"/>
    <s v="CB"/>
    <x v="0"/>
    <s v="Completed"/>
    <s v="University of Freestate QwaQwa Campus"/>
    <s v="Zoology"/>
    <s v="Comparative Taxonomy and Phylogeography of Shrews in the Genus Crocidura inMontane Habitats"/>
    <d v="2026-01-01T00:00:00"/>
    <n v="2"/>
    <s v="_x000d__x000a_231200_x000d__x000a_"/>
    <s v="_x000d__x000a_231200_x000d__x000a_"/>
    <s v="_x000d__x000a_0_x000d__x000a_"/>
  </r>
  <r>
    <s v="10/12/2025"/>
    <s v="2025-8559"/>
    <s v="Higher Education Awards"/>
    <s v="JC Schoeman"/>
    <s v="jcschoeman@sun.ac.za"/>
    <x v="0"/>
    <x v="3"/>
    <x v="1"/>
    <x v="0"/>
    <x v="1"/>
    <x v="1"/>
    <s v="Engineering &amp; the Built Environment"/>
    <s v="CB"/>
    <x v="47"/>
    <s v="Completed"/>
    <s v="Technical University of Munich"/>
    <s v="Robotics and autonomous vehicles"/>
    <s v="A unification of model- and data-based approaches to autonomous driving"/>
    <d v="2026-05-01T00:00:00"/>
    <n v="1"/>
    <s v="_x000d__x000a_180000_x000d__x000a_"/>
    <s v="_x000d__x000a_0_x000d__x000a_"/>
    <s v="_x000d__x000a_0_x000d__x000a_"/>
  </r>
  <r>
    <s v="10/12/2025"/>
    <s v="2025-8231"/>
    <s v="Higher Education Awards"/>
    <s v="Mphatso Sumani"/>
    <s v="mphasumani@gmail.com"/>
    <x v="0"/>
    <x v="0"/>
    <x v="0"/>
    <x v="0"/>
    <x v="0"/>
    <x v="5"/>
    <s v="Natural Sciences"/>
    <s v="CB"/>
    <x v="0"/>
    <s v="Completed"/>
    <s v="University of Pretoria"/>
    <s v="Masters in Sustainable Agriculture"/>
    <s v="Assessing impact of Climate change on Animal Feed availability"/>
    <d v="2026-01-05T00:00:00"/>
    <n v="2"/>
    <s v="_x000d__x000a_195000_x000d__x000a_"/>
    <s v="_x000d__x000a_222000_x000d__x000a_"/>
    <s v="_x000d__x000a_0_x000d__x000a_"/>
  </r>
  <r>
    <s v="10/12/2025"/>
    <s v="2025-9162"/>
    <s v="Higher Education Awards"/>
    <s v="Seipati Gift Aphane"/>
    <s v="aphaneseipati9@gmail.com"/>
    <x v="0"/>
    <x v="0"/>
    <x v="0"/>
    <x v="1"/>
    <x v="0"/>
    <x v="3"/>
    <s v="Humanities"/>
    <s v="CB"/>
    <x v="0"/>
    <s v="Completed"/>
    <s v="University of the Witwatersrand"/>
    <s v="Master of Arts by coursework and Research Report (Applied Drama: Theatre in Education, Communities and Social Contexts)"/>
    <s v=" BUILDIN AGENCY: THE CO-CREATIOPN OF FORUM THEATRE MODEL ON ADRESSING, RAICING AWARENESS OF GENDER-BASED VIOLANCE AMONG THE UNIVERSITY OF THE WITWATERSRAND STUDENTS, SOUTH AFRICA. "/>
    <d v="2026-01-26T00:00:00"/>
    <n v="1"/>
    <s v="_x000d__x000a_160000_x000d__x000a_"/>
    <s v="_x000d__x000a_0_x000d__x000a_"/>
    <s v="_x000d__x000a_0_x000d__x000a_"/>
  </r>
  <r>
    <s v="10/12/2025"/>
    <s v="2025-8391"/>
    <s v="Higher Education Awards"/>
    <s v="Annabel Nyongwana"/>
    <s v="annabelnyongwana@gmail.com"/>
    <x v="0"/>
    <x v="0"/>
    <x v="0"/>
    <x v="1"/>
    <x v="0"/>
    <x v="2"/>
    <s v="Humanities"/>
    <s v="CB"/>
    <x v="47"/>
    <s v="Completed"/>
    <s v="Wits University"/>
    <s v="English Masters"/>
    <s v="Archival Material, Genocide, mass atrocities"/>
    <d v="2026-01-14T00:00:00"/>
    <n v="2"/>
    <s v="_x000d__x000a_193394_x000d__x000a_"/>
    <s v="_x000d__x000a_223394_x000d__x000a_"/>
    <s v="_x000d__x000a_0_x000d__x000a_"/>
  </r>
  <r>
    <s v="10/12/2025"/>
    <s v="2025-8592"/>
    <s v="Higher Education Awards"/>
    <s v="Yonwaba Feni"/>
    <s v="3731108@myuwc.ac.za"/>
    <x v="0"/>
    <x v="1"/>
    <x v="0"/>
    <x v="0"/>
    <x v="0"/>
    <x v="2"/>
    <s v="Natural Sciences"/>
    <s v="CB"/>
    <x v="0"/>
    <s v="Completed"/>
    <s v="University of the Western Cape"/>
    <s v="PhD Population Studies"/>
    <s v="Child health and maternal practices in urban South Africa: a multivariate analysis"/>
    <d v="2025-03-31T00:00:00"/>
    <n v="2"/>
    <s v="_x000d__x000a_118400_x000d__x000a_"/>
    <s v="_x000d__x000a_110400_x000d__x000a_"/>
    <s v="_x000d__x000a_0_x000d__x000a_"/>
  </r>
  <r>
    <s v="10/12/2025"/>
    <s v="2025-9799"/>
    <s v="Higher Education Awards"/>
    <s v="Keatlegile Mabena"/>
    <s v="Keatlegilemabena@gmail.com"/>
    <x v="0"/>
    <x v="1"/>
    <x v="0"/>
    <x v="0"/>
    <x v="0"/>
    <x v="6"/>
    <s v="Social Sciences"/>
    <s v="CB"/>
    <x v="0"/>
    <s v="Completed"/>
    <s v="University of South Africa"/>
    <s v="PhD Development Studies"/>
    <s v="An examination of the role of a higher education institution in the prevention and management of gender-based violence: A case study of a South African public university"/>
    <d v="2026-01-14T00:00:00"/>
    <n v="2"/>
    <s v="_x000d__x000a_303000_x000d__x000a_"/>
    <s v="_x000d__x000a_327000_x000d__x000a_"/>
    <s v="_x000d__x000a_0_x000d__x000a_"/>
  </r>
  <r>
    <s v="10/12/2025"/>
    <s v="2025-9146"/>
    <s v="Higher Education Awards"/>
    <s v="Vuwani Makuya"/>
    <s v="vuwani.makuya19@gmail.com"/>
    <x v="0"/>
    <x v="1"/>
    <x v="0"/>
    <x v="1"/>
    <x v="0"/>
    <x v="5"/>
    <s v="Natural Sciences"/>
    <s v="CB"/>
    <x v="0"/>
    <s v="Completed"/>
    <s v="University of Pretoria"/>
    <s v="PhD in Agronomy"/>
    <s v="Dissertation topic: Climate Change Impact Assessment over Three Major Soybean-Producing Provinces in South Africa"/>
    <d v="2024-08-01T00:00:00"/>
    <n v="2"/>
    <s v="_x000d__x000a_342500_x000d__x000a_"/>
    <s v="_x000d__x000a_349700_x000d__x000a_"/>
    <s v="_x000d__x000a_0_x000d__x000a_"/>
  </r>
  <r>
    <s v="10/12/2025"/>
    <s v="2025-9696"/>
    <s v="Higher Education Awards"/>
    <s v="Lungisani Khubone"/>
    <s v="lkhuboni97@gmail.com"/>
    <x v="0"/>
    <x v="1"/>
    <x v="0"/>
    <x v="0"/>
    <x v="0"/>
    <x v="0"/>
    <s v="Natural Sciences"/>
    <s v="CB"/>
    <x v="0"/>
    <s v="Completed"/>
    <s v="University of KwaZulu-Natal"/>
    <s v="PhD in Chemistry"/>
    <s v="Synthesis and biological evaluation of indoline-2,3-diones"/>
    <d v="2025-09-20T00:00:00"/>
    <n v="3"/>
    <s v="_x000d__x000a_144847_x000d__x000a_"/>
    <s v="_x000d__x000a_144847_x000d__x000a_"/>
    <s v="_x000d__x000a_144847_x000d__x000a_"/>
  </r>
  <r>
    <s v="10/12/2025"/>
    <s v="2025-9677"/>
    <s v="Higher Education Awards"/>
    <s v="SIYABONGA ZWANE"/>
    <s v="shakirsiyabongazwane@gmail.com"/>
    <x v="0"/>
    <x v="0"/>
    <x v="0"/>
    <x v="0"/>
    <x v="0"/>
    <x v="2"/>
    <s v="Humanities"/>
    <s v="CB"/>
    <x v="47"/>
    <s v="Completed"/>
    <s v="1. University of Fort Hare, 2. Stellenbosch University and 3. University of Johannesburg"/>
    <s v="Masters in Philosophy"/>
    <s v="Artificial Intelligence in Digital Banking: A Philosophical Inquiry into Ethics and Inclusive Socio-Economic Transformation in South Africa"/>
    <d v="2026-01-01T00:00:00"/>
    <n v="2"/>
    <s v="_x000d__x000a_107000_x000d__x000a_"/>
    <s v="_x000d__x000a_114000_x000d__x000a_"/>
    <s v="_x000d__x000a_0_x000d__x000a_"/>
  </r>
  <r>
    <s v="10/12/2025"/>
    <s v="2025-9671"/>
    <s v="Higher Education Awards"/>
    <s v="Peter Lungu"/>
    <s v="peterlungu280@gmail.com"/>
    <x v="0"/>
    <x v="1"/>
    <x v="0"/>
    <x v="0"/>
    <x v="0"/>
    <x v="8"/>
    <s v="Health Sciences"/>
    <s v="CB"/>
    <x v="0"/>
    <s v="Draft"/>
    <s v="University of Cape Town"/>
    <s v="Clinical Sciences and Immunology"/>
    <s v="Host-directed targeting of IFN-y induced long non-coding RNA-917 during Mycobacterium tuberculosis infection"/>
    <d v="2026-01-23T00:00:00"/>
    <n v="3"/>
    <s v="_x000d__x000a_-129000_x000d__x000a_"/>
    <s v="_x000d__x000a_-139000_x000d__x000a_"/>
    <s v="_x000d__x000a_-129000_x000d__x000a_"/>
  </r>
  <r>
    <s v="10/12/2025"/>
    <s v="2025-9028"/>
    <s v="Higher Education Awards"/>
    <s v="Morgan Naidoo"/>
    <s v="naidoo.morgan1@gmail.com"/>
    <x v="0"/>
    <x v="0"/>
    <x v="2"/>
    <x v="1"/>
    <x v="0"/>
    <x v="8"/>
    <s v="Health Sciences"/>
    <s v="CB"/>
    <x v="35"/>
    <s v="Completed"/>
    <s v="University of Cape Town"/>
    <s v="Master of Science in Medicine (by dissertation only)"/>
    <s v="Understanding sleep homeostasis in South African adolescents."/>
    <d v="2025-01-06T00:00:00"/>
    <n v="1"/>
    <s v="_x000d__x000a_281000_x000d__x000a_"/>
    <s v="_x000d__x000a_0_x000d__x000a_"/>
    <s v="_x000d__x000a_0_x000d__x000a_"/>
  </r>
  <r>
    <s v="10/12/2025"/>
    <s v="2025-9834"/>
    <s v="Higher Education Awards"/>
    <s v="Rachel Munango"/>
    <s v="rachelmunango@gmail.com"/>
    <x v="3"/>
    <x v="0"/>
    <x v="0"/>
    <x v="1"/>
    <x v="0"/>
    <x v="5"/>
    <s v="Applied Sciences"/>
    <s v="CB"/>
    <x v="35"/>
    <s v="Completed"/>
    <s v="The university of the Witwatersrand"/>
    <n v="1"/>
    <s v="Exploration Geophysics"/>
    <d v="2026-01-01T00:00:00"/>
    <n v="2"/>
    <s v="_x000d__x000a_132000_x000d__x000a_"/>
    <s v="_x000d__x000a_132000_x000d__x000a_"/>
    <s v="_x000d__x000a_0_x000d__x000a_"/>
  </r>
  <r>
    <s v="10/12/2025"/>
    <s v="2025-9347"/>
    <s v="Higher Education Awards"/>
    <s v="Helena Seebran"/>
    <s v="helenaseebran@gmail.com"/>
    <x v="0"/>
    <x v="1"/>
    <x v="4"/>
    <x v="1"/>
    <x v="0"/>
    <x v="8"/>
    <s v="Health Sciences"/>
    <s v="CB"/>
    <x v="35"/>
    <s v="Completed"/>
    <s v="University of Cape Town"/>
    <s v="Doctorate of Philosophy (PhD) in Biological Anthropology (Upgraded Masters)"/>
    <s v="Assessment of the effect of trauma on the morphometric analysis of the cranium in an adult South African cadaveric sample"/>
    <d v="2025-08-05T00:00:00"/>
    <n v="3"/>
    <s v="_x000d__x000a_144130_x000d__x000a_"/>
    <s v="_x000d__x000a_67170_x000d__x000a_"/>
    <s v="_x000d__x000a_69000_x000d__x000a_"/>
  </r>
  <r>
    <s v="10/12/2025"/>
    <s v="2025-9508"/>
    <s v="Higher Education Awards"/>
    <s v="Ryan Forbes"/>
    <s v="rforbes0502@gmail.com"/>
    <x v="0"/>
    <x v="1"/>
    <x v="1"/>
    <x v="0"/>
    <x v="0"/>
    <x v="5"/>
    <s v="Natural Sciences"/>
    <s v="CB"/>
    <x v="35"/>
    <s v="Completed"/>
    <s v="Nelson Mandela University"/>
    <s v="PhD in Zoology"/>
    <s v="Non-invasive assessment of stress, parasite burden, and reproduction in African large carnivores along a gradient of human disturbance"/>
    <d v="2026-01-05T00:00:00"/>
    <n v="3"/>
    <s v="_x000d__x000a_239070_x000d__x000a_"/>
    <s v="_x000d__x000a_269070_x000d__x000a_"/>
    <s v="_x000d__x000a_269070_x000d__x000a_"/>
  </r>
  <r>
    <s v="10/12/2025"/>
    <s v="2025-8508"/>
    <s v="Higher Education Awards"/>
    <s v="Dumisile Mpangane"/>
    <s v="1907689@students.wits.ac.za"/>
    <x v="3"/>
    <x v="0"/>
    <x v="0"/>
    <x v="1"/>
    <x v="0"/>
    <x v="2"/>
    <s v="Humanities"/>
    <s v="CB"/>
    <x v="35"/>
    <s v="Completed"/>
    <s v="University of the Witwatersrand"/>
    <s v="Masters"/>
    <s v="Proposed tittle: The Influence of level of English Language of Teaching and Learning (LoLT) Competency on the learners Comprehension of Life Sciences Concepts in South Africa: Dissertation"/>
    <d v="2026-02-02T00:00:00"/>
    <n v="2"/>
    <s v="_x000d__x000a_110000_x000d__x000a_"/>
    <s v="_x000d__x000a_110000_x000d__x000a_"/>
    <s v="_x000d__x000a_0_x000d__x000a_"/>
  </r>
  <r>
    <s v="10/12/2025"/>
    <s v="2025-8767"/>
    <s v="Higher Education Awards"/>
    <s v="Saarah Mkansi"/>
    <s v="Saarahmkansi@gmail.com"/>
    <x v="0"/>
    <x v="0"/>
    <x v="0"/>
    <x v="1"/>
    <x v="0"/>
    <x v="1"/>
    <s v="Engineering &amp; the Built Environment"/>
    <s v="CB"/>
    <x v="35"/>
    <s v="Completed"/>
    <s v="University of Cape Town"/>
    <s v="Masters in Architecture"/>
    <s v="Redefining Educational Infrastructure in Disadvantaged Communities"/>
    <d v="2026-01-19T00:00:00"/>
    <n v="1"/>
    <s v="_x000d__x000a_158320_x000d__x000a_"/>
    <s v="_x000d__x000a_0_x000d__x000a_"/>
    <s v="_x000d__x000a_0_x000d__x000a_"/>
  </r>
  <r>
    <s v="10/12/2025"/>
    <s v="2025-9506"/>
    <s v="Higher Education Awards"/>
    <s v="Chimwemne Mwewa"/>
    <s v="mwewalisa24@gmail.com"/>
    <x v="3"/>
    <x v="0"/>
    <x v="0"/>
    <x v="1"/>
    <x v="0"/>
    <x v="2"/>
    <s v="Humanities"/>
    <s v="CB"/>
    <x v="35"/>
    <s v="Completed"/>
    <s v="University of Witswatersrand"/>
    <s v="Master's in Education"/>
    <s v="Educational leadership and policy change"/>
    <d v="2026-02-02T00:00:00"/>
    <n v="2"/>
    <s v="_x000d__x000a_30000_x000d__x000a_"/>
    <s v="_x000d__x000a_30000_x000d__x000a_"/>
    <s v="_x000d__x000a_0_x000d__x000a_"/>
  </r>
  <r>
    <s v="10/12/2025"/>
    <s v="2025-9452"/>
    <s v="Higher Education Awards"/>
    <s v="Gcobisile Matafeni"/>
    <s v="matafenigcobisile@gmail.com"/>
    <x v="0"/>
    <x v="1"/>
    <x v="0"/>
    <x v="0"/>
    <x v="0"/>
    <x v="0"/>
    <s v="Applied Sciences"/>
    <s v="CB"/>
    <x v="35"/>
    <s v="Completed"/>
    <s v="University of the Witwatersrand"/>
    <s v="Doctor of Philosophy"/>
    <s v="Modeling Temporal Influence Recovery in Dynamic Bayesian Networks with Node Failures"/>
    <d v="2026-01-01T00:00:00"/>
    <n v="3"/>
    <s v="_x000d__x000a_36431_x000d__x000a_"/>
    <s v="_x000d__x000a_65074.1_x000d__x000a_"/>
    <s v="_x000d__x000a_69081.51_x000d__x000a_"/>
  </r>
  <r>
    <s v="10/12/2025"/>
    <s v="2025-9277"/>
    <s v="Higher Education Awards"/>
    <s v="Sugandran Kisten"/>
    <s v="nandiconstech@icloud.com"/>
    <x v="3"/>
    <x v="1"/>
    <x v="4"/>
    <x v="0"/>
    <x v="0"/>
    <x v="1"/>
    <s v="Engineering &amp; the Built Environment"/>
    <s v="CB"/>
    <x v="35"/>
    <s v="Completed"/>
    <s v="Stellenbosch Business School"/>
    <s v="PhD Engineering Management (Choice 1)"/>
    <s v="Resilience Science"/>
    <d v="2026-02-23T00:00:00"/>
    <n v="3"/>
    <s v="_x000d__x000a_136124_x000d__x000a_"/>
    <s v="_x000d__x000a_136124_x000d__x000a_"/>
    <s v="_x000d__x000a_136124_x000d__x000a_"/>
  </r>
  <r>
    <s v="10/12/2025"/>
    <s v="2025-8533"/>
    <s v="Higher Education Awards"/>
    <s v="Sidney Simons"/>
    <s v="sidneysimons8@gmail.com"/>
    <x v="0"/>
    <x v="1"/>
    <x v="2"/>
    <x v="1"/>
    <x v="0"/>
    <x v="8"/>
    <s v="Health Sciences"/>
    <s v="CB"/>
    <x v="35"/>
    <s v="Completed"/>
    <s v="University of the Witwatersrand"/>
    <s v="Clinical Microbiology and Infectious Diseases"/>
    <s v="Antimicrobial resistance"/>
    <d v="2026-01-05T00:00:00"/>
    <n v="3"/>
    <s v="_x000d__x000a_262000_x000d__x000a_"/>
    <s v="_x000d__x000a_262000_x000d__x000a_"/>
    <s v="_x000d__x000a_262000_x000d__x000a_"/>
  </r>
  <r>
    <s v="10/12/2025"/>
    <s v="2025-9412"/>
    <s v="Higher Education Awards"/>
    <s v="Samukelisiwe Ndimande"/>
    <s v="ndimandesamuke@gmail.com"/>
    <x v="0"/>
    <x v="0"/>
    <x v="0"/>
    <x v="1"/>
    <x v="0"/>
    <x v="8"/>
    <s v="Health Sciences"/>
    <s v="CB"/>
    <x v="35"/>
    <s v="Completed"/>
    <s v="University of Cape Town"/>
    <s v="Virology (study choice 1)"/>
    <s v="Epidemiology &amp; Biostatistics"/>
    <d v="2026-01-05T00:00:00"/>
    <n v="2"/>
    <s v="_x000d__x000a_161450_x000d__x000a_"/>
    <s v="_x000d__x000a_109500_x000d__x000a_"/>
    <s v="_x000d__x000a_0_x000d__x000a_"/>
  </r>
  <r>
    <s v="10/12/2025"/>
    <s v="2025-8331"/>
    <s v="Higher Education Awards"/>
    <s v="Gift Maimela"/>
    <s v="mpho.maimela71@gmail.com"/>
    <x v="0"/>
    <x v="0"/>
    <x v="0"/>
    <x v="0"/>
    <x v="0"/>
    <x v="2"/>
    <s v="Humanities"/>
    <s v="CB"/>
    <x v="35"/>
    <s v="Completed"/>
    <s v="University of Johannesburg"/>
    <s v="Masters"/>
    <s v="Atypical Examination of Feminist Literary Texts: Omitted and Sidelined Abuse Against Men by Women."/>
    <d v="2026-02-10T00:00:00"/>
    <n v="2"/>
    <s v="_x000d__x000a_63980_x000d__x000a_"/>
    <s v="_x000d__x000a_64130_x000d__x000a_"/>
    <s v="_x000d__x000a_0_x000d__x000a_"/>
  </r>
  <r>
    <s v="10/12/2025"/>
    <s v="2025-8947"/>
    <s v="Higher Education Awards"/>
    <s v="Ashley Tafadzwa Nerwande"/>
    <s v="ashner14@yahoo.com"/>
    <x v="0"/>
    <x v="1"/>
    <x v="3"/>
    <x v="0"/>
    <x v="0"/>
    <x v="8"/>
    <s v="Health Sciences"/>
    <s v="CB"/>
    <x v="35"/>
    <s v="Completed"/>
    <s v="University of Pretoria"/>
    <s v="PhD in Medical Immunology"/>
    <s v="The impact of placental insufficiency and cytomegalovirus exposure on infant growth"/>
    <d v="2026-01-12T00:00:00"/>
    <n v="3"/>
    <s v="_x000d__x000a_152000_x000d__x000a_"/>
    <s v="_x000d__x000a_165020_x000d__x000a_"/>
    <s v="_x000d__x000a_179269.4_x000d__x000a_"/>
  </r>
  <r>
    <s v="10/12/2025"/>
    <s v="2025-9308"/>
    <s v="Higher Education Awards"/>
    <s v="Nhlakanipho Nkosi"/>
    <s v="Nhlakaniphon012@gmail.com"/>
    <x v="0"/>
    <x v="0"/>
    <x v="0"/>
    <x v="1"/>
    <x v="0"/>
    <x v="2"/>
    <s v="Humanities"/>
    <s v="CB"/>
    <x v="35"/>
    <s v="Completed"/>
    <s v="University of Pretoria"/>
    <s v="Anthropology"/>
    <s v="Queer Kinship: Exploring Black Lesbians in Family Structures"/>
    <d v="2026-02-02T00:00:00"/>
    <n v="2"/>
    <s v="_x000d__x000a_113755_x000d__x000a_"/>
    <s v="_x000d__x000a_113755_x000d__x000a_"/>
    <s v="_x000d__x000a_0_x000d__x000a_"/>
  </r>
  <r>
    <s v="10/12/2025"/>
    <s v="2025-8312"/>
    <s v="Higher Education Awards"/>
    <s v="Garrick Bakker"/>
    <s v="26119404@sun.ac.za"/>
    <x v="0"/>
    <x v="0"/>
    <x v="1"/>
    <x v="0"/>
    <x v="0"/>
    <x v="5"/>
    <s v="Natural Sciences"/>
    <s v="CB"/>
    <x v="35"/>
    <s v="Completed"/>
    <s v="Stellenbosch University"/>
    <s v="MSc Microbiology"/>
    <s v="Yeast Biotechnology"/>
    <d v="2026-02-02T00:00:00"/>
    <n v="2"/>
    <s v="_x000d__x000a_140000_x000d__x000a_"/>
    <s v="_x000d__x000a_140000_x000d__x000a_"/>
    <s v="_x000d__x000a_0_x000d__x000a_"/>
  </r>
  <r>
    <s v="10/12/2025"/>
    <s v="2025-9760"/>
    <s v="Higher Education Awards"/>
    <s v="Kunehafo K Kaxuxuena"/>
    <s v="kuna0706@gmail.com"/>
    <x v="1"/>
    <x v="0"/>
    <x v="0"/>
    <x v="1"/>
    <x v="1"/>
    <x v="1"/>
    <s v="Engineering &amp; the Built Environment"/>
    <s v="BC"/>
    <x v="15"/>
    <s v="Completed"/>
    <s v="University of Sunderland"/>
    <s v="Master in Computer Science with Data Science"/>
    <s v="Data science"/>
    <s v="24/08/2025"/>
    <n v="2"/>
    <n v="0"/>
    <n v="0"/>
    <n v="0"/>
  </r>
  <r>
    <s v="10/12/2025"/>
    <s v="2025-9853"/>
    <s v="Higher Education Awards"/>
    <s v="Rebone-MogauWaMorena Seolwana"/>
    <m/>
    <x v="1"/>
    <x v="0"/>
    <x v="0"/>
    <x v="1"/>
    <x v="1"/>
    <x v="4"/>
    <s v="Commerce &amp; Management"/>
    <s v="BC"/>
    <x v="18"/>
    <s v="Completed"/>
    <s v="Henley Business School"/>
    <s v="Executive Global MBA"/>
    <s v="Enhancing The African Economy Through Corporate Social Investment"/>
    <d v="2025-10-01T00:00:00"/>
    <n v="2"/>
    <s v="_x000d__x000a_550000_x000d__x000a_"/>
    <s v="_x000d__x000a_520000_x000d__x000a_"/>
    <s v="_x000d__x000a_0_x000d__x000a_"/>
  </r>
  <r>
    <s v="10/12/2025"/>
    <s v="2025-9249"/>
    <s v="Higher Education Awards"/>
    <s v="Sonto Precious Masilela"/>
    <m/>
    <x v="0"/>
    <x v="1"/>
    <x v="0"/>
    <x v="1"/>
    <x v="0"/>
    <x v="6"/>
    <s v="Social Sciences"/>
    <s v="BC"/>
    <x v="35"/>
    <s v="Completed"/>
    <s v="Stellenbosch University"/>
    <s v="PhD in Psychology"/>
    <s v="Exploring epilepsy treatment and management: A qualitative exploration of patient experiences in the Cape Winelands district, South Africa"/>
    <d v="2026-01-19T00:00:00"/>
    <n v="3"/>
    <s v="_x000d__x000a_145550_x000d__x000a_"/>
    <s v="_x000d__x000a_174050_x000d__x000a_"/>
    <s v="_x000d__x000a_212550_x000d__x000a_"/>
  </r>
  <r>
    <s v="10/12/2025"/>
    <s v="2025-8922"/>
    <s v="Higher Education Awards"/>
    <s v="Thulile Gamedze"/>
    <m/>
    <x v="0"/>
    <x v="1"/>
    <x v="0"/>
    <x v="1"/>
    <x v="0"/>
    <x v="3"/>
    <s v="Performing &amp; Creative Arts"/>
    <s v="BC"/>
    <x v="35"/>
    <s v="Draft"/>
    <s v="University of the Western Cape"/>
    <s v="History: Visual History and Theory"/>
    <s v="Worn Pedagogy: Clothing as Archive with the 'After Library'"/>
    <d v="2026-02-09T00:00:00"/>
    <n v="3"/>
    <s v="_x000d__x000a_314518.6_x000d__x000a_"/>
    <s v="_x000d__x000a_287755.29_x000d__x000a_"/>
    <s v="_x000d__x000a_308117.58_x000d__x000a_"/>
  </r>
  <r>
    <s v="10/12/2025"/>
    <s v="2025-8521"/>
    <s v="Higher Education Awards"/>
    <s v="Vukosi Marivate"/>
    <m/>
    <x v="0"/>
    <x v="3"/>
    <x v="0"/>
    <x v="0"/>
    <x v="1"/>
    <x v="0"/>
    <s v="Engineering &amp; the Built Environment"/>
    <s v="BC"/>
    <x v="35"/>
    <s v="Draft"/>
    <s v="Multiple"/>
    <s v="Sabbatical"/>
    <s v="Evaluation of Language Models for African languages and setting up AfriDSAI"/>
    <d v="2025-02-03T00:00:00"/>
    <n v="1"/>
    <s v="_x000d__x000a_240000_x000d__x000a_"/>
    <s v="_x000d__x000a_0_x000d__x000a_"/>
    <s v="_x000d__x000a_0_x000d__x000a_"/>
  </r>
  <r>
    <s v="10/12/2025"/>
    <s v="2025-9123"/>
    <s v="Higher Education Awards"/>
    <s v="Kagiso Nkosi"/>
    <m/>
    <x v="0"/>
    <x v="2"/>
    <x v="0"/>
    <x v="0"/>
    <x v="0"/>
    <x v="2"/>
    <s v="Humanities"/>
    <s v="BC"/>
    <x v="35"/>
    <s v="Draft"/>
    <s v="University of the Witwatersrand"/>
    <s v="Post doctoral fellowship"/>
    <s v="Trapped in the Promise: Economic Insecurity and The Aftermath of Ascetic policies and practices in South Africa"/>
    <d v="2025-12-01T00:00:00"/>
    <n v="2"/>
    <n v="500000"/>
    <n v="50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CD0B33-B2FA-49B4-8423-256D8700DF33}" name="PivotTable8"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3" firstHeaderRow="1" firstDataRow="1" firstDataCol="1" rowPageCount="1" colPageCount="1"/>
  <pivotFields count="23">
    <pivotField showAll="0"/>
    <pivotField dataField="1" showAll="0"/>
    <pivotField showAll="0"/>
    <pivotField showAll="0"/>
    <pivotField showAll="0"/>
    <pivotField axis="axisPage" showAll="0">
      <items count="8">
        <item x="4"/>
        <item x="3"/>
        <item m="1" x="6"/>
        <item m="1" x="5"/>
        <item x="1"/>
        <item x="2"/>
        <item x="0"/>
        <item t="default"/>
      </items>
    </pivotField>
    <pivotField showAll="0"/>
    <pivotField showAll="0"/>
    <pivotField showAll="0"/>
    <pivotField showAll="0"/>
    <pivotField showAll="0"/>
    <pivotField showAll="0"/>
    <pivotField showAll="0"/>
    <pivotField axis="axisRow" showAll="0">
      <items count="63">
        <item x="23"/>
        <item x="0"/>
        <item x="32"/>
        <item x="45"/>
        <item x="53"/>
        <item x="46"/>
        <item x="51"/>
        <item x="47"/>
        <item x="50"/>
        <item x="48"/>
        <item x="54"/>
        <item x="49"/>
        <item x="16"/>
        <item x="29"/>
        <item x="21"/>
        <item x="17"/>
        <item x="30"/>
        <item x="44"/>
        <item x="39"/>
        <item x="40"/>
        <item x="31"/>
        <item x="27"/>
        <item x="24"/>
        <item x="22"/>
        <item x="10"/>
        <item x="26"/>
        <item x="14"/>
        <item m="1" x="59"/>
        <item x="20"/>
        <item m="1" x="60"/>
        <item m="1" x="61"/>
        <item x="37"/>
        <item x="34"/>
        <item x="41"/>
        <item x="8"/>
        <item x="12"/>
        <item x="4"/>
        <item x="19"/>
        <item x="11"/>
        <item x="7"/>
        <item x="33"/>
        <item x="25"/>
        <item x="13"/>
        <item x="9"/>
        <item x="42"/>
        <item m="1" x="58"/>
        <item x="38"/>
        <item m="1" x="57"/>
        <item x="52"/>
        <item x="2"/>
        <item x="36"/>
        <item x="5"/>
        <item x="3"/>
        <item x="28"/>
        <item x="43"/>
        <item m="1" x="55"/>
        <item x="15"/>
        <item x="1"/>
        <item m="1" x="56"/>
        <item x="18"/>
        <item x="35"/>
        <item x="6"/>
        <item t="default"/>
      </items>
    </pivotField>
    <pivotField showAll="0"/>
    <pivotField showAll="0"/>
    <pivotField showAll="0"/>
    <pivotField showAll="0"/>
    <pivotField showAll="0"/>
    <pivotField showAll="0"/>
    <pivotField showAll="0"/>
    <pivotField showAll="0"/>
    <pivotField showAll="0"/>
  </pivotFields>
  <rowFields count="1">
    <field x="13"/>
  </rowFields>
  <rowItems count="10">
    <i>
      <x v="49"/>
    </i>
    <i>
      <x v="50"/>
    </i>
    <i>
      <x v="51"/>
    </i>
    <i>
      <x v="52"/>
    </i>
    <i>
      <x v="54"/>
    </i>
    <i>
      <x v="56"/>
    </i>
    <i>
      <x v="57"/>
    </i>
    <i>
      <x v="59"/>
    </i>
    <i>
      <x v="61"/>
    </i>
    <i t="grand">
      <x/>
    </i>
  </rowItems>
  <colItems count="1">
    <i/>
  </colItems>
  <pageFields count="1">
    <pageField fld="5" item="4" hier="-1"/>
  </pageFields>
  <dataFields count="1">
    <dataField name="Count of Application ID" fld="1" subtotal="count" baseField="0" baseItem="0"/>
  </dataFields>
  <formats count="6">
    <format dxfId="291">
      <pivotArea type="all" dataOnly="0" outline="0" fieldPosition="0"/>
    </format>
    <format dxfId="292">
      <pivotArea outline="0" collapsedLevelsAreSubtotals="1" fieldPosition="0"/>
    </format>
    <format dxfId="293">
      <pivotArea field="5" type="button" dataOnly="0" labelOnly="1" outline="0" axis="axisPage" fieldPosition="0"/>
    </format>
    <format dxfId="294">
      <pivotArea dataOnly="0" labelOnly="1" fieldPosition="0">
        <references count="1">
          <reference field="5" count="0"/>
        </references>
      </pivotArea>
    </format>
    <format dxfId="295">
      <pivotArea dataOnly="0" labelOnly="1" grandRow="1" outline="0" fieldPosition="0"/>
    </format>
    <format dxfId="2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87502-B11B-4866-84CD-3BF491DF3BCB}"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49"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m="1" x="5"/>
        <item h="1" x="1"/>
        <item h="1" x="4"/>
        <item h="1" x="3"/>
        <item m="1" x="6"/>
        <item h="1" x="2"/>
        <item x="0"/>
        <item t="default"/>
      </items>
    </pivotField>
    <pivotField axis="axisRow" showAll="0">
      <items count="7">
        <item x="1"/>
        <item x="0"/>
        <item x="2"/>
        <item x="3"/>
        <item m="1" x="5"/>
        <item m="1" x="4"/>
        <item t="default"/>
      </items>
    </pivotField>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6"/>
  </rowFields>
  <rowItems count="11">
    <i>
      <x/>
    </i>
    <i r="1">
      <x/>
    </i>
    <i r="1">
      <x v="1"/>
    </i>
    <i r="1">
      <x v="2"/>
    </i>
    <i r="1">
      <x v="3"/>
    </i>
    <i>
      <x v="1"/>
    </i>
    <i r="1">
      <x/>
    </i>
    <i r="1">
      <x v="1"/>
    </i>
    <i r="1">
      <x v="2"/>
    </i>
    <i r="1">
      <x v="3"/>
    </i>
    <i t="grand">
      <x/>
    </i>
  </rowItems>
  <colItems count="1">
    <i/>
  </colItems>
  <pageFields count="1">
    <pageField fld="5" hier="-1"/>
  </pageFields>
  <dataFields count="1">
    <dataField name="Count of Application ID" fld="1" subtotal="count" baseField="0" baseItem="0"/>
  </dataFields>
  <formats count="8">
    <format dxfId="356">
      <pivotArea type="all" dataOnly="0" outline="0" fieldPosition="0"/>
    </format>
    <format dxfId="355">
      <pivotArea outline="0" collapsedLevelsAreSubtotals="1" fieldPosition="0"/>
    </format>
    <format dxfId="354">
      <pivotArea field="9" type="button" dataOnly="0" labelOnly="1" outline="0" axis="axisRow" fieldPosition="0"/>
    </format>
    <format dxfId="353">
      <pivotArea dataOnly="0" labelOnly="1" fieldPosition="0">
        <references count="1">
          <reference field="9" count="0"/>
        </references>
      </pivotArea>
    </format>
    <format dxfId="352">
      <pivotArea dataOnly="0" labelOnly="1" grandRow="1" outline="0" fieldPosition="0"/>
    </format>
    <format dxfId="351">
      <pivotArea dataOnly="0" labelOnly="1" fieldPosition="0">
        <references count="2">
          <reference field="6" count="0"/>
          <reference field="9" count="1" selected="0">
            <x v="0"/>
          </reference>
        </references>
      </pivotArea>
    </format>
    <format dxfId="350">
      <pivotArea dataOnly="0" labelOnly="1" fieldPosition="0">
        <references count="2">
          <reference field="6" count="0"/>
          <reference field="9" count="1" selected="0">
            <x v="1"/>
          </reference>
        </references>
      </pivotArea>
    </format>
    <format dxfId="3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45459-29E5-4C26-91E0-F4AE2E826C91}" name="PivotTable7"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B99" firstHeaderRow="1" firstDataRow="1" firstDataCol="1"/>
  <pivotFields count="23">
    <pivotField showAll="0"/>
    <pivotField dataField="1" showAll="0"/>
    <pivotField showAll="0"/>
    <pivotField showAll="0"/>
    <pivotField showAll="0"/>
    <pivotField axis="axisRow" showAll="0">
      <items count="8">
        <item h="1" x="4"/>
        <item h="1" x="3"/>
        <item h="1" m="1" x="6"/>
        <item h="1" m="1" x="5"/>
        <item h="1" x="1"/>
        <item h="1" x="2"/>
        <item x="0"/>
        <item t="default"/>
      </items>
    </pivotField>
    <pivotField showAll="0"/>
    <pivotField axis="axisRow" showAll="0">
      <items count="9">
        <item x="6"/>
        <item x="0"/>
        <item x="2"/>
        <item x="4"/>
        <item x="3"/>
        <item x="5"/>
        <item x="1"/>
        <item m="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7"/>
  </rowFields>
  <rowItems count="9">
    <i>
      <x v="6"/>
    </i>
    <i r="1">
      <x/>
    </i>
    <i r="1">
      <x v="1"/>
    </i>
    <i r="1">
      <x v="2"/>
    </i>
    <i r="1">
      <x v="3"/>
    </i>
    <i r="1">
      <x v="4"/>
    </i>
    <i r="1">
      <x v="5"/>
    </i>
    <i r="1">
      <x v="6"/>
    </i>
    <i t="grand">
      <x/>
    </i>
  </rowItems>
  <colItems count="1">
    <i/>
  </colItems>
  <dataFields count="1">
    <dataField name="Count of Application ID" fld="1" subtotal="count" baseField="0" baseItem="0"/>
  </dataFields>
  <formats count="10">
    <format dxfId="348">
      <pivotArea type="all" dataOnly="0" outline="0" fieldPosition="0"/>
    </format>
    <format dxfId="347">
      <pivotArea outline="0" collapsedLevelsAreSubtotals="1" fieldPosition="0"/>
    </format>
    <format dxfId="346">
      <pivotArea field="5" type="button" dataOnly="0" labelOnly="1" outline="0" axis="axisRow" fieldPosition="0"/>
    </format>
    <format dxfId="345">
      <pivotArea dataOnly="0" labelOnly="1" fieldPosition="0">
        <references count="1">
          <reference field="5" count="0"/>
        </references>
      </pivotArea>
    </format>
    <format dxfId="344">
      <pivotArea dataOnly="0" labelOnly="1" grandRow="1" outline="0" fieldPosition="0"/>
    </format>
    <format dxfId="343">
      <pivotArea dataOnly="0" labelOnly="1" fieldPosition="0">
        <references count="2">
          <reference field="5" count="1" selected="0">
            <x v="0"/>
          </reference>
          <reference field="7" count="1">
            <x v="1"/>
          </reference>
        </references>
      </pivotArea>
    </format>
    <format dxfId="342">
      <pivotArea dataOnly="0" labelOnly="1" fieldPosition="0">
        <references count="2">
          <reference field="5" count="1" selected="0">
            <x v="1"/>
          </reference>
          <reference field="7" count="0"/>
        </references>
      </pivotArea>
    </format>
    <format dxfId="341">
      <pivotArea dataOnly="0" labelOnly="1" fieldPosition="0">
        <references count="2">
          <reference field="5" count="1" selected="0">
            <x v="4"/>
          </reference>
          <reference field="7" count="5">
            <x v="1"/>
            <x v="2"/>
            <x v="3"/>
            <x v="5"/>
            <x v="6"/>
          </reference>
        </references>
      </pivotArea>
    </format>
    <format dxfId="340">
      <pivotArea dataOnly="0" labelOnly="1" fieldPosition="0">
        <references count="2">
          <reference field="5" count="1" selected="0">
            <x v="5"/>
          </reference>
          <reference field="7" count="1">
            <x v="1"/>
          </reference>
        </references>
      </pivotArea>
    </format>
    <format dxfId="3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B3F826-FB0C-4E1D-98FB-03094DF43BB9}" name="PivotTable4"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65"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m="1" x="5"/>
        <item h="1" x="1"/>
        <item h="1" x="4"/>
        <item h="1" x="3"/>
        <item m="1" x="6"/>
        <item h="1" x="2"/>
        <item x="0"/>
        <item t="default"/>
      </items>
    </pivotField>
    <pivotField showAll="0"/>
    <pivotField showAll="0"/>
    <pivotField showAll="0"/>
    <pivotField showAll="0"/>
    <pivotField axis="axisRow" showAll="0">
      <items count="13">
        <item x="0"/>
        <item x="4"/>
        <item x="1"/>
        <item x="8"/>
        <item x="2"/>
        <item x="7"/>
        <item x="5"/>
        <item x="9"/>
        <item x="3"/>
        <item x="6"/>
        <item m="1" x="10"/>
        <item m="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1"/>
    </i>
    <i>
      <x v="2"/>
    </i>
    <i>
      <x v="3"/>
    </i>
    <i>
      <x v="4"/>
    </i>
    <i>
      <x v="5"/>
    </i>
    <i>
      <x v="6"/>
    </i>
    <i>
      <x v="8"/>
    </i>
    <i>
      <x v="9"/>
    </i>
    <i t="grand">
      <x/>
    </i>
  </rowItems>
  <colItems count="1">
    <i/>
  </colItems>
  <pageFields count="1">
    <pageField fld="5" hier="-1"/>
  </pageFields>
  <dataFields count="1">
    <dataField name="Count of Application ID" fld="1" subtotal="count" baseField="0" baseItem="0"/>
  </dataFields>
  <formats count="11">
    <format dxfId="427">
      <pivotArea dataOnly="0" fieldPosition="0">
        <references count="1">
          <reference field="10" count="1">
            <x v="10"/>
          </reference>
        </references>
      </pivotArea>
    </format>
    <format dxfId="426">
      <pivotArea collapsedLevelsAreSubtotals="1" fieldPosition="0">
        <references count="1">
          <reference field="10" count="1">
            <x v="4"/>
          </reference>
        </references>
      </pivotArea>
    </format>
    <format dxfId="425">
      <pivotArea dataOnly="0" labelOnly="1" fieldPosition="0">
        <references count="1">
          <reference field="10" count="1">
            <x v="4"/>
          </reference>
        </references>
      </pivotArea>
    </format>
    <format dxfId="424">
      <pivotArea collapsedLevelsAreSubtotals="1" fieldPosition="0">
        <references count="1">
          <reference field="10" count="1">
            <x v="9"/>
          </reference>
        </references>
      </pivotArea>
    </format>
    <format dxfId="423">
      <pivotArea dataOnly="0" labelOnly="1" fieldPosition="0">
        <references count="1">
          <reference field="10" count="1">
            <x v="9"/>
          </reference>
        </references>
      </pivotArea>
    </format>
    <format dxfId="338">
      <pivotArea type="all" dataOnly="0" outline="0" fieldPosition="0"/>
    </format>
    <format dxfId="337">
      <pivotArea outline="0" collapsedLevelsAreSubtotals="1" fieldPosition="0"/>
    </format>
    <format dxfId="336">
      <pivotArea field="10" type="button" dataOnly="0" labelOnly="1" outline="0" axis="axisRow" fieldPosition="0"/>
    </format>
    <format dxfId="335">
      <pivotArea dataOnly="0" labelOnly="1" fieldPosition="0">
        <references count="1">
          <reference field="10" count="9">
            <x v="0"/>
            <x v="1"/>
            <x v="2"/>
            <x v="3"/>
            <x v="4"/>
            <x v="5"/>
            <x v="6"/>
            <x v="8"/>
            <x v="9"/>
          </reference>
        </references>
      </pivotArea>
    </format>
    <format dxfId="334">
      <pivotArea dataOnly="0" labelOnly="1" grandRow="1" outline="0" fieldPosition="0"/>
    </format>
    <format dxfId="3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A0D085-BFBC-4404-ABC8-C3C6BA4956A1}" name="PivotTable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B78"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h="1" x="2"/>
        <item m="1" x="5"/>
        <item h="1" x="1"/>
        <item h="1" x="4"/>
        <item h="1" x="3"/>
        <item m="1" x="6"/>
        <item x="0"/>
        <item t="default"/>
      </items>
    </pivotField>
    <pivotField showAll="0"/>
    <pivotField axis="axisRow" showAll="0">
      <items count="9">
        <item x="0"/>
        <item x="2"/>
        <item x="4"/>
        <item x="5"/>
        <item x="1"/>
        <item x="3"/>
        <item m="1"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7"/>
    </i>
    <i t="grand">
      <x/>
    </i>
  </rowItems>
  <colItems count="1">
    <i/>
  </colItems>
  <pageFields count="1">
    <pageField fld="5" hier="-1"/>
  </pageFields>
  <dataFields count="1">
    <dataField name="Count of Application ID" fld="1" subtotal="count" baseField="0" baseItem="0"/>
  </dataFields>
  <formats count="6">
    <format dxfId="332">
      <pivotArea type="all" dataOnly="0" outline="0" fieldPosition="0"/>
    </format>
    <format dxfId="331">
      <pivotArea outline="0" collapsedLevelsAreSubtotals="1" fieldPosition="0"/>
    </format>
    <format dxfId="330">
      <pivotArea field="7" type="button" dataOnly="0" labelOnly="1" outline="0" axis="axisRow" fieldPosition="0"/>
    </format>
    <format dxfId="329">
      <pivotArea dataOnly="0" labelOnly="1" fieldPosition="0">
        <references count="1">
          <reference field="7" count="0"/>
        </references>
      </pivotArea>
    </format>
    <format dxfId="328">
      <pivotArea dataOnly="0" labelOnly="1" grandRow="1" outline="0" fieldPosition="0"/>
    </format>
    <format dxfId="3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D87E1D-2406-4F45-8E35-EADC9AE81B64}" name="PivotTable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3"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m="1" x="5"/>
        <item h="1" x="1"/>
        <item h="1" x="4"/>
        <item h="1" x="3"/>
        <item m="1" x="6"/>
        <item h="1" x="2"/>
        <item x="0"/>
        <item t="default"/>
      </items>
    </pivotField>
    <pivotField axis="axisRow" showAll="0">
      <items count="7">
        <item x="1"/>
        <item x="0"/>
        <item x="2"/>
        <item x="3"/>
        <item m="1" x="5"/>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pageFields count="1">
    <pageField fld="5" hier="-1"/>
  </pageFields>
  <dataFields count="1">
    <dataField name="Count of Application ID" fld="1" subtotal="count" baseField="0" baseItem="0"/>
  </dataFields>
  <formats count="6">
    <format dxfId="326">
      <pivotArea type="all" dataOnly="0" outline="0" fieldPosition="0"/>
    </format>
    <format dxfId="325">
      <pivotArea outline="0" collapsedLevelsAreSubtotals="1" fieldPosition="0"/>
    </format>
    <format dxfId="324">
      <pivotArea field="6" type="button" dataOnly="0" labelOnly="1" outline="0" axis="axisRow" fieldPosition="0"/>
    </format>
    <format dxfId="323">
      <pivotArea dataOnly="0" labelOnly="1" fieldPosition="0">
        <references count="1">
          <reference field="6" count="0"/>
        </references>
      </pivotArea>
    </format>
    <format dxfId="322">
      <pivotArea dataOnly="0" labelOnly="1" grandRow="1" outline="0" fieldPosition="0"/>
    </format>
    <format dxfId="3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0A788D-EAF7-42EB-8D44-2DE1681893B5}" name="PivotTable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B87"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h="1" x="2"/>
        <item m="1" x="5"/>
        <item h="1" x="1"/>
        <item h="1" x="4"/>
        <item h="1" x="3"/>
        <item m="1" x="6"/>
        <item x="0"/>
        <item t="default"/>
      </items>
    </pivotField>
    <pivotField showAll="0"/>
    <pivotField showAll="0"/>
    <pivotField axis="axisRow" showAll="0">
      <items count="5">
        <item x="1"/>
        <item x="0"/>
        <item x="2"/>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pageFields count="1">
    <pageField fld="5" hier="-1"/>
  </pageFields>
  <dataFields count="1">
    <dataField name="Count of Application ID" fld="1" subtotal="count" baseField="0" baseItem="0"/>
  </dataFields>
  <formats count="6">
    <format dxfId="320">
      <pivotArea type="all" dataOnly="0" outline="0" fieldPosition="0"/>
    </format>
    <format dxfId="319">
      <pivotArea outline="0" collapsedLevelsAreSubtotals="1" fieldPosition="0"/>
    </format>
    <format dxfId="318">
      <pivotArea field="8" type="button" dataOnly="0" labelOnly="1" outline="0" axis="axisRow" fieldPosition="0"/>
    </format>
    <format dxfId="317">
      <pivotArea dataOnly="0" labelOnly="1" fieldPosition="0">
        <references count="1">
          <reference field="8" count="0"/>
        </references>
      </pivotArea>
    </format>
    <format dxfId="316">
      <pivotArea dataOnly="0" labelOnly="1" grandRow="1" outline="0" fieldPosition="0"/>
    </format>
    <format dxfId="3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0916AE-3B9D-41AD-87B6-348A8D3813CE}"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3">
    <pivotField showAll="0"/>
    <pivotField dataField="1" showAll="0"/>
    <pivotField showAll="0"/>
    <pivotField showAll="0"/>
    <pivotField showAll="0"/>
    <pivotField axis="axisRow" showAll="0">
      <items count="8">
        <item x="4"/>
        <item x="3"/>
        <item m="1" x="6"/>
        <item m="1" x="5"/>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4"/>
    </i>
    <i>
      <x v="5"/>
    </i>
    <i>
      <x v="6"/>
    </i>
    <i t="grand">
      <x/>
    </i>
  </rowItems>
  <colItems count="1">
    <i/>
  </colItems>
  <dataFields count="1">
    <dataField name="Count of Application ID" fld="1" subtotal="count" baseField="0" baseItem="0"/>
  </dataFields>
  <formats count="6">
    <format dxfId="314">
      <pivotArea type="all" dataOnly="0" outline="0" fieldPosition="0"/>
    </format>
    <format dxfId="313">
      <pivotArea outline="0" collapsedLevelsAreSubtotals="1" fieldPosition="0"/>
    </format>
    <format dxfId="312">
      <pivotArea field="5" type="button" dataOnly="0" labelOnly="1" outline="0" axis="axisRow" fieldPosition="0"/>
    </format>
    <format dxfId="311">
      <pivotArea dataOnly="0" labelOnly="1" fieldPosition="0">
        <references count="1">
          <reference field="5" count="0"/>
        </references>
      </pivotArea>
    </format>
    <format dxfId="310">
      <pivotArea dataOnly="0" labelOnly="1" grandRow="1" outline="0" fieldPosition="0"/>
    </format>
    <format dxfId="30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E2C39B-0F30-4F16-93E6-1731871B06B0}"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31" firstHeaderRow="1" firstDataRow="1" firstDataCol="1"/>
  <pivotFields count="4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0"/>
        <item x="2"/>
        <item x="5"/>
        <item x="4"/>
        <item x="1"/>
        <item x="8"/>
        <item x="3"/>
        <item x="7"/>
        <item x="6"/>
        <item t="default"/>
      </items>
    </pivotField>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showAll="0"/>
    <pivotField showAll="0"/>
    <pivotField numFmtId="14" showAll="0"/>
    <pivotField showAll="0"/>
    <pivotField numFmtId="167" showAll="0"/>
    <pivotField numFmtId="167" showAll="0"/>
    <pivotField numFmtId="167" showAll="0"/>
    <pivotField numFmtId="167" showAll="0"/>
    <pivotField numFmtId="167" showAll="0"/>
    <pivotField numFmtId="167" showAll="0"/>
    <pivotField showAll="0"/>
  </pivotFields>
  <rowFields count="1">
    <field x="14"/>
  </rowFields>
  <rowItems count="10">
    <i>
      <x/>
    </i>
    <i>
      <x v="1"/>
    </i>
    <i>
      <x v="2"/>
    </i>
    <i>
      <x v="3"/>
    </i>
    <i>
      <x v="4"/>
    </i>
    <i>
      <x v="5"/>
    </i>
    <i>
      <x v="6"/>
    </i>
    <i>
      <x v="7"/>
    </i>
    <i>
      <x v="8"/>
    </i>
    <i t="grand">
      <x/>
    </i>
  </rowItems>
  <colItems count="1">
    <i/>
  </colItems>
  <dataFields count="1">
    <dataField name="Count of Application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41A81E-1B94-4B69-98C4-308EA408A0CB}"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O54" firstHeaderRow="0" firstDataRow="1" firstDataCol="1" rowPageCount="1" colPageCount="1"/>
  <pivotFields count="40">
    <pivotField showAll="0"/>
    <pivotField showAll="0"/>
    <pivotField showAll="0"/>
    <pivotField dataField="1"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axis="axisRow" showAll="0">
      <items count="10">
        <item x="0"/>
        <item x="2"/>
        <item x="5"/>
        <item x="4"/>
        <item x="1"/>
        <item x="8"/>
        <item x="3"/>
        <item x="7"/>
        <item x="6"/>
        <item t="default"/>
      </items>
    </pivotField>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showAll="0"/>
    <pivotField axis="axisPage" showAll="0">
      <items count="4">
        <item x="1"/>
        <item x="0"/>
        <item x="2"/>
        <item t="default"/>
      </items>
    </pivotField>
    <pivotField numFmtId="14" showAll="0"/>
    <pivotField showAll="0"/>
    <pivotField numFmtId="167" showAll="0"/>
    <pivotField numFmtId="167" showAll="0"/>
    <pivotField numFmtId="167" showAll="0"/>
    <pivotField dataField="1" numFmtId="167" showAll="0"/>
    <pivotField dataField="1" numFmtId="167" showAll="0"/>
    <pivotField dataField="1" numFmtId="167" showAll="0"/>
    <pivotField showAll="0"/>
  </pivotFields>
  <rowFields count="2">
    <field x="14"/>
    <field x="7"/>
  </rowFields>
  <rowItems count="32">
    <i>
      <x/>
    </i>
    <i r="1">
      <x/>
    </i>
    <i r="1">
      <x v="1"/>
    </i>
    <i>
      <x v="1"/>
    </i>
    <i r="1">
      <x v="1"/>
    </i>
    <i r="1">
      <x v="3"/>
    </i>
    <i>
      <x v="2"/>
    </i>
    <i r="1">
      <x/>
    </i>
    <i r="1">
      <x v="1"/>
    </i>
    <i>
      <x v="3"/>
    </i>
    <i r="1">
      <x/>
    </i>
    <i r="1">
      <x v="1"/>
    </i>
    <i r="1">
      <x v="2"/>
    </i>
    <i r="1">
      <x v="3"/>
    </i>
    <i>
      <x v="4"/>
    </i>
    <i r="1">
      <x/>
    </i>
    <i r="1">
      <x v="1"/>
    </i>
    <i>
      <x v="5"/>
    </i>
    <i r="1">
      <x/>
    </i>
    <i r="1">
      <x v="1"/>
    </i>
    <i>
      <x v="6"/>
    </i>
    <i r="1">
      <x/>
    </i>
    <i r="1">
      <x v="1"/>
    </i>
    <i r="1">
      <x v="2"/>
    </i>
    <i r="1">
      <x v="3"/>
    </i>
    <i>
      <x v="7"/>
    </i>
    <i r="1">
      <x v="1"/>
    </i>
    <i>
      <x v="8"/>
    </i>
    <i r="1">
      <x/>
    </i>
    <i r="1">
      <x v="1"/>
    </i>
    <i r="1">
      <x v="2"/>
    </i>
    <i t="grand">
      <x/>
    </i>
  </rowItems>
  <colFields count="1">
    <field x="-2"/>
  </colFields>
  <colItems count="4">
    <i>
      <x/>
    </i>
    <i i="1">
      <x v="1"/>
    </i>
    <i i="2">
      <x v="2"/>
    </i>
    <i i="3">
      <x v="3"/>
    </i>
  </colItems>
  <pageFields count="1">
    <pageField fld="30" item="0" hier="-1"/>
  </pageFields>
  <dataFields count="4">
    <dataField name="Count of Primary Contact" fld="3" subtotal="count" baseField="0" baseItem="0"/>
    <dataField name="Sum of Budget limit 1" fld="36" baseField="0" baseItem="0" numFmtId="167"/>
    <dataField name="Sum of Budget limit 2" fld="37" baseField="0" baseItem="0" numFmtId="167"/>
    <dataField name="Sum of Budget limit 3" fld="38"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EE0B97-573A-4DD2-84ED-495A37443453}"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1:O74" firstHeaderRow="0" firstDataRow="1" firstDataCol="1" rowPageCount="1" colPageCount="1"/>
  <pivotFields count="40">
    <pivotField showAll="0"/>
    <pivotField showAll="0"/>
    <pivotField showAll="0"/>
    <pivotField dataField="1" showAll="0"/>
    <pivotField showAll="0"/>
    <pivotField showAll="0"/>
    <pivotField showAll="0"/>
    <pivotField showAll="0"/>
    <pivotField axis="axisRow" showAll="0">
      <items count="8">
        <item x="6"/>
        <item x="0"/>
        <item x="2"/>
        <item x="4"/>
        <item x="3"/>
        <item x="5"/>
        <item x="1"/>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showAll="0"/>
    <pivotField axis="axisPage" showAll="0">
      <items count="4">
        <item x="1"/>
        <item x="0"/>
        <item x="2"/>
        <item t="default"/>
      </items>
    </pivotField>
    <pivotField numFmtId="14" showAll="0"/>
    <pivotField showAll="0"/>
    <pivotField numFmtId="167" showAll="0"/>
    <pivotField numFmtId="167" showAll="0"/>
    <pivotField numFmtId="167" showAll="0"/>
    <pivotField dataField="1" numFmtId="167" showAll="0"/>
    <pivotField dataField="1" numFmtId="167" showAll="0"/>
    <pivotField dataField="1" numFmtId="167" showAll="0"/>
    <pivotField showAll="0"/>
  </pivotFields>
  <rowFields count="2">
    <field x="8"/>
    <field x="9"/>
  </rowFields>
  <rowItems count="13">
    <i>
      <x v="1"/>
    </i>
    <i r="1">
      <x/>
    </i>
    <i r="1">
      <x v="1"/>
    </i>
    <i>
      <x v="2"/>
    </i>
    <i r="1">
      <x/>
    </i>
    <i r="1">
      <x v="1"/>
    </i>
    <i>
      <x v="3"/>
    </i>
    <i r="1">
      <x/>
    </i>
    <i>
      <x v="6"/>
    </i>
    <i r="1">
      <x/>
    </i>
    <i r="1">
      <x v="1"/>
    </i>
    <i r="1">
      <x v="2"/>
    </i>
    <i t="grand">
      <x/>
    </i>
  </rowItems>
  <colFields count="1">
    <field x="-2"/>
  </colFields>
  <colItems count="4">
    <i>
      <x/>
    </i>
    <i i="1">
      <x v="1"/>
    </i>
    <i i="2">
      <x v="2"/>
    </i>
    <i i="3">
      <x v="3"/>
    </i>
  </colItems>
  <pageFields count="1">
    <pageField fld="30" item="0" hier="-1"/>
  </pageFields>
  <dataFields count="4">
    <dataField name="Count of Primary Contact" fld="3" subtotal="count" baseField="0" baseItem="0"/>
    <dataField name="Sum of Budget limit 1" fld="36" baseField="0" baseItem="0" numFmtId="167"/>
    <dataField name="Sum of Budget limit 2" fld="37" baseField="0" baseItem="0" numFmtId="167"/>
    <dataField name="Sum of Budget limit 3" fld="38"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E5CBDF-F393-4CDB-A187-B6434A1AE3D2}"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O14" firstHeaderRow="0" firstDataRow="1" firstDataCol="1" rowPageCount="1" colPageCount="1"/>
  <pivotFields count="40">
    <pivotField showAll="0"/>
    <pivotField dataField="1" showAll="0"/>
    <pivotField showAll="0"/>
    <pivotField showAll="0"/>
    <pivotField showAll="0"/>
    <pivotField showAll="0"/>
    <pivotField showAll="0"/>
    <pivotField axis="axisRow" showAll="0">
      <items count="5">
        <item x="2"/>
        <item x="0"/>
        <item x="1"/>
        <item x="3"/>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showAll="0"/>
    <pivotField axis="axisPage" showAll="0">
      <items count="4">
        <item x="1"/>
        <item x="0"/>
        <item x="2"/>
        <item t="default"/>
      </items>
    </pivotField>
    <pivotField numFmtId="14" showAll="0"/>
    <pivotField showAll="0"/>
    <pivotField numFmtId="167" showAll="0"/>
    <pivotField numFmtId="167" showAll="0"/>
    <pivotField numFmtId="167" showAll="0"/>
    <pivotField dataField="1" numFmtId="167" showAll="0"/>
    <pivotField dataField="1" numFmtId="167" showAll="0"/>
    <pivotField dataField="1" numFmtId="167" showAll="0"/>
    <pivotField showAll="0"/>
  </pivotFields>
  <rowFields count="2">
    <field x="7"/>
    <field x="10"/>
  </rowFields>
  <rowItems count="11">
    <i>
      <x/>
    </i>
    <i r="1">
      <x/>
    </i>
    <i r="1">
      <x v="1"/>
    </i>
    <i>
      <x v="1"/>
    </i>
    <i r="1">
      <x/>
    </i>
    <i r="1">
      <x v="1"/>
    </i>
    <i>
      <x v="2"/>
    </i>
    <i r="1">
      <x v="1"/>
    </i>
    <i>
      <x v="3"/>
    </i>
    <i r="1">
      <x/>
    </i>
    <i t="grand">
      <x/>
    </i>
  </rowItems>
  <colFields count="1">
    <field x="-2"/>
  </colFields>
  <colItems count="4">
    <i>
      <x/>
    </i>
    <i i="1">
      <x v="1"/>
    </i>
    <i i="2">
      <x v="2"/>
    </i>
    <i i="3">
      <x v="3"/>
    </i>
  </colItems>
  <pageFields count="1">
    <pageField fld="30" item="0" hier="-1"/>
  </pageFields>
  <dataFields count="4">
    <dataField name="Count of Application ID" fld="1" subtotal="count" baseField="0" baseItem="0"/>
    <dataField name="Sum of Budget limit 1" fld="36" baseField="0" baseItem="0" numFmtId="167"/>
    <dataField name="Sum of Budget limit 2" fld="37" baseField="0" baseItem="0" numFmtId="167"/>
    <dataField name="Sum of Budget limit 3" fld="38"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6C413A-66DB-4059-AD0E-527A8CE166D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15" firstHeaderRow="0" firstDataRow="1" firstDataCol="1" rowPageCount="1" colPageCount="1"/>
  <pivotFields count="4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axis="axisPage" showAll="0">
      <items count="3">
        <item x="0"/>
        <item x="1"/>
        <item t="default"/>
      </items>
    </pivotField>
    <pivotField showAll="0"/>
    <pivotField numFmtId="14" showAll="0"/>
    <pivotField showAll="0"/>
    <pivotField dataField="1" numFmtId="167" showAll="0"/>
    <pivotField dataField="1" numFmtId="167" showAll="0"/>
    <pivotField dataField="1" numFmtId="167" showAll="0"/>
    <pivotField numFmtId="167" showAll="0"/>
    <pivotField numFmtId="167" showAll="0"/>
    <pivotField numFmtId="167" showAll="0"/>
    <pivotField showAll="0"/>
  </pivotFields>
  <rowFields count="2">
    <field x="7"/>
    <field x="10"/>
  </rowFields>
  <rowItems count="12">
    <i>
      <x/>
    </i>
    <i r="1">
      <x/>
    </i>
    <i r="1">
      <x v="1"/>
    </i>
    <i>
      <x v="1"/>
    </i>
    <i r="1">
      <x/>
    </i>
    <i r="1">
      <x v="1"/>
    </i>
    <i>
      <x v="2"/>
    </i>
    <i r="1">
      <x/>
    </i>
    <i r="1">
      <x v="1"/>
    </i>
    <i>
      <x v="3"/>
    </i>
    <i r="1">
      <x/>
    </i>
    <i t="grand">
      <x/>
    </i>
  </rowItems>
  <colFields count="1">
    <field x="-2"/>
  </colFields>
  <colItems count="3">
    <i>
      <x/>
    </i>
    <i i="1">
      <x v="1"/>
    </i>
    <i i="2">
      <x v="2"/>
    </i>
  </colItems>
  <pageFields count="1">
    <pageField fld="29" item="1" hier="-1"/>
  </pageFields>
  <dataFields count="3">
    <dataField name="Sum of Year 1" fld="33" baseField="0" baseItem="0" numFmtId="167"/>
    <dataField name="Sum of Year 2" fld="34" baseField="0" baseItem="0" numFmtId="167"/>
    <dataField name="Sum of Year 3" fld="35"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DE6CD1-6C60-4A9A-A51B-BC4C712EA816}"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rowPageCount="1" colPageCount="1"/>
  <pivotFields count="4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axis="axisPage" showAll="0">
      <items count="3">
        <item x="0"/>
        <item x="1"/>
        <item t="default"/>
      </items>
    </pivotField>
    <pivotField showAll="0"/>
    <pivotField showAll="0"/>
    <pivotField numFmtId="14" showAll="0"/>
    <pivotField showAll="0"/>
    <pivotField dataField="1" numFmtId="167" showAll="0"/>
    <pivotField dataField="1" numFmtId="167" showAll="0"/>
    <pivotField dataField="1" numFmtId="167" showAll="0"/>
    <pivotField numFmtId="167" showAll="0"/>
    <pivotField numFmtId="167" showAll="0"/>
    <pivotField numFmtId="167" showAll="0"/>
    <pivotField showAll="0"/>
  </pivotFields>
  <rowFields count="2">
    <field x="7"/>
    <field x="10"/>
  </rowFields>
  <rowItems count="13">
    <i>
      <x/>
    </i>
    <i r="1">
      <x/>
    </i>
    <i r="1">
      <x v="1"/>
    </i>
    <i>
      <x v="1"/>
    </i>
    <i r="1">
      <x/>
    </i>
    <i r="1">
      <x v="1"/>
    </i>
    <i>
      <x v="2"/>
    </i>
    <i r="1">
      <x/>
    </i>
    <i r="1">
      <x v="1"/>
    </i>
    <i>
      <x v="3"/>
    </i>
    <i r="1">
      <x/>
    </i>
    <i r="1">
      <x v="1"/>
    </i>
    <i t="grand">
      <x/>
    </i>
  </rowItems>
  <colFields count="1">
    <field x="-2"/>
  </colFields>
  <colItems count="3">
    <i>
      <x/>
    </i>
    <i i="1">
      <x v="1"/>
    </i>
    <i i="2">
      <x v="2"/>
    </i>
  </colItems>
  <pageFields count="1">
    <pageField fld="28" item="1" hier="-1"/>
  </pageFields>
  <dataFields count="3">
    <dataField name="Sum of Year 1" fld="33" baseField="0" baseItem="0" numFmtId="167"/>
    <dataField name="Sum of Year 2" fld="34" baseField="0" baseItem="0" numFmtId="167"/>
    <dataField name="Sum of Year 3" fld="35"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A0629B-8081-431C-B180-E5AB9E82C072}" name="Table1" displayName="Table1" ref="A2:W953" totalsRowShown="0" headerRowDxfId="422" dataDxfId="421">
  <autoFilter ref="A2:W953" xr:uid="{00000000-0001-0000-0000-000000000000}"/>
  <tableColumns count="23">
    <tableColumn id="1" xr3:uid="{D9DD3564-1F3B-4463-98EE-5EEB83C862AF}" name="Feedback date" dataDxfId="420"/>
    <tableColumn id="2" xr3:uid="{B7656C40-43C8-4198-8517-F5DE7DA43E01}" name="Application ID" dataDxfId="419"/>
    <tableColumn id="3" xr3:uid="{EDF14A8D-17FE-48E0-AB5D-EE1B1FD74ACE}" name="Application Type" dataDxfId="418"/>
    <tableColumn id="4" xr3:uid="{DE81EFF5-EFCF-4885-8690-64C47840E9C9}" name="Primary Contact" dataDxfId="417"/>
    <tableColumn id="5" xr3:uid="{625156DD-59EE-48CF-BBED-7CC68A1AF004}" name="Email" dataDxfId="416"/>
    <tableColumn id="6" xr3:uid="{3494574A-DA16-406C-8724-42D5FF8FF7CE}" name="Status" dataDxfId="415"/>
    <tableColumn id="7" xr3:uid="{2FCA85A5-AC63-4092-98BD-9FCB69E88466}" name="What do you need funding for?" dataDxfId="414"/>
    <tableColumn id="8" xr3:uid="{0B2B3976-699B-40F3-98F7-76195AEF2109}" name="Ethnicity" dataDxfId="413"/>
    <tableColumn id="9" xr3:uid="{2F37CA91-FC06-42E9-B317-06F5D892CAD8}" name="Gender" dataDxfId="412"/>
    <tableColumn id="10" xr3:uid="{1208E6D9-8356-4850-AD4F-D7A0A79205D8}" name="Institution" dataDxfId="411"/>
    <tableColumn id="23" xr3:uid="{7FA75F6D-57BA-481F-88A7-922217A9A0E9}" name="Please indicate the faculty related to your application" dataDxfId="357"/>
    <tableColumn id="25" xr3:uid="{AD861A5B-A738-492C-B942-FB86CB4A148F}" name="ORIGINAL FACULTY" dataDxfId="160"/>
    <tableColumn id="20" xr3:uid="{7DF8128C-ADA3-4FE6-A3E6-7472A8FA78D8}" name="Reviewer" dataDxfId="410"/>
    <tableColumn id="19" xr3:uid="{68B773C9-352A-4285-AA5C-567D13D00FD7}" name="Comment" dataDxfId="409"/>
    <tableColumn id="24" xr3:uid="{A63EDA8A-AB7D-4C57-BC09-A54139A363B7}" name="Internal review check" dataDxfId="408"/>
    <tableColumn id="12" xr3:uid="{5D2241C6-D108-467D-8FFE-ED7CB0608107}" name="Please indicate the institution you have applied to" dataDxfId="407"/>
    <tableColumn id="22" xr3:uid="{AAE9A842-6C15-4ECE-8C31-D6569EB4BFCA}" name="Study choice" dataDxfId="406"/>
    <tableColumn id="13" xr3:uid="{0030576A-49DD-42E0-878C-4420295C8D21}" name="Please indicate the topic related to your study" dataDxfId="405"/>
    <tableColumn id="14" xr3:uid="{DA9B61F7-F89C-42FD-BBB6-2F9E5ACDDB27}" name="Start date" dataDxfId="404"/>
    <tableColumn id="15" xr3:uid="{284A153D-7207-4166-968D-56ECD98B0F1C}" name="Duration" dataDxfId="403"/>
    <tableColumn id="16" xr3:uid="{C6EE14AB-728A-48CD-B822-404549BFD685}" name="Year 1" dataDxfId="402"/>
    <tableColumn id="17" xr3:uid="{FBE13A8B-3075-4710-AA1F-67C42E171F03}" name="Year 2" dataDxfId="401"/>
    <tableColumn id="18" xr3:uid="{DA9EBD10-2FB0-4FEC-9ECB-2615DDA2B739}" name="Year 3" dataDxfId="40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5F8D79-A5DE-496C-BF2C-617BBDC5D7DE}" name="Table13" displayName="Table13" ref="A1:AN670" totalsRowShown="0" headerRowDxfId="399" dataDxfId="398">
  <autoFilter ref="A1:AN670" xr:uid="{00000000-0001-0000-0000-000000000000}">
    <filterColumn colId="30">
      <filters>
        <filter val="Yes"/>
      </filters>
    </filterColumn>
  </autoFilter>
  <tableColumns count="40">
    <tableColumn id="1" xr3:uid="{47B7D368-3747-4E49-8050-7267492993B0}" name="Feedback date" dataDxfId="397"/>
    <tableColumn id="2" xr3:uid="{AC33A9E0-871F-468F-A67A-596E280717D7}" name="Application ID" dataDxfId="396"/>
    <tableColumn id="3" xr3:uid="{1DF36444-1286-4F1F-B086-937762769C1C}" name="Application Type" dataDxfId="395"/>
    <tableColumn id="4" xr3:uid="{C45E56B8-8DD9-4547-859B-CD7BDE84ADE0}" name="Primary Contact" dataDxfId="394"/>
    <tableColumn id="5" xr3:uid="{629746C3-145A-45B2-9364-1E386F8DF158}" name="Email" dataDxfId="393"/>
    <tableColumn id="6" xr3:uid="{C45E20AD-63CB-4F60-9DCE-C8AFF0D10974}" name="Status" dataDxfId="392"/>
    <tableColumn id="25" xr3:uid="{E0CD16D9-8E2D-4CDD-958F-4F6EFCC5A7CE}" name="Status check" dataDxfId="391"/>
    <tableColumn id="7" xr3:uid="{60E68F7B-F0AB-4324-9B19-845F03E187AC}" name="What do you need funding for?" dataDxfId="390"/>
    <tableColumn id="8" xr3:uid="{42A54CB7-3FA2-4A3F-A990-421011DCA008}" name="Ethnicity" dataDxfId="389"/>
    <tableColumn id="9" xr3:uid="{02C46927-4F92-41E5-A72A-2969F99AC7E1}" name="Gender" dataDxfId="388"/>
    <tableColumn id="10" xr3:uid="{54851A37-E9FE-4237-A59D-C16BF017AB37}" name="Institution" dataDxfId="387"/>
    <tableColumn id="20" xr3:uid="{3E45C470-65E6-45A2-B97D-FCDB888CC252}" name="Reviewer" dataDxfId="386"/>
    <tableColumn id="19" xr3:uid="{123B7FB7-7E90-46FF-95B1-C35D5BB28E56}" name="Comment" dataDxfId="385"/>
    <tableColumn id="24" xr3:uid="{B7F2EC88-F449-44C3-9250-82408AF38934}" name="Internal review check" dataDxfId="384"/>
    <tableColumn id="11" xr3:uid="{1DB3451F-8FCC-4C08-8A82-B072E7522C11}" name="Faculty" dataDxfId="383"/>
    <tableColumn id="12" xr3:uid="{055FD0DC-69EB-403D-A972-BA9A03689BA1}" name="Please indicate the institution you have applied to" dataDxfId="382"/>
    <tableColumn id="22" xr3:uid="{1CCDF5F9-192B-46E1-8FE2-F71DC21406C3}" name="Study choice" dataDxfId="381"/>
    <tableColumn id="13" xr3:uid="{D458C790-5247-41BE-B8FE-39803219F2DB}" name="Please indicate the topic related to your study" dataDxfId="380"/>
    <tableColumn id="26" xr3:uid="{228AFBA0-3403-4DA7-AC7A-FDBFD1562462}" name="Reviewer 1" dataDxfId="379"/>
    <tableColumn id="23" xr3:uid="{04680EFB-6277-4F00-A3CA-134035ACEA6E}" name="Reviewer 2" dataDxfId="378"/>
    <tableColumn id="28" xr3:uid="{6CF0B9A3-1E3C-4A78-A820-E300E8861DF0}" name="Reviewer 1 check" dataDxfId="377"/>
    <tableColumn id="27" xr3:uid="{5C184A78-29E1-4EE3-91AD-A7FCD79F2D2B}" name="Reviewer 2 check" dataDxfId="376"/>
    <tableColumn id="30" xr3:uid="{1D1DEA44-36E0-4A68-BA01-C9E1C0F0947D}" name="Score 1" dataDxfId="375" dataCellStyle="Comma"/>
    <tableColumn id="29" xr3:uid="{6D21340D-0DA5-4009-813A-C5AC9B190A8A}" name="Score 2" dataDxfId="374" dataCellStyle="Comma"/>
    <tableColumn id="33" xr3:uid="{7B6F5C98-C33F-4444-BE4C-A56BEAB2C57F}" name="Average score" dataDxfId="373" dataCellStyle="Comma">
      <calculatedColumnFormula>AVERAGE(Table13[[#This Row],[Score 1]],Table13[[#This Row],[Score 2]])</calculatedColumnFormula>
    </tableColumn>
    <tableColumn id="32" xr3:uid="{DC39AACF-94E4-484B-8AC0-C4D8D7BB4DEB}" name="Rank 1" dataDxfId="372"/>
    <tableColumn id="31" xr3:uid="{2CE3B1FB-9CF1-40B2-94D4-AB10FC19C00A}" name="Rank 2" dataDxfId="371"/>
    <tableColumn id="34" xr3:uid="{2BD7D13B-4AD1-410A-9C14-14E82A2BBABB}" name="Total rank" dataDxfId="370">
      <calculatedColumnFormula>Table13[[#This Row],[Rank 1]]+Table13[[#This Row],[Rank 2]]</calculatedColumnFormula>
    </tableColumn>
    <tableColumn id="35" xr3:uid="{31EFA82F-C5D6-425D-9114-13A20534BA33}" name="Initial shortlist" dataDxfId="369">
      <calculatedColumnFormula>IF(AND(Table13[[#This Row],[Average score]]&gt;75,Table13[[#This Row],[Total rank]]&gt;6.5),"Yes","No")</calculatedColumnFormula>
    </tableColumn>
    <tableColumn id="36" xr3:uid="{D2FCC4F8-D53E-4190-90BE-471B367FE23C}" name="Shortlist 2 (80 and 8)" dataDxfId="368">
      <calculatedColumnFormula>IF(AND(Table13[[#This Row],[Average score]]&gt;80,Table13[[#This Row],[Total rank]]&gt;7.5),"Yes","No")</calculatedColumnFormula>
    </tableColumn>
    <tableColumn id="40" xr3:uid="{E5DD469B-84B8-405D-B9FC-A3A3B01EED59}" name="Final shortlist" dataDxfId="367"/>
    <tableColumn id="14" xr3:uid="{B18EC8C0-CC0C-4535-BCEA-4C317D0C947E}" name="Start date" dataDxfId="366"/>
    <tableColumn id="15" xr3:uid="{87DF542C-8577-4C7F-BC02-15572875D68E}" name="Duration" dataDxfId="365"/>
    <tableColumn id="16" xr3:uid="{47958691-91A1-4259-9914-B8A437C514D6}" name="Year 1" dataDxfId="364" dataCellStyle="Comma"/>
    <tableColumn id="17" xr3:uid="{48A4367D-18AE-4228-AA6D-AA89E4707CA2}" name="Year 2" dataDxfId="363" dataCellStyle="Comma"/>
    <tableColumn id="18" xr3:uid="{972A1DAE-54D9-4FBE-820C-9F16229EEF5D}" name="Year 3" dataDxfId="362" dataCellStyle="Comma"/>
    <tableColumn id="39" xr3:uid="{30585F8C-FC7B-4AD4-8C68-3D214653AD6C}" name="Budget limit 1" dataDxfId="361" dataCellStyle="Comma">
      <calculatedColumnFormula>Table13[[#This Row],[Year 1]]</calculatedColumnFormula>
    </tableColumn>
    <tableColumn id="38" xr3:uid="{53127758-86B2-48E7-8B42-E84BAACBAE3A}" name="Budget limit 2" dataDxfId="360" dataCellStyle="Comma">
      <calculatedColumnFormula>Table13[[#This Row],[Year 2]]</calculatedColumnFormula>
    </tableColumn>
    <tableColumn id="37" xr3:uid="{4C5199E4-4B05-451A-B21B-22D58DC08A1C}" name="Budget limit 3" dataDxfId="359" dataCellStyle="Comma">
      <calculatedColumnFormula>Table13[[#This Row],[Year 3]]</calculatedColumnFormula>
    </tableColumn>
    <tableColumn id="21" xr3:uid="{AF0CE1C2-F90E-4C59-97A8-0DF0B17D56DE}" name="Reference letter check" dataDxfId="35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hyperlink" Target="mailto:kwazim@sun.ac.za" TargetMode="External"/><Relationship Id="rId2" Type="http://schemas.openxmlformats.org/officeDocument/2006/relationships/hyperlink" Target="mailto:juliesaidbe@gmail.com" TargetMode="External"/><Relationship Id="rId1" Type="http://schemas.openxmlformats.org/officeDocument/2006/relationships/hyperlink" Target="mailto:londolaniberthamunzhedzi@gmail.com" TargetMode="External"/><Relationship Id="rId6" Type="http://schemas.openxmlformats.org/officeDocument/2006/relationships/table" Target="../tables/table1.xml"/><Relationship Id="rId5" Type="http://schemas.openxmlformats.org/officeDocument/2006/relationships/hyperlink" Target="mailto:kuna0706@gmail.com" TargetMode="External"/><Relationship Id="rId4" Type="http://schemas.openxmlformats.org/officeDocument/2006/relationships/hyperlink" Target="mailto:Muhlurilesley98@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hyperlink" Target="mailto:juliesaidbe@gmail.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72925-23CB-43B7-9C62-032087BE7673}">
  <dimension ref="A3:I114"/>
  <sheetViews>
    <sheetView workbookViewId="0">
      <selection activeCell="B99" sqref="B99"/>
    </sheetView>
  </sheetViews>
  <sheetFormatPr defaultRowHeight="13.2" x14ac:dyDescent="0.25"/>
  <cols>
    <col min="1" max="1" width="19" style="1" bestFit="1" customWidth="1"/>
    <col min="2" max="2" width="22.5546875" style="1" bestFit="1" customWidth="1"/>
    <col min="3" max="3" width="2.109375" style="1" customWidth="1"/>
    <col min="4" max="4" width="23" style="1" bestFit="1" customWidth="1"/>
    <col min="5" max="7" width="8.88671875" style="1"/>
    <col min="8" max="8" width="2.88671875" style="1" customWidth="1"/>
    <col min="9" max="16384" width="8.88671875" style="1"/>
  </cols>
  <sheetData>
    <row r="3" spans="1:2" x14ac:dyDescent="0.25">
      <c r="A3" s="39" t="s">
        <v>0</v>
      </c>
      <c r="B3" s="1" t="s">
        <v>1</v>
      </c>
    </row>
    <row r="4" spans="1:2" x14ac:dyDescent="0.25">
      <c r="A4" s="40" t="s">
        <v>2</v>
      </c>
      <c r="B4" s="41">
        <v>2</v>
      </c>
    </row>
    <row r="5" spans="1:2" x14ac:dyDescent="0.25">
      <c r="A5" s="40" t="s">
        <v>3</v>
      </c>
      <c r="B5" s="41">
        <v>170</v>
      </c>
    </row>
    <row r="6" spans="1:2" x14ac:dyDescent="0.25">
      <c r="A6" s="40" t="s">
        <v>5259</v>
      </c>
      <c r="B6" s="41">
        <v>106</v>
      </c>
    </row>
    <row r="7" spans="1:2" x14ac:dyDescent="0.25">
      <c r="A7" s="40" t="s">
        <v>5237</v>
      </c>
      <c r="B7" s="41">
        <v>2</v>
      </c>
    </row>
    <row r="8" spans="1:2" x14ac:dyDescent="0.25">
      <c r="A8" s="40" t="s">
        <v>6085</v>
      </c>
      <c r="B8" s="41">
        <v>671</v>
      </c>
    </row>
    <row r="9" spans="1:2" x14ac:dyDescent="0.25">
      <c r="A9" s="40" t="s">
        <v>4</v>
      </c>
      <c r="B9" s="41">
        <v>951</v>
      </c>
    </row>
    <row r="10" spans="1:2" x14ac:dyDescent="0.25">
      <c r="A10" s="40"/>
      <c r="B10" s="41"/>
    </row>
    <row r="11" spans="1:2" x14ac:dyDescent="0.25">
      <c r="A11" s="39" t="s">
        <v>33</v>
      </c>
      <c r="B11" s="1" t="s">
        <v>5259</v>
      </c>
    </row>
    <row r="13" spans="1:2" x14ac:dyDescent="0.25">
      <c r="A13" s="39" t="s">
        <v>0</v>
      </c>
      <c r="B13" s="1" t="s">
        <v>1</v>
      </c>
    </row>
    <row r="14" spans="1:2" x14ac:dyDescent="0.25">
      <c r="A14" s="40" t="s">
        <v>5229</v>
      </c>
      <c r="B14" s="41">
        <v>6</v>
      </c>
    </row>
    <row r="15" spans="1:2" x14ac:dyDescent="0.25">
      <c r="A15" s="40" t="s">
        <v>5231</v>
      </c>
      <c r="B15" s="41">
        <v>1</v>
      </c>
    </row>
    <row r="16" spans="1:2" x14ac:dyDescent="0.25">
      <c r="A16" s="40" t="s">
        <v>6027</v>
      </c>
      <c r="B16" s="41">
        <v>14</v>
      </c>
    </row>
    <row r="17" spans="1:2" x14ac:dyDescent="0.25">
      <c r="A17" s="40" t="s">
        <v>5228</v>
      </c>
      <c r="B17" s="41">
        <v>6</v>
      </c>
    </row>
    <row r="18" spans="1:2" x14ac:dyDescent="0.25">
      <c r="A18" s="40" t="s">
        <v>5225</v>
      </c>
      <c r="B18" s="41">
        <v>1</v>
      </c>
    </row>
    <row r="19" spans="1:2" x14ac:dyDescent="0.25">
      <c r="A19" s="40" t="s">
        <v>1664</v>
      </c>
      <c r="B19" s="41">
        <v>16</v>
      </c>
    </row>
    <row r="20" spans="1:2" x14ac:dyDescent="0.25">
      <c r="A20" s="40" t="s">
        <v>5226</v>
      </c>
      <c r="B20" s="41">
        <v>43</v>
      </c>
    </row>
    <row r="21" spans="1:2" x14ac:dyDescent="0.25">
      <c r="A21" s="40" t="s">
        <v>1702</v>
      </c>
      <c r="B21" s="41">
        <v>8</v>
      </c>
    </row>
    <row r="22" spans="1:2" x14ac:dyDescent="0.25">
      <c r="A22" s="40" t="s">
        <v>6238</v>
      </c>
      <c r="B22" s="41">
        <v>11</v>
      </c>
    </row>
    <row r="23" spans="1:2" x14ac:dyDescent="0.25">
      <c r="A23" s="40" t="s">
        <v>4</v>
      </c>
      <c r="B23" s="41">
        <v>106</v>
      </c>
    </row>
    <row r="24" spans="1:2" x14ac:dyDescent="0.25">
      <c r="A24"/>
      <c r="B24"/>
    </row>
    <row r="26" spans="1:2" x14ac:dyDescent="0.25">
      <c r="A26" s="39" t="s">
        <v>33</v>
      </c>
      <c r="B26" s="1" t="s">
        <v>6085</v>
      </c>
    </row>
    <row r="28" spans="1:2" x14ac:dyDescent="0.25">
      <c r="A28" s="39" t="s">
        <v>0</v>
      </c>
      <c r="B28" s="1" t="s">
        <v>1</v>
      </c>
    </row>
    <row r="29" spans="1:2" x14ac:dyDescent="0.25">
      <c r="A29" s="40" t="s">
        <v>5</v>
      </c>
      <c r="B29" s="41">
        <v>240</v>
      </c>
    </row>
    <row r="30" spans="1:2" x14ac:dyDescent="0.25">
      <c r="A30" s="40" t="s">
        <v>6</v>
      </c>
      <c r="B30" s="41">
        <v>341</v>
      </c>
    </row>
    <row r="31" spans="1:2" x14ac:dyDescent="0.25">
      <c r="A31" s="40" t="s">
        <v>7</v>
      </c>
      <c r="B31" s="41">
        <v>80</v>
      </c>
    </row>
    <row r="32" spans="1:2" x14ac:dyDescent="0.25">
      <c r="A32" s="40" t="s">
        <v>1383</v>
      </c>
      <c r="B32" s="41">
        <v>10</v>
      </c>
    </row>
    <row r="33" spans="1:4" x14ac:dyDescent="0.25">
      <c r="A33" s="40" t="s">
        <v>4</v>
      </c>
      <c r="B33" s="41">
        <v>671</v>
      </c>
      <c r="D33" s="1">
        <f>GETPIVOTDATA("Application ID",$A$28)/GETPIVOTDATA("Application ID",$A$3)</f>
        <v>0.70557308096740279</v>
      </c>
    </row>
    <row r="36" spans="1:4" x14ac:dyDescent="0.25">
      <c r="A36" s="39" t="s">
        <v>33</v>
      </c>
      <c r="B36" s="1" t="s">
        <v>6085</v>
      </c>
    </row>
    <row r="38" spans="1:4" x14ac:dyDescent="0.25">
      <c r="A38" s="39" t="s">
        <v>0</v>
      </c>
      <c r="B38" s="1" t="s">
        <v>1</v>
      </c>
    </row>
    <row r="39" spans="1:4" x14ac:dyDescent="0.25">
      <c r="A39" s="40" t="s">
        <v>8</v>
      </c>
      <c r="B39" s="41">
        <v>25</v>
      </c>
    </row>
    <row r="40" spans="1:4" x14ac:dyDescent="0.25">
      <c r="A40" s="42" t="s">
        <v>5</v>
      </c>
      <c r="B40" s="41">
        <v>9</v>
      </c>
    </row>
    <row r="41" spans="1:4" x14ac:dyDescent="0.25">
      <c r="A41" s="42" t="s">
        <v>6</v>
      </c>
      <c r="B41" s="41">
        <v>6</v>
      </c>
    </row>
    <row r="42" spans="1:4" x14ac:dyDescent="0.25">
      <c r="A42" s="42" t="s">
        <v>7</v>
      </c>
      <c r="B42" s="41">
        <v>1</v>
      </c>
    </row>
    <row r="43" spans="1:4" x14ac:dyDescent="0.25">
      <c r="A43" s="42" t="s">
        <v>1383</v>
      </c>
      <c r="B43" s="41">
        <v>9</v>
      </c>
    </row>
    <row r="44" spans="1:4" x14ac:dyDescent="0.25">
      <c r="A44" s="40" t="s">
        <v>9</v>
      </c>
      <c r="B44" s="41">
        <v>646</v>
      </c>
    </row>
    <row r="45" spans="1:4" x14ac:dyDescent="0.25">
      <c r="A45" s="42" t="s">
        <v>5</v>
      </c>
      <c r="B45" s="41">
        <v>231</v>
      </c>
    </row>
    <row r="46" spans="1:4" x14ac:dyDescent="0.25">
      <c r="A46" s="42" t="s">
        <v>6</v>
      </c>
      <c r="B46" s="41">
        <v>335</v>
      </c>
    </row>
    <row r="47" spans="1:4" x14ac:dyDescent="0.25">
      <c r="A47" s="42" t="s">
        <v>7</v>
      </c>
      <c r="B47" s="41">
        <v>79</v>
      </c>
    </row>
    <row r="48" spans="1:4" x14ac:dyDescent="0.25">
      <c r="A48" s="42" t="s">
        <v>1383</v>
      </c>
      <c r="B48" s="41">
        <v>1</v>
      </c>
    </row>
    <row r="49" spans="1:9" x14ac:dyDescent="0.25">
      <c r="A49" s="40" t="s">
        <v>4</v>
      </c>
      <c r="B49" s="41">
        <v>671</v>
      </c>
    </row>
    <row r="53" spans="1:9" x14ac:dyDescent="0.25">
      <c r="A53" s="39" t="s">
        <v>33</v>
      </c>
      <c r="B53" s="1" t="s">
        <v>6085</v>
      </c>
    </row>
    <row r="55" spans="1:9" x14ac:dyDescent="0.25">
      <c r="A55" s="39" t="s">
        <v>0</v>
      </c>
      <c r="B55" s="1" t="s">
        <v>1</v>
      </c>
      <c r="D55" s="1" t="s">
        <v>3938</v>
      </c>
      <c r="E55" s="1" t="s">
        <v>3941</v>
      </c>
      <c r="F55" s="1" t="s">
        <v>3939</v>
      </c>
      <c r="G55" s="1" t="s">
        <v>3940</v>
      </c>
    </row>
    <row r="56" spans="1:9" x14ac:dyDescent="0.25">
      <c r="A56" s="40" t="s">
        <v>10</v>
      </c>
      <c r="B56" s="41">
        <v>65</v>
      </c>
      <c r="D56" s="1">
        <f>GETPIVOTDATA("Application ID",$A$55,"Please indicate the faculty related to your application","Applied Sciences")/20*2</f>
        <v>6.5</v>
      </c>
      <c r="E56" s="1">
        <f>_xlfn.CEILING.MATH(D56,1,0)</f>
        <v>7</v>
      </c>
      <c r="F56" s="1">
        <v>9</v>
      </c>
      <c r="G56" s="1">
        <f>E56-F56</f>
        <v>-2</v>
      </c>
      <c r="I56" s="27">
        <f>GETPIVOTDATA("Application ID",$A$55,"Please indicate the faculty related to your application","Applied Sciences")/F56*2</f>
        <v>14.444444444444445</v>
      </c>
    </row>
    <row r="57" spans="1:9" x14ac:dyDescent="0.25">
      <c r="A57" s="40" t="s">
        <v>11</v>
      </c>
      <c r="B57" s="41">
        <v>31</v>
      </c>
      <c r="D57" s="1">
        <f>GETPIVOTDATA("Application ID",$A$55,"Please indicate the faculty related to your application","Commerce &amp; Management")/20*2</f>
        <v>3.1</v>
      </c>
      <c r="E57" s="1">
        <f>_xlfn.CEILING.MATH(D57,1,0)</f>
        <v>4</v>
      </c>
      <c r="F57" s="1">
        <v>4</v>
      </c>
      <c r="G57" s="1">
        <f t="shared" ref="G57:G62" si="0">E57-F57</f>
        <v>0</v>
      </c>
      <c r="I57" s="1">
        <f>GETPIVOTDATA("Application ID",$A$55,"Please indicate the faculty related to your application","Commerce &amp; Management")/F57*2</f>
        <v>15.5</v>
      </c>
    </row>
    <row r="58" spans="1:9" x14ac:dyDescent="0.25">
      <c r="A58" s="40" t="s">
        <v>12</v>
      </c>
      <c r="B58" s="41">
        <v>33</v>
      </c>
      <c r="D58" s="1">
        <f>GETPIVOTDATA("Application ID",$A$55,"Please indicate the faculty related to your application","Engineering &amp; the Built Environment")/20*2</f>
        <v>3.3</v>
      </c>
      <c r="E58" s="1">
        <f>_xlfn.CEILING.MATH(D58,1,0)</f>
        <v>4</v>
      </c>
      <c r="F58" s="1">
        <v>3</v>
      </c>
      <c r="G58" s="1">
        <f t="shared" si="0"/>
        <v>1</v>
      </c>
      <c r="I58" s="1">
        <f>GETPIVOTDATA("Application ID",$A$55,"Please indicate the faculty related to your application","Engineering &amp; the Built Environment")/F58*2</f>
        <v>22</v>
      </c>
    </row>
    <row r="59" spans="1:9" x14ac:dyDescent="0.25">
      <c r="A59" s="40" t="s">
        <v>13</v>
      </c>
      <c r="B59" s="41">
        <v>189</v>
      </c>
      <c r="D59" s="1">
        <f>GETPIVOTDATA("Application ID",$A$55,"Please indicate the faculty related to your application","Health Sciences")/20*2</f>
        <v>18.899999999999999</v>
      </c>
      <c r="E59" s="1">
        <f>_xlfn.CEILING.MATH(D59,1,0)</f>
        <v>19</v>
      </c>
      <c r="F59" s="1">
        <v>20</v>
      </c>
      <c r="G59" s="1">
        <f t="shared" si="0"/>
        <v>-1</v>
      </c>
      <c r="I59" s="1">
        <f>GETPIVOTDATA("Application ID",$A$55,"Please indicate the faculty related to your application","Health Sciences")/F59*2</f>
        <v>18.899999999999999</v>
      </c>
    </row>
    <row r="60" spans="1:9" x14ac:dyDescent="0.25">
      <c r="A60" s="43" t="s">
        <v>14</v>
      </c>
      <c r="B60" s="44">
        <v>135</v>
      </c>
      <c r="D60" s="1">
        <f>GETPIVOTDATA("Application ID",$A$55,"Please indicate the faculty related to your application","Humanities")/20*2</f>
        <v>13.5</v>
      </c>
      <c r="E60" s="1">
        <f>_xlfn.CEILING.MATH(D60,1,0)+5</f>
        <v>19</v>
      </c>
      <c r="F60" s="1">
        <v>19</v>
      </c>
      <c r="G60" s="1">
        <f t="shared" si="0"/>
        <v>0</v>
      </c>
      <c r="I60" s="1">
        <f>(GETPIVOTDATA("Application ID",$A$55,"Please indicate the faculty related to your application","Humanities")+GETPIVOTDATA("Application ID",$A$55,"Please indicate the faculty related to your application","Social Sciences"))/F60*2</f>
        <v>19.05263157894737</v>
      </c>
    </row>
    <row r="61" spans="1:9" x14ac:dyDescent="0.25">
      <c r="A61" s="40" t="s">
        <v>15</v>
      </c>
      <c r="B61" s="41">
        <v>17</v>
      </c>
      <c r="D61" s="1">
        <f>GETPIVOTDATA("Application ID",$A$55,"Please indicate the faculty related to your application","Law")/20*2</f>
        <v>1.7</v>
      </c>
      <c r="E61" s="1">
        <f>_xlfn.CEILING.MATH(D61,1,0)</f>
        <v>2</v>
      </c>
      <c r="F61" s="1">
        <v>4</v>
      </c>
      <c r="G61" s="1">
        <f t="shared" si="0"/>
        <v>-2</v>
      </c>
      <c r="I61" s="1">
        <f>GETPIVOTDATA("Application ID",$A$55,"Please indicate the faculty related to your application","Law")/F61*2</f>
        <v>8.5</v>
      </c>
    </row>
    <row r="62" spans="1:9" x14ac:dyDescent="0.25">
      <c r="A62" s="40" t="s">
        <v>16</v>
      </c>
      <c r="B62" s="41">
        <v>129</v>
      </c>
      <c r="D62" s="1">
        <f>GETPIVOTDATA("Application ID",$A$55,"Please indicate the faculty related to your application","Natural Sciences")/20*2</f>
        <v>12.9</v>
      </c>
      <c r="E62" s="1">
        <f>_xlfn.CEILING.MATH(D62,1,0)</f>
        <v>13</v>
      </c>
      <c r="F62" s="1">
        <v>17</v>
      </c>
      <c r="G62" s="1">
        <f t="shared" si="0"/>
        <v>-4</v>
      </c>
      <c r="I62" s="1">
        <f>GETPIVOTDATA("Application ID",$A$55,"Please indicate the faculty related to your application","Natural Sciences")/F62*2</f>
        <v>15.176470588235293</v>
      </c>
    </row>
    <row r="63" spans="1:9" x14ac:dyDescent="0.25">
      <c r="A63" s="40" t="s">
        <v>18</v>
      </c>
      <c r="B63" s="41">
        <v>26</v>
      </c>
      <c r="D63" s="1">
        <f>GETPIVOTDATA("Application ID",$A$55,"Please indicate the faculty related to your application","Performing &amp; Creative Arts")/20*2</f>
        <v>2.6</v>
      </c>
      <c r="E63" s="1">
        <v>6</v>
      </c>
      <c r="F63" s="1">
        <v>5</v>
      </c>
      <c r="G63" s="1">
        <f>E63-F63</f>
        <v>1</v>
      </c>
    </row>
    <row r="64" spans="1:9" x14ac:dyDescent="0.25">
      <c r="A64" s="43" t="s">
        <v>19</v>
      </c>
      <c r="B64" s="44">
        <v>46</v>
      </c>
      <c r="D64" s="1">
        <f>GETPIVOTDATA("Application ID",$A$55,"Please indicate the faculty related to your application","Social Sciences")/20*2</f>
        <v>4.5999999999999996</v>
      </c>
      <c r="E64" s="1">
        <v>0</v>
      </c>
      <c r="G64" s="1">
        <f>E64-F64</f>
        <v>0</v>
      </c>
    </row>
    <row r="65" spans="1:7" x14ac:dyDescent="0.25">
      <c r="A65" s="40" t="s">
        <v>4</v>
      </c>
      <c r="B65" s="41">
        <v>671</v>
      </c>
      <c r="E65" s="1">
        <f>SUM(E56:E64)-E64</f>
        <v>74</v>
      </c>
      <c r="F65" s="1">
        <f>SUM(F56:F64)</f>
        <v>81</v>
      </c>
      <c r="G65" s="1">
        <f>E65-F65</f>
        <v>-7</v>
      </c>
    </row>
    <row r="68" spans="1:7" x14ac:dyDescent="0.25">
      <c r="A68" s="39" t="s">
        <v>33</v>
      </c>
      <c r="B68" s="1" t="s">
        <v>6085</v>
      </c>
    </row>
    <row r="70" spans="1:7" x14ac:dyDescent="0.25">
      <c r="A70" s="39" t="s">
        <v>0</v>
      </c>
      <c r="B70" s="1" t="s">
        <v>1</v>
      </c>
    </row>
    <row r="71" spans="1:7" x14ac:dyDescent="0.25">
      <c r="A71" s="40" t="s">
        <v>20</v>
      </c>
      <c r="B71" s="41">
        <v>430</v>
      </c>
      <c r="D71" s="45"/>
    </row>
    <row r="72" spans="1:7" x14ac:dyDescent="0.25">
      <c r="A72" s="40" t="s">
        <v>21</v>
      </c>
      <c r="B72" s="41">
        <v>43</v>
      </c>
    </row>
    <row r="73" spans="1:7" x14ac:dyDescent="0.25">
      <c r="A73" s="40" t="s">
        <v>22</v>
      </c>
      <c r="B73" s="41">
        <v>28</v>
      </c>
    </row>
    <row r="74" spans="1:7" x14ac:dyDescent="0.25">
      <c r="A74" s="40" t="s">
        <v>23</v>
      </c>
      <c r="B74" s="41">
        <v>4</v>
      </c>
    </row>
    <row r="75" spans="1:7" x14ac:dyDescent="0.25">
      <c r="A75" s="40" t="s">
        <v>24</v>
      </c>
      <c r="B75" s="41">
        <v>161</v>
      </c>
      <c r="D75" s="45"/>
    </row>
    <row r="76" spans="1:7" x14ac:dyDescent="0.25">
      <c r="A76" s="40" t="s">
        <v>17</v>
      </c>
      <c r="B76" s="41">
        <v>4</v>
      </c>
    </row>
    <row r="77" spans="1:7" x14ac:dyDescent="0.25">
      <c r="A77" s="40" t="s">
        <v>1974</v>
      </c>
      <c r="B77" s="41">
        <v>1</v>
      </c>
    </row>
    <row r="78" spans="1:7" x14ac:dyDescent="0.25">
      <c r="A78" s="40" t="s">
        <v>4</v>
      </c>
      <c r="B78" s="41">
        <v>671</v>
      </c>
    </row>
    <row r="81" spans="1:4" x14ac:dyDescent="0.25">
      <c r="A81" s="39" t="s">
        <v>33</v>
      </c>
      <c r="B81" s="1" t="s">
        <v>6085</v>
      </c>
    </row>
    <row r="83" spans="1:4" x14ac:dyDescent="0.25">
      <c r="A83" s="39" t="s">
        <v>0</v>
      </c>
      <c r="B83" s="1" t="s">
        <v>1</v>
      </c>
    </row>
    <row r="84" spans="1:4" x14ac:dyDescent="0.25">
      <c r="A84" s="40" t="s">
        <v>25</v>
      </c>
      <c r="B84" s="41">
        <v>397</v>
      </c>
      <c r="D84" s="45">
        <f>GETPIVOTDATA("Application ID",$A$83,"Gender","Female")/GETPIVOTDATA("Application ID",$A$83)</f>
        <v>0.59165424739195227</v>
      </c>
    </row>
    <row r="85" spans="1:4" x14ac:dyDescent="0.25">
      <c r="A85" s="40" t="s">
        <v>26</v>
      </c>
      <c r="B85" s="41">
        <v>269</v>
      </c>
    </row>
    <row r="86" spans="1:4" x14ac:dyDescent="0.25">
      <c r="A86" s="40" t="s">
        <v>27</v>
      </c>
      <c r="B86" s="41">
        <v>5</v>
      </c>
    </row>
    <row r="87" spans="1:4" x14ac:dyDescent="0.25">
      <c r="A87" s="40" t="s">
        <v>4</v>
      </c>
      <c r="B87" s="41">
        <v>671</v>
      </c>
    </row>
    <row r="90" spans="1:4" x14ac:dyDescent="0.25">
      <c r="A90" s="39" t="s">
        <v>0</v>
      </c>
      <c r="B90" s="1" t="s">
        <v>1</v>
      </c>
    </row>
    <row r="91" spans="1:4" x14ac:dyDescent="0.25">
      <c r="A91" s="40" t="s">
        <v>6085</v>
      </c>
      <c r="B91" s="41">
        <v>671</v>
      </c>
    </row>
    <row r="92" spans="1:4" x14ac:dyDescent="0.25">
      <c r="A92" s="42" t="s">
        <v>1974</v>
      </c>
      <c r="B92" s="41">
        <v>1</v>
      </c>
    </row>
    <row r="93" spans="1:4" x14ac:dyDescent="0.25">
      <c r="A93" s="42" t="s">
        <v>20</v>
      </c>
      <c r="B93" s="41">
        <v>430</v>
      </c>
    </row>
    <row r="94" spans="1:4" x14ac:dyDescent="0.25">
      <c r="A94" s="42" t="s">
        <v>21</v>
      </c>
      <c r="B94" s="41">
        <v>43</v>
      </c>
    </row>
    <row r="95" spans="1:4" x14ac:dyDescent="0.25">
      <c r="A95" s="42" t="s">
        <v>22</v>
      </c>
      <c r="B95" s="41">
        <v>28</v>
      </c>
    </row>
    <row r="96" spans="1:4" x14ac:dyDescent="0.25">
      <c r="A96" s="42" t="s">
        <v>17</v>
      </c>
      <c r="B96" s="41">
        <v>4</v>
      </c>
    </row>
    <row r="97" spans="1:2" x14ac:dyDescent="0.25">
      <c r="A97" s="42" t="s">
        <v>23</v>
      </c>
      <c r="B97" s="41">
        <v>4</v>
      </c>
    </row>
    <row r="98" spans="1:2" x14ac:dyDescent="0.25">
      <c r="A98" s="42" t="s">
        <v>24</v>
      </c>
      <c r="B98" s="41">
        <v>161</v>
      </c>
    </row>
    <row r="99" spans="1:2" x14ac:dyDescent="0.25">
      <c r="A99" s="40" t="s">
        <v>4</v>
      </c>
      <c r="B99" s="41">
        <v>671</v>
      </c>
    </row>
    <row r="100" spans="1:2" x14ac:dyDescent="0.25">
      <c r="A100"/>
      <c r="B100"/>
    </row>
    <row r="101" spans="1:2" x14ac:dyDescent="0.25">
      <c r="A101"/>
      <c r="B101"/>
    </row>
    <row r="102" spans="1:2" x14ac:dyDescent="0.25">
      <c r="A102"/>
      <c r="B102"/>
    </row>
    <row r="103" spans="1:2" x14ac:dyDescent="0.25">
      <c r="A103"/>
      <c r="B103"/>
    </row>
    <row r="104" spans="1:2" x14ac:dyDescent="0.25">
      <c r="A104"/>
      <c r="B104"/>
    </row>
    <row r="105" spans="1:2" x14ac:dyDescent="0.25">
      <c r="A105"/>
      <c r="B105"/>
    </row>
    <row r="106" spans="1:2" x14ac:dyDescent="0.25">
      <c r="A106"/>
      <c r="B106"/>
    </row>
    <row r="107" spans="1:2" x14ac:dyDescent="0.25">
      <c r="A107"/>
      <c r="B107"/>
    </row>
    <row r="108" spans="1:2" x14ac:dyDescent="0.25">
      <c r="A108"/>
      <c r="B108"/>
    </row>
    <row r="109" spans="1:2" x14ac:dyDescent="0.25">
      <c r="A109"/>
      <c r="B109"/>
    </row>
    <row r="110" spans="1:2" x14ac:dyDescent="0.25">
      <c r="A110"/>
      <c r="B110"/>
    </row>
    <row r="111" spans="1:2" x14ac:dyDescent="0.25">
      <c r="A111"/>
      <c r="B111"/>
    </row>
    <row r="112" spans="1:2" x14ac:dyDescent="0.25">
      <c r="A112"/>
      <c r="B112"/>
    </row>
    <row r="113" spans="1:2" x14ac:dyDescent="0.25">
      <c r="A113"/>
      <c r="B113"/>
    </row>
    <row r="114" spans="1:2" x14ac:dyDescent="0.25">
      <c r="A114"/>
      <c r="B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63"/>
  <sheetViews>
    <sheetView tabSelected="1" topLeftCell="B1" workbookViewId="0">
      <pane xSplit="5" ySplit="2" topLeftCell="G18" activePane="bottomRight" state="frozen"/>
      <selection activeCell="B1" sqref="B1"/>
      <selection pane="topRight" activeCell="G1" sqref="G1"/>
      <selection pane="bottomLeft" activeCell="B3" sqref="B3"/>
      <selection pane="bottomRight" activeCell="H19" sqref="H19"/>
    </sheetView>
  </sheetViews>
  <sheetFormatPr defaultColWidth="9.109375" defaultRowHeight="13.2" outlineLevelCol="1" x14ac:dyDescent="0.25"/>
  <cols>
    <col min="1" max="1" width="16.88671875" style="1" hidden="1" customWidth="1" outlineLevel="1"/>
    <col min="2" max="2" width="15.33203125" style="1" customWidth="1" collapsed="1"/>
    <col min="3" max="3" width="26.6640625" style="1" hidden="1" customWidth="1" outlineLevel="1"/>
    <col min="4" max="4" width="27.6640625" style="1" bestFit="1" customWidth="1" collapsed="1"/>
    <col min="5" max="5" width="40.21875" style="1" hidden="1" customWidth="1" outlineLevel="1"/>
    <col min="6" max="6" width="19.109375" style="1" customWidth="1" collapsed="1"/>
    <col min="7" max="7" width="13.109375" style="1" customWidth="1"/>
    <col min="8" max="8" width="14.88671875" style="1" customWidth="1"/>
    <col min="9" max="9" width="10.5546875" style="1" customWidth="1"/>
    <col min="10" max="10" width="12.33203125" style="1" customWidth="1"/>
    <col min="11" max="12" width="50.109375" style="1" customWidth="1"/>
    <col min="13" max="13" width="11.5546875" style="1" customWidth="1" outlineLevel="1"/>
    <col min="14" max="14" width="59.44140625" style="1" customWidth="1" outlineLevel="1"/>
    <col min="15" max="15" width="23" style="1" customWidth="1" outlineLevel="1"/>
    <col min="16" max="17" width="56.5546875" style="1" customWidth="1"/>
    <col min="18" max="18" width="92.109375" style="1" customWidth="1"/>
    <col min="19" max="19" width="12.109375" style="1" bestFit="1" customWidth="1"/>
    <col min="20" max="20" width="10.44140625" style="1" customWidth="1"/>
    <col min="21" max="23" width="16.44140625" style="1" bestFit="1" customWidth="1"/>
    <col min="24" max="16384" width="9.109375" style="1"/>
  </cols>
  <sheetData>
    <row r="1" spans="1:23" x14ac:dyDescent="0.25">
      <c r="B1" s="37" t="s">
        <v>6233</v>
      </c>
      <c r="C1" s="37"/>
      <c r="D1" s="37"/>
      <c r="E1" s="37"/>
      <c r="F1" s="37"/>
      <c r="G1" s="37"/>
      <c r="H1" s="37"/>
      <c r="I1" s="37"/>
      <c r="J1" s="37"/>
      <c r="K1" s="37"/>
      <c r="L1" s="46"/>
      <c r="M1" s="38" t="s">
        <v>6234</v>
      </c>
      <c r="N1" s="38"/>
      <c r="O1" s="38"/>
      <c r="P1" s="37" t="s">
        <v>6236</v>
      </c>
      <c r="Q1" s="37"/>
      <c r="R1" s="37"/>
      <c r="S1" s="37"/>
      <c r="T1" s="37"/>
      <c r="U1" s="37"/>
      <c r="V1" s="37"/>
      <c r="W1" s="37"/>
    </row>
    <row r="2" spans="1:23" x14ac:dyDescent="0.25">
      <c r="A2" s="3" t="s">
        <v>28</v>
      </c>
      <c r="B2" s="3" t="s">
        <v>29</v>
      </c>
      <c r="C2" s="3" t="s">
        <v>30</v>
      </c>
      <c r="D2" s="3" t="s">
        <v>31</v>
      </c>
      <c r="E2" s="3" t="s">
        <v>32</v>
      </c>
      <c r="F2" s="21" t="s">
        <v>33</v>
      </c>
      <c r="G2" s="3" t="s">
        <v>34</v>
      </c>
      <c r="H2" s="3" t="s">
        <v>35</v>
      </c>
      <c r="I2" s="3" t="s">
        <v>36</v>
      </c>
      <c r="J2" s="3" t="s">
        <v>37</v>
      </c>
      <c r="K2" s="3" t="s">
        <v>40</v>
      </c>
      <c r="L2" s="47" t="s">
        <v>6239</v>
      </c>
      <c r="M2" s="3" t="s">
        <v>38</v>
      </c>
      <c r="N2" s="3" t="s">
        <v>39</v>
      </c>
      <c r="O2" s="3" t="s">
        <v>6031</v>
      </c>
      <c r="P2" s="3" t="s">
        <v>41</v>
      </c>
      <c r="Q2" s="3" t="s">
        <v>5263</v>
      </c>
      <c r="R2" s="3" t="s">
        <v>42</v>
      </c>
      <c r="S2" s="3" t="s">
        <v>43</v>
      </c>
      <c r="T2" s="3" t="s">
        <v>44</v>
      </c>
      <c r="U2" s="3" t="s">
        <v>45</v>
      </c>
      <c r="V2" s="3" t="s">
        <v>46</v>
      </c>
      <c r="W2" s="3" t="s">
        <v>47</v>
      </c>
    </row>
    <row r="3" spans="1:23" x14ac:dyDescent="0.25">
      <c r="A3" s="1" t="s">
        <v>48</v>
      </c>
      <c r="B3" s="1" t="s">
        <v>49</v>
      </c>
      <c r="C3" s="1" t="s">
        <v>50</v>
      </c>
      <c r="D3" s="1" t="s">
        <v>51</v>
      </c>
      <c r="E3" s="1" t="s">
        <v>52</v>
      </c>
      <c r="F3" s="22" t="s">
        <v>6085</v>
      </c>
      <c r="G3" s="1" t="s">
        <v>6</v>
      </c>
      <c r="H3" s="1" t="s">
        <v>20</v>
      </c>
      <c r="I3" s="1" t="s">
        <v>26</v>
      </c>
      <c r="J3" s="1" t="s">
        <v>9</v>
      </c>
      <c r="K3" s="1" t="s">
        <v>10</v>
      </c>
      <c r="L3" s="1" t="s">
        <v>16</v>
      </c>
      <c r="M3" s="1" t="s">
        <v>53</v>
      </c>
      <c r="N3" s="11" t="s">
        <v>188</v>
      </c>
      <c r="O3" s="1" t="s">
        <v>6235</v>
      </c>
      <c r="P3" s="1" t="s">
        <v>54</v>
      </c>
      <c r="Q3" s="20" t="s">
        <v>5264</v>
      </c>
      <c r="R3" s="1" t="s">
        <v>55</v>
      </c>
      <c r="S3" s="8">
        <v>45689</v>
      </c>
      <c r="T3" s="1">
        <v>2</v>
      </c>
      <c r="U3" s="1" t="s">
        <v>56</v>
      </c>
      <c r="V3" s="1" t="s">
        <v>56</v>
      </c>
      <c r="W3" s="1" t="s">
        <v>1388</v>
      </c>
    </row>
    <row r="4" spans="1:23" x14ac:dyDescent="0.25">
      <c r="A4" s="1" t="s">
        <v>48</v>
      </c>
      <c r="B4" s="1" t="s">
        <v>57</v>
      </c>
      <c r="C4" s="1" t="s">
        <v>50</v>
      </c>
      <c r="D4" s="1" t="s">
        <v>58</v>
      </c>
      <c r="E4" s="1" t="s">
        <v>59</v>
      </c>
      <c r="F4" s="22" t="s">
        <v>5259</v>
      </c>
      <c r="G4" s="1" t="s">
        <v>6</v>
      </c>
      <c r="H4" s="1" t="s">
        <v>20</v>
      </c>
      <c r="I4" s="1" t="s">
        <v>25</v>
      </c>
      <c r="J4" s="1" t="s">
        <v>9</v>
      </c>
      <c r="K4" s="1" t="s">
        <v>12</v>
      </c>
      <c r="L4" s="1" t="s">
        <v>17</v>
      </c>
      <c r="M4" s="1" t="s">
        <v>78</v>
      </c>
      <c r="N4" s="14" t="s">
        <v>5226</v>
      </c>
      <c r="O4" s="1" t="s">
        <v>6037</v>
      </c>
      <c r="P4" s="1" t="s">
        <v>60</v>
      </c>
      <c r="Q4" s="1" t="s">
        <v>5265</v>
      </c>
      <c r="R4" s="1" t="s">
        <v>61</v>
      </c>
      <c r="S4" s="8">
        <v>45674</v>
      </c>
      <c r="T4" s="1">
        <v>2</v>
      </c>
      <c r="U4" s="1" t="s">
        <v>62</v>
      </c>
      <c r="V4" s="1" t="s">
        <v>62</v>
      </c>
      <c r="W4" s="1" t="s">
        <v>1388</v>
      </c>
    </row>
    <row r="5" spans="1:23" x14ac:dyDescent="0.25">
      <c r="A5" s="1" t="s">
        <v>48</v>
      </c>
      <c r="B5" s="1" t="s">
        <v>63</v>
      </c>
      <c r="C5" s="1" t="s">
        <v>50</v>
      </c>
      <c r="D5" s="1" t="s">
        <v>64</v>
      </c>
      <c r="E5" s="1" t="s">
        <v>65</v>
      </c>
      <c r="F5" s="22" t="s">
        <v>6085</v>
      </c>
      <c r="G5" s="1" t="s">
        <v>6</v>
      </c>
      <c r="H5" s="1" t="s">
        <v>20</v>
      </c>
      <c r="I5" s="1" t="s">
        <v>26</v>
      </c>
      <c r="J5" s="1" t="s">
        <v>9</v>
      </c>
      <c r="K5" s="1" t="s">
        <v>14</v>
      </c>
      <c r="L5" s="1" t="s">
        <v>14</v>
      </c>
      <c r="M5" s="1" t="s">
        <v>53</v>
      </c>
      <c r="N5" s="11" t="s">
        <v>188</v>
      </c>
      <c r="O5" s="1" t="s">
        <v>6037</v>
      </c>
      <c r="P5" s="1" t="s">
        <v>66</v>
      </c>
      <c r="Q5" s="1" t="s">
        <v>5266</v>
      </c>
      <c r="R5" s="1" t="s">
        <v>67</v>
      </c>
      <c r="S5" s="8">
        <v>45698</v>
      </c>
      <c r="T5" s="1">
        <v>2</v>
      </c>
      <c r="U5" s="1" t="s">
        <v>68</v>
      </c>
      <c r="V5" s="1" t="s">
        <v>68</v>
      </c>
      <c r="W5" s="1" t="s">
        <v>1388</v>
      </c>
    </row>
    <row r="6" spans="1:23" x14ac:dyDescent="0.25">
      <c r="A6" s="1" t="s">
        <v>48</v>
      </c>
      <c r="B6" s="1" t="s">
        <v>69</v>
      </c>
      <c r="C6" s="1" t="s">
        <v>50</v>
      </c>
      <c r="D6" s="1" t="s">
        <v>70</v>
      </c>
      <c r="E6" s="1" t="s">
        <v>71</v>
      </c>
      <c r="F6" s="22" t="s">
        <v>5259</v>
      </c>
      <c r="G6" s="1" t="s">
        <v>6</v>
      </c>
      <c r="H6" s="1" t="s">
        <v>20</v>
      </c>
      <c r="I6" s="1" t="s">
        <v>25</v>
      </c>
      <c r="J6" s="1" t="s">
        <v>8</v>
      </c>
      <c r="K6" s="1" t="s">
        <v>18</v>
      </c>
      <c r="L6" s="1" t="s">
        <v>18</v>
      </c>
      <c r="M6" s="1" t="s">
        <v>78</v>
      </c>
      <c r="N6" s="14" t="s">
        <v>5226</v>
      </c>
      <c r="O6" s="1" t="s">
        <v>6037</v>
      </c>
      <c r="P6" s="1" t="s">
        <v>72</v>
      </c>
      <c r="Q6" s="1" t="s">
        <v>5267</v>
      </c>
      <c r="R6" s="10" t="s">
        <v>73</v>
      </c>
      <c r="S6" s="9">
        <v>45778</v>
      </c>
      <c r="T6" s="1">
        <v>3</v>
      </c>
      <c r="U6" s="1" t="s">
        <v>74</v>
      </c>
      <c r="V6" s="1" t="s">
        <v>74</v>
      </c>
      <c r="W6" s="1" t="s">
        <v>74</v>
      </c>
    </row>
    <row r="7" spans="1:23" x14ac:dyDescent="0.25">
      <c r="A7" s="1" t="s">
        <v>48</v>
      </c>
      <c r="B7" s="1" t="s">
        <v>75</v>
      </c>
      <c r="C7" s="1" t="s">
        <v>50</v>
      </c>
      <c r="D7" s="1" t="s">
        <v>76</v>
      </c>
      <c r="E7" s="1" t="s">
        <v>77</v>
      </c>
      <c r="F7" s="22" t="s">
        <v>5259</v>
      </c>
      <c r="G7" s="1" t="s">
        <v>6</v>
      </c>
      <c r="H7" s="1" t="s">
        <v>20</v>
      </c>
      <c r="I7" s="1" t="s">
        <v>25</v>
      </c>
      <c r="J7" s="1" t="s">
        <v>9</v>
      </c>
      <c r="K7" s="1" t="s">
        <v>14</v>
      </c>
      <c r="L7" s="1" t="s">
        <v>14</v>
      </c>
      <c r="M7" s="1" t="s">
        <v>78</v>
      </c>
      <c r="N7" s="14" t="s">
        <v>5229</v>
      </c>
      <c r="O7" s="1" t="s">
        <v>6037</v>
      </c>
      <c r="P7" s="1" t="s">
        <v>79</v>
      </c>
      <c r="Q7" s="1" t="s">
        <v>5268</v>
      </c>
      <c r="R7" s="1" t="s">
        <v>80</v>
      </c>
      <c r="S7" s="8">
        <v>46042</v>
      </c>
      <c r="T7" s="1">
        <v>2</v>
      </c>
      <c r="U7" s="1" t="s">
        <v>81</v>
      </c>
      <c r="V7" s="1" t="s">
        <v>81</v>
      </c>
      <c r="W7" s="1" t="s">
        <v>1388</v>
      </c>
    </row>
    <row r="8" spans="1:23" x14ac:dyDescent="0.25">
      <c r="A8" s="1" t="s">
        <v>48</v>
      </c>
      <c r="B8" s="1" t="s">
        <v>82</v>
      </c>
      <c r="C8" s="1" t="s">
        <v>50</v>
      </c>
      <c r="D8" s="1" t="s">
        <v>83</v>
      </c>
      <c r="E8" s="1" t="s">
        <v>84</v>
      </c>
      <c r="F8" s="22" t="s">
        <v>5259</v>
      </c>
      <c r="G8" s="1" t="s">
        <v>6</v>
      </c>
      <c r="H8" s="1" t="s">
        <v>20</v>
      </c>
      <c r="I8" s="1" t="s">
        <v>25</v>
      </c>
      <c r="J8" s="1" t="s">
        <v>9</v>
      </c>
      <c r="K8" s="1" t="s">
        <v>14</v>
      </c>
      <c r="L8" s="1" t="s">
        <v>14</v>
      </c>
      <c r="M8" s="1" t="s">
        <v>78</v>
      </c>
      <c r="N8" s="14" t="s">
        <v>5228</v>
      </c>
      <c r="O8" s="1" t="s">
        <v>6037</v>
      </c>
      <c r="P8" s="1" t="s">
        <v>85</v>
      </c>
      <c r="Q8" s="1" t="s">
        <v>5269</v>
      </c>
      <c r="R8" s="1" t="s">
        <v>86</v>
      </c>
      <c r="S8" s="8">
        <v>45691</v>
      </c>
      <c r="T8" s="1">
        <v>2</v>
      </c>
      <c r="U8" s="1" t="s">
        <v>87</v>
      </c>
      <c r="V8" s="1" t="s">
        <v>87</v>
      </c>
      <c r="W8" s="1" t="s">
        <v>1388</v>
      </c>
    </row>
    <row r="9" spans="1:23" x14ac:dyDescent="0.25">
      <c r="A9" s="1" t="s">
        <v>48</v>
      </c>
      <c r="B9" s="1" t="s">
        <v>88</v>
      </c>
      <c r="C9" s="1" t="s">
        <v>50</v>
      </c>
      <c r="D9" s="1" t="s">
        <v>89</v>
      </c>
      <c r="E9" s="1" t="s">
        <v>90</v>
      </c>
      <c r="F9" s="22" t="s">
        <v>6085</v>
      </c>
      <c r="G9" s="1" t="s">
        <v>6</v>
      </c>
      <c r="H9" s="1" t="s">
        <v>20</v>
      </c>
      <c r="I9" s="1" t="s">
        <v>25</v>
      </c>
      <c r="J9" s="1" t="s">
        <v>9</v>
      </c>
      <c r="K9" s="1" t="s">
        <v>11</v>
      </c>
      <c r="L9" s="1" t="s">
        <v>11</v>
      </c>
      <c r="M9" s="1" t="s">
        <v>53</v>
      </c>
      <c r="N9" s="11" t="s">
        <v>188</v>
      </c>
      <c r="O9" s="1" t="s">
        <v>6037</v>
      </c>
      <c r="P9" s="1" t="s">
        <v>66</v>
      </c>
      <c r="Q9" s="1" t="s">
        <v>5270</v>
      </c>
      <c r="R9" s="1" t="s">
        <v>91</v>
      </c>
      <c r="S9" s="8">
        <v>45706</v>
      </c>
      <c r="T9" s="1">
        <v>2</v>
      </c>
      <c r="U9" s="1" t="s">
        <v>92</v>
      </c>
      <c r="V9" s="1" t="s">
        <v>92</v>
      </c>
      <c r="W9" s="1" t="s">
        <v>1388</v>
      </c>
    </row>
    <row r="10" spans="1:23" x14ac:dyDescent="0.25">
      <c r="A10" s="1" t="s">
        <v>48</v>
      </c>
      <c r="B10" s="1" t="s">
        <v>93</v>
      </c>
      <c r="C10" s="1" t="s">
        <v>50</v>
      </c>
      <c r="D10" s="1" t="s">
        <v>94</v>
      </c>
      <c r="E10" s="1" t="s">
        <v>95</v>
      </c>
      <c r="F10" s="22" t="s">
        <v>6085</v>
      </c>
      <c r="G10" s="1" t="s">
        <v>6</v>
      </c>
      <c r="H10" s="1" t="s">
        <v>24</v>
      </c>
      <c r="I10" s="1" t="s">
        <v>25</v>
      </c>
      <c r="J10" s="1" t="s">
        <v>9</v>
      </c>
      <c r="K10" s="1" t="s">
        <v>16</v>
      </c>
      <c r="L10" s="1" t="s">
        <v>16</v>
      </c>
      <c r="M10" s="1" t="s">
        <v>53</v>
      </c>
      <c r="N10" s="11" t="s">
        <v>188</v>
      </c>
      <c r="O10" s="1" t="s">
        <v>6037</v>
      </c>
      <c r="P10" s="1" t="s">
        <v>60</v>
      </c>
      <c r="Q10" s="1" t="s">
        <v>5271</v>
      </c>
      <c r="R10" s="1" t="s">
        <v>96</v>
      </c>
      <c r="S10" s="8">
        <v>45670</v>
      </c>
      <c r="T10" s="1">
        <v>1</v>
      </c>
      <c r="U10" s="1" t="s">
        <v>97</v>
      </c>
      <c r="V10" s="1" t="s">
        <v>1388</v>
      </c>
      <c r="W10" s="1" t="s">
        <v>1388</v>
      </c>
    </row>
    <row r="11" spans="1:23" x14ac:dyDescent="0.25">
      <c r="A11" s="1" t="s">
        <v>48</v>
      </c>
      <c r="B11" s="1" t="s">
        <v>98</v>
      </c>
      <c r="C11" s="1" t="s">
        <v>50</v>
      </c>
      <c r="D11" s="1" t="s">
        <v>99</v>
      </c>
      <c r="E11" s="1" t="s">
        <v>100</v>
      </c>
      <c r="F11" s="22" t="s">
        <v>6085</v>
      </c>
      <c r="G11" s="1" t="s">
        <v>6</v>
      </c>
      <c r="H11" s="1" t="s">
        <v>20</v>
      </c>
      <c r="I11" s="1" t="s">
        <v>25</v>
      </c>
      <c r="J11" s="1" t="s">
        <v>9</v>
      </c>
      <c r="K11" s="11" t="s">
        <v>14</v>
      </c>
      <c r="L11" s="11" t="s">
        <v>14</v>
      </c>
      <c r="M11" s="1" t="s">
        <v>78</v>
      </c>
      <c r="N11" s="1" t="s">
        <v>188</v>
      </c>
      <c r="O11" s="1" t="s">
        <v>6037</v>
      </c>
      <c r="P11" s="1" t="s">
        <v>101</v>
      </c>
      <c r="Q11" s="1" t="s">
        <v>5272</v>
      </c>
      <c r="R11" s="11" t="s">
        <v>102</v>
      </c>
      <c r="S11" s="8">
        <v>45700</v>
      </c>
      <c r="T11" s="1">
        <v>2</v>
      </c>
      <c r="U11" s="1" t="s">
        <v>103</v>
      </c>
      <c r="V11" s="1" t="s">
        <v>103</v>
      </c>
      <c r="W11" s="1" t="s">
        <v>1388</v>
      </c>
    </row>
    <row r="12" spans="1:23" x14ac:dyDescent="0.25">
      <c r="A12" s="1" t="s">
        <v>48</v>
      </c>
      <c r="B12" s="1" t="s">
        <v>104</v>
      </c>
      <c r="C12" s="1" t="s">
        <v>50</v>
      </c>
      <c r="D12" s="1" t="s">
        <v>105</v>
      </c>
      <c r="E12" s="1" t="s">
        <v>106</v>
      </c>
      <c r="F12" s="22" t="s">
        <v>5237</v>
      </c>
      <c r="G12" s="1" t="s">
        <v>6</v>
      </c>
      <c r="H12" s="1" t="s">
        <v>20</v>
      </c>
      <c r="I12" s="1" t="s">
        <v>26</v>
      </c>
      <c r="J12" s="1" t="s">
        <v>9</v>
      </c>
      <c r="K12" s="1" t="s">
        <v>16</v>
      </c>
      <c r="L12" s="1" t="s">
        <v>16</v>
      </c>
      <c r="M12" s="1" t="s">
        <v>78</v>
      </c>
      <c r="N12" s="1" t="s">
        <v>5230</v>
      </c>
      <c r="O12" s="1" t="s">
        <v>6235</v>
      </c>
      <c r="P12" s="1" t="s">
        <v>107</v>
      </c>
      <c r="Q12" s="1" t="s">
        <v>5273</v>
      </c>
      <c r="R12" s="1" t="s">
        <v>108</v>
      </c>
      <c r="S12" s="8">
        <v>45698</v>
      </c>
      <c r="T12" s="1">
        <v>2</v>
      </c>
      <c r="U12" s="1" t="s">
        <v>109</v>
      </c>
      <c r="V12" s="1" t="s">
        <v>110</v>
      </c>
      <c r="W12" s="1" t="s">
        <v>1388</v>
      </c>
    </row>
    <row r="13" spans="1:23" x14ac:dyDescent="0.25">
      <c r="A13" s="1" t="s">
        <v>48</v>
      </c>
      <c r="B13" s="1" t="s">
        <v>111</v>
      </c>
      <c r="C13" s="1" t="s">
        <v>50</v>
      </c>
      <c r="D13" s="1" t="s">
        <v>112</v>
      </c>
      <c r="E13" s="1" t="s">
        <v>113</v>
      </c>
      <c r="F13" s="22" t="s">
        <v>5259</v>
      </c>
      <c r="G13" s="1" t="s">
        <v>6</v>
      </c>
      <c r="H13" s="1" t="s">
        <v>20</v>
      </c>
      <c r="I13" s="1" t="s">
        <v>25</v>
      </c>
      <c r="J13" s="1" t="s">
        <v>9</v>
      </c>
      <c r="K13" s="1" t="s">
        <v>19</v>
      </c>
      <c r="L13" s="1" t="s">
        <v>19</v>
      </c>
      <c r="M13" s="1" t="s">
        <v>78</v>
      </c>
      <c r="N13" s="14" t="s">
        <v>5228</v>
      </c>
      <c r="O13" s="1" t="s">
        <v>6037</v>
      </c>
      <c r="P13" s="1" t="s">
        <v>60</v>
      </c>
      <c r="Q13" s="1" t="s">
        <v>5274</v>
      </c>
      <c r="R13" s="1" t="s">
        <v>114</v>
      </c>
      <c r="S13" s="8">
        <v>45679</v>
      </c>
      <c r="T13" s="1">
        <v>2</v>
      </c>
      <c r="U13" s="1" t="s">
        <v>115</v>
      </c>
      <c r="V13" s="1" t="s">
        <v>116</v>
      </c>
      <c r="W13" s="1" t="s">
        <v>1388</v>
      </c>
    </row>
    <row r="14" spans="1:23" x14ac:dyDescent="0.25">
      <c r="A14" s="1" t="s">
        <v>48</v>
      </c>
      <c r="B14" s="1" t="s">
        <v>117</v>
      </c>
      <c r="C14" s="1" t="s">
        <v>50</v>
      </c>
      <c r="D14" s="1" t="s">
        <v>118</v>
      </c>
      <c r="E14" s="1" t="s">
        <v>119</v>
      </c>
      <c r="F14" s="22" t="s">
        <v>5259</v>
      </c>
      <c r="G14" s="1" t="s">
        <v>6</v>
      </c>
      <c r="H14" s="1" t="s">
        <v>20</v>
      </c>
      <c r="I14" s="1" t="s">
        <v>25</v>
      </c>
      <c r="J14" s="1" t="s">
        <v>9</v>
      </c>
      <c r="K14" s="1" t="s">
        <v>15</v>
      </c>
      <c r="L14" s="1" t="s">
        <v>15</v>
      </c>
      <c r="M14" s="1" t="s">
        <v>53</v>
      </c>
      <c r="N14" s="1" t="s">
        <v>6027</v>
      </c>
      <c r="O14" s="1" t="s">
        <v>6037</v>
      </c>
      <c r="P14" s="1" t="s">
        <v>120</v>
      </c>
      <c r="Q14" s="1" t="s">
        <v>5275</v>
      </c>
      <c r="R14" s="1" t="s">
        <v>121</v>
      </c>
      <c r="S14" s="8">
        <v>45698</v>
      </c>
      <c r="T14" s="1">
        <v>2</v>
      </c>
      <c r="U14" s="1" t="s">
        <v>122</v>
      </c>
      <c r="V14" s="1" t="s">
        <v>122</v>
      </c>
      <c r="W14" s="1" t="s">
        <v>1388</v>
      </c>
    </row>
    <row r="15" spans="1:23" x14ac:dyDescent="0.25">
      <c r="A15" s="1" t="s">
        <v>48</v>
      </c>
      <c r="B15" s="1" t="s">
        <v>123</v>
      </c>
      <c r="C15" s="1" t="s">
        <v>50</v>
      </c>
      <c r="D15" s="1" t="s">
        <v>124</v>
      </c>
      <c r="E15" s="1" t="s">
        <v>125</v>
      </c>
      <c r="F15" s="22" t="s">
        <v>6085</v>
      </c>
      <c r="G15" s="1" t="s">
        <v>6</v>
      </c>
      <c r="H15" s="1" t="s">
        <v>20</v>
      </c>
      <c r="I15" s="1" t="s">
        <v>26</v>
      </c>
      <c r="J15" s="1" t="s">
        <v>9</v>
      </c>
      <c r="K15" s="1" t="s">
        <v>13</v>
      </c>
      <c r="L15" s="1" t="s">
        <v>13</v>
      </c>
      <c r="M15" s="1" t="s">
        <v>53</v>
      </c>
      <c r="N15" s="11" t="s">
        <v>188</v>
      </c>
      <c r="O15" s="1" t="s">
        <v>6037</v>
      </c>
      <c r="P15" s="1" t="s">
        <v>126</v>
      </c>
      <c r="Q15" s="1" t="s">
        <v>5276</v>
      </c>
      <c r="R15" s="1" t="s">
        <v>127</v>
      </c>
      <c r="S15" s="8">
        <v>45690</v>
      </c>
      <c r="T15" s="1">
        <v>2</v>
      </c>
      <c r="U15" s="1" t="s">
        <v>128</v>
      </c>
      <c r="V15" s="1" t="s">
        <v>129</v>
      </c>
      <c r="W15" s="1" t="s">
        <v>1388</v>
      </c>
    </row>
    <row r="16" spans="1:23" x14ac:dyDescent="0.25">
      <c r="A16" s="1" t="s">
        <v>48</v>
      </c>
      <c r="B16" s="1" t="s">
        <v>130</v>
      </c>
      <c r="C16" s="1" t="s">
        <v>50</v>
      </c>
      <c r="D16" s="1" t="s">
        <v>131</v>
      </c>
      <c r="E16" s="1" t="s">
        <v>132</v>
      </c>
      <c r="F16" s="22" t="s">
        <v>5259</v>
      </c>
      <c r="G16" s="1" t="s">
        <v>6</v>
      </c>
      <c r="H16" s="1" t="s">
        <v>20</v>
      </c>
      <c r="I16" s="1" t="s">
        <v>25</v>
      </c>
      <c r="J16" s="1" t="s">
        <v>9</v>
      </c>
      <c r="K16" s="1" t="s">
        <v>12</v>
      </c>
      <c r="L16" s="1" t="s">
        <v>12</v>
      </c>
      <c r="M16" s="1" t="s">
        <v>78</v>
      </c>
      <c r="N16" s="14" t="s">
        <v>5226</v>
      </c>
      <c r="O16" s="1" t="s">
        <v>6037</v>
      </c>
      <c r="P16" s="1" t="s">
        <v>66</v>
      </c>
      <c r="Q16" s="1" t="s">
        <v>5277</v>
      </c>
      <c r="R16" s="1" t="s">
        <v>133</v>
      </c>
      <c r="S16" s="8">
        <v>45691</v>
      </c>
      <c r="T16" s="1">
        <v>2</v>
      </c>
      <c r="U16" s="1" t="s">
        <v>134</v>
      </c>
      <c r="V16" s="1" t="s">
        <v>135</v>
      </c>
      <c r="W16" s="1" t="s">
        <v>1388</v>
      </c>
    </row>
    <row r="17" spans="1:23" x14ac:dyDescent="0.25">
      <c r="A17" s="1" t="s">
        <v>48</v>
      </c>
      <c r="B17" s="1" t="s">
        <v>136</v>
      </c>
      <c r="C17" s="1" t="s">
        <v>50</v>
      </c>
      <c r="D17" s="1" t="s">
        <v>137</v>
      </c>
      <c r="E17" s="1" t="s">
        <v>138</v>
      </c>
      <c r="F17" s="22" t="s">
        <v>6085</v>
      </c>
      <c r="G17" s="1" t="s">
        <v>6</v>
      </c>
      <c r="H17" s="1" t="s">
        <v>20</v>
      </c>
      <c r="I17" s="1" t="s">
        <v>25</v>
      </c>
      <c r="J17" s="1" t="s">
        <v>9</v>
      </c>
      <c r="K17" s="1" t="s">
        <v>13</v>
      </c>
      <c r="L17" s="1" t="s">
        <v>13</v>
      </c>
      <c r="M17" s="1" t="s">
        <v>78</v>
      </c>
      <c r="N17" s="1" t="s">
        <v>188</v>
      </c>
      <c r="O17" s="2" t="s">
        <v>6235</v>
      </c>
      <c r="P17" s="1" t="s">
        <v>139</v>
      </c>
      <c r="Q17" s="1" t="s">
        <v>5278</v>
      </c>
      <c r="R17" s="1" t="s">
        <v>140</v>
      </c>
      <c r="S17" s="8">
        <v>45691</v>
      </c>
      <c r="T17" s="1">
        <v>2</v>
      </c>
      <c r="U17" s="1" t="s">
        <v>141</v>
      </c>
      <c r="V17" s="1" t="s">
        <v>141</v>
      </c>
      <c r="W17" s="1" t="s">
        <v>1388</v>
      </c>
    </row>
    <row r="18" spans="1:23" x14ac:dyDescent="0.25">
      <c r="A18" s="1" t="s">
        <v>48</v>
      </c>
      <c r="B18" s="1" t="s">
        <v>142</v>
      </c>
      <c r="C18" s="1" t="s">
        <v>50</v>
      </c>
      <c r="D18" s="1" t="s">
        <v>143</v>
      </c>
      <c r="E18" s="1" t="s">
        <v>144</v>
      </c>
      <c r="F18" s="22" t="s">
        <v>3</v>
      </c>
      <c r="G18" s="1" t="s">
        <v>6</v>
      </c>
      <c r="H18" s="1" t="s">
        <v>20</v>
      </c>
      <c r="I18" s="1" t="s">
        <v>25</v>
      </c>
      <c r="J18" s="1" t="s">
        <v>9</v>
      </c>
      <c r="K18" s="1" t="s">
        <v>13</v>
      </c>
      <c r="L18" s="1" t="s">
        <v>13</v>
      </c>
      <c r="M18" s="1" t="s">
        <v>53</v>
      </c>
      <c r="N18" s="11" t="s">
        <v>188</v>
      </c>
      <c r="O18" s="1" t="s">
        <v>6037</v>
      </c>
      <c r="P18" s="1" t="s">
        <v>126</v>
      </c>
      <c r="Q18" s="1" t="s">
        <v>5279</v>
      </c>
      <c r="R18" s="7" t="s">
        <v>145</v>
      </c>
      <c r="S18" s="8">
        <v>46048</v>
      </c>
      <c r="T18" s="1">
        <v>1</v>
      </c>
      <c r="U18" s="1" t="s">
        <v>146</v>
      </c>
      <c r="V18" s="1" t="s">
        <v>1388</v>
      </c>
      <c r="W18" s="1" t="s">
        <v>1388</v>
      </c>
    </row>
    <row r="19" spans="1:23" x14ac:dyDescent="0.25">
      <c r="A19" s="1" t="s">
        <v>48</v>
      </c>
      <c r="B19" s="1" t="s">
        <v>147</v>
      </c>
      <c r="C19" s="1" t="s">
        <v>50</v>
      </c>
      <c r="D19" s="1" t="s">
        <v>148</v>
      </c>
      <c r="E19" s="1" t="s">
        <v>149</v>
      </c>
      <c r="F19" s="22" t="s">
        <v>5259</v>
      </c>
      <c r="G19" s="1" t="s">
        <v>6</v>
      </c>
      <c r="H19" s="1" t="s">
        <v>20</v>
      </c>
      <c r="I19" s="1" t="s">
        <v>26</v>
      </c>
      <c r="J19" s="1" t="s">
        <v>9</v>
      </c>
      <c r="K19" s="1" t="s">
        <v>13</v>
      </c>
      <c r="L19" s="1" t="s">
        <v>13</v>
      </c>
      <c r="M19" s="1" t="s">
        <v>78</v>
      </c>
      <c r="N19" s="14" t="s">
        <v>6238</v>
      </c>
      <c r="O19" s="1" t="s">
        <v>6037</v>
      </c>
      <c r="P19" s="1" t="s">
        <v>60</v>
      </c>
      <c r="Q19" s="1" t="s">
        <v>5280</v>
      </c>
      <c r="R19" s="1" t="s">
        <v>150</v>
      </c>
      <c r="S19" s="8">
        <v>45695</v>
      </c>
      <c r="T19" s="1">
        <v>2</v>
      </c>
      <c r="U19" s="1" t="s">
        <v>151</v>
      </c>
      <c r="V19" s="1" t="s">
        <v>152</v>
      </c>
      <c r="W19" s="1" t="s">
        <v>1388</v>
      </c>
    </row>
    <row r="20" spans="1:23" x14ac:dyDescent="0.25">
      <c r="A20" s="1" t="s">
        <v>48</v>
      </c>
      <c r="B20" s="1" t="s">
        <v>153</v>
      </c>
      <c r="C20" s="1" t="s">
        <v>50</v>
      </c>
      <c r="D20" s="1" t="s">
        <v>154</v>
      </c>
      <c r="E20" s="1" t="s">
        <v>155</v>
      </c>
      <c r="F20" s="22" t="s">
        <v>3</v>
      </c>
      <c r="G20" s="1" t="s">
        <v>6</v>
      </c>
      <c r="H20" s="1" t="s">
        <v>20</v>
      </c>
      <c r="I20" s="1" t="s">
        <v>26</v>
      </c>
      <c r="J20" s="1" t="s">
        <v>9</v>
      </c>
      <c r="K20" s="1" t="s">
        <v>10</v>
      </c>
      <c r="L20" s="1" t="s">
        <v>10</v>
      </c>
      <c r="M20" s="1" t="s">
        <v>78</v>
      </c>
      <c r="N20" s="1" t="s">
        <v>5246</v>
      </c>
      <c r="O20" s="1" t="s">
        <v>6235</v>
      </c>
      <c r="P20" s="1" t="s">
        <v>156</v>
      </c>
      <c r="Q20" s="1" t="s">
        <v>5281</v>
      </c>
      <c r="R20" s="7" t="s">
        <v>157</v>
      </c>
      <c r="S20" s="8">
        <v>45698</v>
      </c>
      <c r="T20" s="1">
        <v>1</v>
      </c>
      <c r="U20" s="1" t="s">
        <v>1665</v>
      </c>
      <c r="V20" s="1" t="s">
        <v>1388</v>
      </c>
      <c r="W20" s="1" t="s">
        <v>1388</v>
      </c>
    </row>
    <row r="21" spans="1:23" x14ac:dyDescent="0.25">
      <c r="A21" s="1" t="s">
        <v>48</v>
      </c>
      <c r="B21" s="1" t="s">
        <v>159</v>
      </c>
      <c r="C21" s="1" t="s">
        <v>50</v>
      </c>
      <c r="D21" s="1" t="s">
        <v>160</v>
      </c>
      <c r="E21" s="1" t="s">
        <v>161</v>
      </c>
      <c r="F21" s="22" t="s">
        <v>3</v>
      </c>
      <c r="G21" s="1" t="s">
        <v>6</v>
      </c>
      <c r="H21" s="1" t="s">
        <v>20</v>
      </c>
      <c r="I21" s="1" t="s">
        <v>25</v>
      </c>
      <c r="J21" s="1" t="s">
        <v>9</v>
      </c>
      <c r="K21" s="1" t="s">
        <v>11</v>
      </c>
      <c r="L21" s="1" t="s">
        <v>11</v>
      </c>
      <c r="M21" s="1" t="s">
        <v>78</v>
      </c>
      <c r="N21" s="1" t="s">
        <v>1015</v>
      </c>
      <c r="O21" s="1" t="s">
        <v>6235</v>
      </c>
      <c r="P21" s="1" t="s">
        <v>162</v>
      </c>
      <c r="Q21" s="1" t="s">
        <v>5282</v>
      </c>
      <c r="R21" s="7" t="s">
        <v>163</v>
      </c>
      <c r="S21" s="8">
        <v>45691</v>
      </c>
      <c r="T21" s="1">
        <v>2</v>
      </c>
      <c r="U21" s="1" t="s">
        <v>164</v>
      </c>
      <c r="V21" s="1" t="s">
        <v>165</v>
      </c>
      <c r="W21" s="1" t="s">
        <v>1388</v>
      </c>
    </row>
    <row r="22" spans="1:23" x14ac:dyDescent="0.25">
      <c r="A22" s="2" t="s">
        <v>48</v>
      </c>
      <c r="B22" s="2" t="s">
        <v>166</v>
      </c>
      <c r="C22" s="2" t="s">
        <v>50</v>
      </c>
      <c r="D22" s="2" t="s">
        <v>167</v>
      </c>
      <c r="E22" s="2" t="s">
        <v>168</v>
      </c>
      <c r="F22" s="22" t="s">
        <v>5259</v>
      </c>
      <c r="G22" s="1" t="s">
        <v>6</v>
      </c>
      <c r="H22" s="1" t="s">
        <v>20</v>
      </c>
      <c r="I22" s="1" t="s">
        <v>26</v>
      </c>
      <c r="J22" s="1" t="s">
        <v>9</v>
      </c>
      <c r="K22" s="1" t="s">
        <v>13</v>
      </c>
      <c r="L22" s="1" t="s">
        <v>13</v>
      </c>
      <c r="M22" s="1" t="s">
        <v>78</v>
      </c>
      <c r="N22" s="14" t="s">
        <v>5226</v>
      </c>
      <c r="O22" s="1" t="s">
        <v>6037</v>
      </c>
      <c r="P22" s="1" t="s">
        <v>60</v>
      </c>
      <c r="Q22" s="1" t="s">
        <v>5283</v>
      </c>
      <c r="R22" s="1" t="s">
        <v>1666</v>
      </c>
      <c r="S22" s="8">
        <v>45698</v>
      </c>
      <c r="T22" s="1">
        <v>2</v>
      </c>
      <c r="U22" s="1" t="s">
        <v>170</v>
      </c>
      <c r="V22" s="1" t="s">
        <v>170</v>
      </c>
      <c r="W22" s="1" t="s">
        <v>1388</v>
      </c>
    </row>
    <row r="23" spans="1:23" x14ac:dyDescent="0.25">
      <c r="A23" s="1" t="s">
        <v>48</v>
      </c>
      <c r="B23" s="1" t="s">
        <v>171</v>
      </c>
      <c r="C23" s="1" t="s">
        <v>50</v>
      </c>
      <c r="D23" s="1" t="s">
        <v>172</v>
      </c>
      <c r="E23" s="1" t="s">
        <v>173</v>
      </c>
      <c r="F23" s="22" t="s">
        <v>5259</v>
      </c>
      <c r="G23" s="1" t="s">
        <v>6</v>
      </c>
      <c r="H23" s="1" t="s">
        <v>20</v>
      </c>
      <c r="I23" s="1" t="s">
        <v>26</v>
      </c>
      <c r="J23" s="1" t="s">
        <v>9</v>
      </c>
      <c r="K23" s="1" t="s">
        <v>16</v>
      </c>
      <c r="L23" s="1" t="s">
        <v>16</v>
      </c>
      <c r="M23" s="1" t="s">
        <v>53</v>
      </c>
      <c r="N23" s="1" t="s">
        <v>6027</v>
      </c>
      <c r="O23" s="1" t="s">
        <v>6037</v>
      </c>
      <c r="P23" s="1" t="s">
        <v>175</v>
      </c>
      <c r="Q23" s="1" t="s">
        <v>5285</v>
      </c>
      <c r="R23" s="1" t="s">
        <v>176</v>
      </c>
      <c r="S23" s="8">
        <v>45700</v>
      </c>
      <c r="T23" s="1">
        <v>2</v>
      </c>
      <c r="U23" s="1" t="s">
        <v>177</v>
      </c>
      <c r="V23" s="1" t="s">
        <v>177</v>
      </c>
      <c r="W23" s="1" t="s">
        <v>1388</v>
      </c>
    </row>
    <row r="24" spans="1:23" x14ac:dyDescent="0.25">
      <c r="A24" s="1" t="s">
        <v>48</v>
      </c>
      <c r="B24" s="1" t="s">
        <v>178</v>
      </c>
      <c r="C24" s="1" t="s">
        <v>50</v>
      </c>
      <c r="D24" s="1" t="s">
        <v>179</v>
      </c>
      <c r="E24" s="1" t="s">
        <v>180</v>
      </c>
      <c r="F24" s="22" t="s">
        <v>5259</v>
      </c>
      <c r="G24" s="1" t="s">
        <v>6</v>
      </c>
      <c r="H24" s="1" t="s">
        <v>20</v>
      </c>
      <c r="I24" s="1" t="s">
        <v>25</v>
      </c>
      <c r="J24" s="1" t="s">
        <v>9</v>
      </c>
      <c r="K24" s="1" t="s">
        <v>14</v>
      </c>
      <c r="L24" s="1" t="s">
        <v>14</v>
      </c>
      <c r="M24" s="1" t="s">
        <v>53</v>
      </c>
      <c r="N24" s="1" t="s">
        <v>6027</v>
      </c>
      <c r="O24" s="1" t="s">
        <v>6037</v>
      </c>
      <c r="P24" s="1" t="s">
        <v>181</v>
      </c>
      <c r="Q24" s="1" t="s">
        <v>5286</v>
      </c>
      <c r="R24" s="1" t="s">
        <v>182</v>
      </c>
      <c r="S24" s="8">
        <v>45671</v>
      </c>
      <c r="T24" s="1">
        <v>2</v>
      </c>
      <c r="U24" s="1" t="s">
        <v>183</v>
      </c>
      <c r="V24" s="1" t="s">
        <v>184</v>
      </c>
      <c r="W24" s="1" t="s">
        <v>1388</v>
      </c>
    </row>
    <row r="25" spans="1:23" x14ac:dyDescent="0.25">
      <c r="A25" s="1" t="s">
        <v>48</v>
      </c>
      <c r="B25" s="1" t="s">
        <v>185</v>
      </c>
      <c r="C25" s="1" t="s">
        <v>50</v>
      </c>
      <c r="D25" s="1" t="s">
        <v>186</v>
      </c>
      <c r="E25" s="1" t="s">
        <v>187</v>
      </c>
      <c r="F25" s="22" t="s">
        <v>6085</v>
      </c>
      <c r="G25" s="1" t="s">
        <v>6</v>
      </c>
      <c r="H25" s="1" t="s">
        <v>20</v>
      </c>
      <c r="I25" s="1" t="s">
        <v>26</v>
      </c>
      <c r="J25" s="1" t="s">
        <v>9</v>
      </c>
      <c r="K25" s="1" t="s">
        <v>12</v>
      </c>
      <c r="L25" s="1" t="s">
        <v>12</v>
      </c>
      <c r="M25" s="1" t="s">
        <v>53</v>
      </c>
      <c r="N25" s="11" t="s">
        <v>188</v>
      </c>
      <c r="O25" s="1" t="s">
        <v>6037</v>
      </c>
      <c r="P25" s="1" t="s">
        <v>66</v>
      </c>
      <c r="Q25" s="1" t="s">
        <v>5287</v>
      </c>
      <c r="R25" s="1" t="s">
        <v>189</v>
      </c>
      <c r="S25" s="8">
        <v>46048</v>
      </c>
      <c r="T25" s="1">
        <v>2</v>
      </c>
      <c r="U25" s="1" t="s">
        <v>190</v>
      </c>
      <c r="V25" s="1" t="s">
        <v>190</v>
      </c>
      <c r="W25" s="1" t="s">
        <v>1388</v>
      </c>
    </row>
    <row r="26" spans="1:23" x14ac:dyDescent="0.25">
      <c r="A26" s="1" t="s">
        <v>48</v>
      </c>
      <c r="B26" s="1" t="s">
        <v>191</v>
      </c>
      <c r="C26" s="1" t="s">
        <v>50</v>
      </c>
      <c r="D26" s="1" t="s">
        <v>192</v>
      </c>
      <c r="E26" s="1" t="s">
        <v>193</v>
      </c>
      <c r="F26" s="22" t="s">
        <v>6085</v>
      </c>
      <c r="G26" s="1" t="s">
        <v>6</v>
      </c>
      <c r="H26" s="1" t="s">
        <v>20</v>
      </c>
      <c r="I26" s="1" t="s">
        <v>25</v>
      </c>
      <c r="J26" s="1" t="s">
        <v>9</v>
      </c>
      <c r="K26" s="1" t="s">
        <v>14</v>
      </c>
      <c r="L26" s="1" t="s">
        <v>14</v>
      </c>
      <c r="M26" s="1" t="s">
        <v>78</v>
      </c>
      <c r="N26" s="1" t="s">
        <v>188</v>
      </c>
      <c r="O26" s="1" t="s">
        <v>6037</v>
      </c>
      <c r="P26" s="1" t="s">
        <v>162</v>
      </c>
      <c r="Q26" s="1" t="s">
        <v>5269</v>
      </c>
      <c r="R26" s="1" t="s">
        <v>194</v>
      </c>
      <c r="S26" s="8">
        <v>45691</v>
      </c>
      <c r="T26" s="1">
        <v>1</v>
      </c>
      <c r="U26" s="1" t="s">
        <v>1667</v>
      </c>
      <c r="V26" s="1" t="s">
        <v>646</v>
      </c>
      <c r="W26" s="1" t="s">
        <v>1388</v>
      </c>
    </row>
    <row r="27" spans="1:23" x14ac:dyDescent="0.25">
      <c r="A27" s="1" t="s">
        <v>48</v>
      </c>
      <c r="B27" s="1" t="s">
        <v>196</v>
      </c>
      <c r="C27" s="1" t="s">
        <v>50</v>
      </c>
      <c r="D27" s="1" t="s">
        <v>197</v>
      </c>
      <c r="E27" s="1" t="s">
        <v>198</v>
      </c>
      <c r="F27" s="22" t="s">
        <v>5259</v>
      </c>
      <c r="G27" s="1" t="s">
        <v>6</v>
      </c>
      <c r="H27" s="1" t="s">
        <v>20</v>
      </c>
      <c r="I27" s="1" t="s">
        <v>26</v>
      </c>
      <c r="J27" s="1" t="s">
        <v>9</v>
      </c>
      <c r="K27" s="1" t="s">
        <v>14</v>
      </c>
      <c r="L27" s="1" t="s">
        <v>14</v>
      </c>
      <c r="M27" s="1" t="s">
        <v>78</v>
      </c>
      <c r="N27" s="14" t="s">
        <v>5226</v>
      </c>
      <c r="O27" s="1" t="s">
        <v>6037</v>
      </c>
      <c r="P27" s="1" t="s">
        <v>199</v>
      </c>
      <c r="Q27" s="1" t="s">
        <v>5288</v>
      </c>
      <c r="R27" s="1" t="s">
        <v>200</v>
      </c>
      <c r="S27" s="8">
        <v>45691</v>
      </c>
      <c r="T27" s="1">
        <v>2</v>
      </c>
      <c r="U27" s="1" t="s">
        <v>201</v>
      </c>
      <c r="V27" s="1" t="s">
        <v>202</v>
      </c>
      <c r="W27" s="1" t="s">
        <v>1388</v>
      </c>
    </row>
    <row r="28" spans="1:23" x14ac:dyDescent="0.25">
      <c r="A28" s="1" t="s">
        <v>48</v>
      </c>
      <c r="B28" s="1" t="s">
        <v>203</v>
      </c>
      <c r="C28" s="1" t="s">
        <v>50</v>
      </c>
      <c r="D28" s="1" t="s">
        <v>204</v>
      </c>
      <c r="E28" s="1" t="s">
        <v>205</v>
      </c>
      <c r="F28" s="22" t="s">
        <v>5259</v>
      </c>
      <c r="G28" s="1" t="s">
        <v>6</v>
      </c>
      <c r="H28" s="1" t="s">
        <v>20</v>
      </c>
      <c r="I28" s="1" t="s">
        <v>25</v>
      </c>
      <c r="J28" s="1" t="s">
        <v>9</v>
      </c>
      <c r="K28" s="1" t="s">
        <v>14</v>
      </c>
      <c r="L28" s="1" t="s">
        <v>14</v>
      </c>
      <c r="M28" s="1" t="s">
        <v>53</v>
      </c>
      <c r="N28" s="14" t="s">
        <v>5226</v>
      </c>
      <c r="O28" s="1" t="s">
        <v>6235</v>
      </c>
      <c r="P28" s="1" t="s">
        <v>206</v>
      </c>
      <c r="Q28" s="1" t="s">
        <v>6</v>
      </c>
      <c r="R28" s="1" t="s">
        <v>207</v>
      </c>
      <c r="S28" s="8">
        <v>45689</v>
      </c>
      <c r="T28" s="1">
        <v>2</v>
      </c>
      <c r="U28" s="1" t="s">
        <v>208</v>
      </c>
      <c r="V28" s="1" t="s">
        <v>209</v>
      </c>
      <c r="W28" s="1" t="s">
        <v>1388</v>
      </c>
    </row>
    <row r="29" spans="1:23" x14ac:dyDescent="0.25">
      <c r="A29" s="1" t="s">
        <v>48</v>
      </c>
      <c r="B29" s="1" t="s">
        <v>210</v>
      </c>
      <c r="C29" s="1" t="s">
        <v>50</v>
      </c>
      <c r="D29" s="1" t="s">
        <v>211</v>
      </c>
      <c r="E29" s="1" t="s">
        <v>212</v>
      </c>
      <c r="F29" s="22" t="s">
        <v>5259</v>
      </c>
      <c r="G29" s="1" t="s">
        <v>6</v>
      </c>
      <c r="H29" s="1" t="s">
        <v>20</v>
      </c>
      <c r="I29" s="1" t="s">
        <v>26</v>
      </c>
      <c r="J29" s="1" t="s">
        <v>9</v>
      </c>
      <c r="K29" s="1" t="s">
        <v>13</v>
      </c>
      <c r="L29" s="1" t="s">
        <v>13</v>
      </c>
      <c r="M29" s="1" t="s">
        <v>78</v>
      </c>
      <c r="N29" s="14" t="s">
        <v>5229</v>
      </c>
      <c r="O29" s="1" t="s">
        <v>6037</v>
      </c>
      <c r="P29" s="1" t="s">
        <v>213</v>
      </c>
      <c r="Q29" s="1" t="s">
        <v>5289</v>
      </c>
      <c r="R29" s="1" t="s">
        <v>214</v>
      </c>
      <c r="S29" s="8">
        <v>45726</v>
      </c>
      <c r="T29" s="1">
        <v>2</v>
      </c>
      <c r="U29" s="1" t="s">
        <v>215</v>
      </c>
      <c r="V29" s="1" t="s">
        <v>216</v>
      </c>
      <c r="W29" s="1" t="s">
        <v>1388</v>
      </c>
    </row>
    <row r="30" spans="1:23" x14ac:dyDescent="0.25">
      <c r="A30" s="1" t="s">
        <v>48</v>
      </c>
      <c r="B30" s="1" t="s">
        <v>217</v>
      </c>
      <c r="C30" s="1" t="s">
        <v>50</v>
      </c>
      <c r="D30" s="1" t="s">
        <v>218</v>
      </c>
      <c r="E30" s="1" t="s">
        <v>219</v>
      </c>
      <c r="F30" s="22" t="s">
        <v>5259</v>
      </c>
      <c r="G30" s="1" t="s">
        <v>6</v>
      </c>
      <c r="H30" s="1" t="s">
        <v>20</v>
      </c>
      <c r="I30" s="1" t="s">
        <v>26</v>
      </c>
      <c r="J30" s="1" t="s">
        <v>9</v>
      </c>
      <c r="K30" s="1" t="s">
        <v>13</v>
      </c>
      <c r="L30" s="1" t="s">
        <v>13</v>
      </c>
      <c r="M30" s="1" t="s">
        <v>78</v>
      </c>
      <c r="N30" s="14" t="s">
        <v>5228</v>
      </c>
      <c r="O30" s="1" t="s">
        <v>6037</v>
      </c>
      <c r="P30" s="1" t="s">
        <v>220</v>
      </c>
      <c r="Q30" s="1" t="s">
        <v>5290</v>
      </c>
      <c r="R30" s="1" t="s">
        <v>221</v>
      </c>
      <c r="S30" s="8">
        <v>45689</v>
      </c>
      <c r="T30" s="1">
        <v>3</v>
      </c>
      <c r="U30" s="1" t="s">
        <v>222</v>
      </c>
      <c r="V30" s="1" t="s">
        <v>222</v>
      </c>
      <c r="W30" s="1" t="s">
        <v>222</v>
      </c>
    </row>
    <row r="31" spans="1:23" x14ac:dyDescent="0.25">
      <c r="A31" s="1" t="s">
        <v>48</v>
      </c>
      <c r="B31" s="1" t="s">
        <v>223</v>
      </c>
      <c r="C31" s="1" t="s">
        <v>50</v>
      </c>
      <c r="D31" s="1" t="s">
        <v>224</v>
      </c>
      <c r="E31" s="1" t="s">
        <v>225</v>
      </c>
      <c r="F31" s="22" t="s">
        <v>6085</v>
      </c>
      <c r="G31" s="1" t="s">
        <v>6</v>
      </c>
      <c r="H31" s="1" t="s">
        <v>20</v>
      </c>
      <c r="I31" s="1" t="s">
        <v>25</v>
      </c>
      <c r="J31" s="1" t="s">
        <v>9</v>
      </c>
      <c r="K31" s="1" t="s">
        <v>13</v>
      </c>
      <c r="L31" s="1" t="s">
        <v>13</v>
      </c>
      <c r="M31" s="1" t="s">
        <v>78</v>
      </c>
      <c r="N31" s="1" t="s">
        <v>188</v>
      </c>
      <c r="O31" s="2" t="s">
        <v>6235</v>
      </c>
      <c r="P31" s="1" t="s">
        <v>126</v>
      </c>
      <c r="Q31" s="1" t="s">
        <v>5291</v>
      </c>
      <c r="R31" s="1" t="s">
        <v>226</v>
      </c>
      <c r="S31" s="8">
        <v>45705</v>
      </c>
      <c r="T31" s="1">
        <v>2</v>
      </c>
      <c r="U31" s="1" t="s">
        <v>227</v>
      </c>
      <c r="V31" s="1" t="s">
        <v>227</v>
      </c>
      <c r="W31" s="1" t="s">
        <v>1388</v>
      </c>
    </row>
    <row r="32" spans="1:23" x14ac:dyDescent="0.25">
      <c r="A32" s="1" t="s">
        <v>48</v>
      </c>
      <c r="B32" s="1" t="s">
        <v>228</v>
      </c>
      <c r="C32" s="1" t="s">
        <v>50</v>
      </c>
      <c r="D32" s="1" t="s">
        <v>229</v>
      </c>
      <c r="E32" s="1" t="s">
        <v>230</v>
      </c>
      <c r="F32" s="22" t="s">
        <v>6085</v>
      </c>
      <c r="G32" s="1" t="s">
        <v>6</v>
      </c>
      <c r="H32" s="1" t="s">
        <v>20</v>
      </c>
      <c r="I32" s="1" t="s">
        <v>26</v>
      </c>
      <c r="J32" s="1" t="s">
        <v>9</v>
      </c>
      <c r="K32" s="1" t="s">
        <v>10</v>
      </c>
      <c r="L32" s="1" t="s">
        <v>10</v>
      </c>
      <c r="M32" s="1" t="s">
        <v>53</v>
      </c>
      <c r="N32" s="11" t="s">
        <v>188</v>
      </c>
      <c r="O32" s="2" t="s">
        <v>6235</v>
      </c>
      <c r="P32" s="1" t="s">
        <v>181</v>
      </c>
      <c r="Q32" s="17" t="s">
        <v>5292</v>
      </c>
      <c r="R32" s="1" t="s">
        <v>1668</v>
      </c>
      <c r="S32" s="8">
        <v>45668</v>
      </c>
      <c r="T32" s="1">
        <v>2</v>
      </c>
      <c r="U32" s="1" t="s">
        <v>231</v>
      </c>
      <c r="V32" s="1" t="s">
        <v>231</v>
      </c>
      <c r="W32" s="1" t="s">
        <v>1388</v>
      </c>
    </row>
    <row r="33" spans="1:23" x14ac:dyDescent="0.25">
      <c r="A33" s="1" t="s">
        <v>48</v>
      </c>
      <c r="B33" s="1" t="s">
        <v>232</v>
      </c>
      <c r="C33" s="1" t="s">
        <v>50</v>
      </c>
      <c r="D33" s="1" t="s">
        <v>233</v>
      </c>
      <c r="E33" s="1" t="s">
        <v>234</v>
      </c>
      <c r="F33" s="22" t="s">
        <v>3</v>
      </c>
      <c r="G33" s="1" t="s">
        <v>6</v>
      </c>
      <c r="H33" s="1" t="s">
        <v>20</v>
      </c>
      <c r="I33" s="1" t="s">
        <v>26</v>
      </c>
      <c r="J33" s="1" t="s">
        <v>9</v>
      </c>
      <c r="K33" s="1" t="s">
        <v>15</v>
      </c>
      <c r="L33" s="1" t="s">
        <v>15</v>
      </c>
      <c r="M33" s="1" t="s">
        <v>78</v>
      </c>
      <c r="N33" s="1" t="s">
        <v>5243</v>
      </c>
      <c r="O33" s="1" t="s">
        <v>6235</v>
      </c>
      <c r="P33" s="1" t="s">
        <v>235</v>
      </c>
      <c r="Q33" s="1" t="s">
        <v>5293</v>
      </c>
      <c r="R33" s="7" t="s">
        <v>1669</v>
      </c>
      <c r="S33" s="8">
        <v>45663</v>
      </c>
      <c r="T33" s="1">
        <v>2</v>
      </c>
      <c r="U33" s="1" t="s">
        <v>1461</v>
      </c>
      <c r="V33" s="1" t="s">
        <v>1461</v>
      </c>
      <c r="W33" s="1" t="s">
        <v>1388</v>
      </c>
    </row>
    <row r="34" spans="1:23" x14ac:dyDescent="0.25">
      <c r="A34" s="1" t="s">
        <v>48</v>
      </c>
      <c r="B34" s="1" t="s">
        <v>237</v>
      </c>
      <c r="C34" s="1" t="s">
        <v>50</v>
      </c>
      <c r="D34" s="1" t="s">
        <v>238</v>
      </c>
      <c r="E34" s="1" t="s">
        <v>239</v>
      </c>
      <c r="F34" s="22" t="s">
        <v>5259</v>
      </c>
      <c r="G34" s="1" t="s">
        <v>6</v>
      </c>
      <c r="H34" s="1" t="s">
        <v>20</v>
      </c>
      <c r="I34" s="1" t="s">
        <v>26</v>
      </c>
      <c r="J34" s="1" t="s">
        <v>9</v>
      </c>
      <c r="K34" s="1" t="s">
        <v>14</v>
      </c>
      <c r="L34" s="1" t="s">
        <v>14</v>
      </c>
      <c r="M34" s="1" t="s">
        <v>78</v>
      </c>
      <c r="N34" s="14" t="s">
        <v>5229</v>
      </c>
      <c r="O34" s="1" t="s">
        <v>6037</v>
      </c>
      <c r="P34" s="1" t="s">
        <v>240</v>
      </c>
      <c r="Q34" s="1" t="s">
        <v>5294</v>
      </c>
      <c r="R34" s="1" t="s">
        <v>241</v>
      </c>
      <c r="S34" s="8">
        <v>45689</v>
      </c>
      <c r="T34" s="1">
        <v>2</v>
      </c>
      <c r="U34" s="1" t="s">
        <v>242</v>
      </c>
      <c r="V34" s="1" t="s">
        <v>243</v>
      </c>
      <c r="W34" s="1" t="s">
        <v>1388</v>
      </c>
    </row>
    <row r="35" spans="1:23" x14ac:dyDescent="0.25">
      <c r="A35" s="1" t="s">
        <v>48</v>
      </c>
      <c r="B35" s="1" t="s">
        <v>244</v>
      </c>
      <c r="C35" s="1" t="s">
        <v>50</v>
      </c>
      <c r="D35" s="1" t="s">
        <v>245</v>
      </c>
      <c r="E35" s="1" t="s">
        <v>246</v>
      </c>
      <c r="F35" s="22" t="s">
        <v>6085</v>
      </c>
      <c r="G35" s="1" t="s">
        <v>6</v>
      </c>
      <c r="H35" s="1" t="s">
        <v>20</v>
      </c>
      <c r="I35" s="1" t="s">
        <v>25</v>
      </c>
      <c r="J35" s="1" t="s">
        <v>9</v>
      </c>
      <c r="K35" s="1" t="s">
        <v>13</v>
      </c>
      <c r="L35" s="1" t="s">
        <v>13</v>
      </c>
      <c r="M35" s="1" t="s">
        <v>53</v>
      </c>
      <c r="N35" s="11" t="s">
        <v>188</v>
      </c>
      <c r="O35" s="1" t="s">
        <v>6235</v>
      </c>
      <c r="P35" s="1" t="s">
        <v>247</v>
      </c>
      <c r="Q35" s="1" t="s">
        <v>5295</v>
      </c>
      <c r="R35" s="1" t="s">
        <v>248</v>
      </c>
      <c r="S35" s="8">
        <v>46053</v>
      </c>
      <c r="T35" s="1">
        <v>1</v>
      </c>
      <c r="U35" s="1" t="s">
        <v>249</v>
      </c>
      <c r="V35" s="1" t="s">
        <v>249</v>
      </c>
      <c r="W35" s="1" t="s">
        <v>1388</v>
      </c>
    </row>
    <row r="36" spans="1:23" x14ac:dyDescent="0.25">
      <c r="A36" s="1" t="s">
        <v>48</v>
      </c>
      <c r="B36" s="1" t="s">
        <v>250</v>
      </c>
      <c r="C36" s="1" t="s">
        <v>50</v>
      </c>
      <c r="D36" s="1" t="s">
        <v>251</v>
      </c>
      <c r="E36" s="1" t="s">
        <v>252</v>
      </c>
      <c r="F36" s="22" t="s">
        <v>3</v>
      </c>
      <c r="G36" s="1" t="s">
        <v>6</v>
      </c>
      <c r="H36" s="1" t="s">
        <v>20</v>
      </c>
      <c r="I36" s="1" t="s">
        <v>26</v>
      </c>
      <c r="J36" s="1" t="s">
        <v>9</v>
      </c>
      <c r="K36" s="1" t="s">
        <v>11</v>
      </c>
      <c r="L36" s="1" t="s">
        <v>11</v>
      </c>
      <c r="M36" s="1" t="s">
        <v>78</v>
      </c>
      <c r="N36" s="1" t="s">
        <v>1015</v>
      </c>
      <c r="O36" s="1" t="s">
        <v>6235</v>
      </c>
      <c r="P36" s="1" t="s">
        <v>126</v>
      </c>
      <c r="Q36" s="1" t="s">
        <v>5296</v>
      </c>
      <c r="R36" s="7" t="s">
        <v>253</v>
      </c>
      <c r="S36" s="8">
        <v>45733</v>
      </c>
      <c r="T36" s="1">
        <v>2</v>
      </c>
      <c r="U36" s="1" t="s">
        <v>1670</v>
      </c>
      <c r="V36" s="1" t="s">
        <v>1671</v>
      </c>
      <c r="W36" s="1" t="s">
        <v>1388</v>
      </c>
    </row>
    <row r="37" spans="1:23" x14ac:dyDescent="0.25">
      <c r="A37" s="1" t="s">
        <v>48</v>
      </c>
      <c r="B37" s="1" t="s">
        <v>254</v>
      </c>
      <c r="C37" s="1" t="s">
        <v>50</v>
      </c>
      <c r="D37" s="1" t="s">
        <v>255</v>
      </c>
      <c r="E37" s="1" t="s">
        <v>256</v>
      </c>
      <c r="F37" s="22" t="s">
        <v>3</v>
      </c>
      <c r="G37" s="1" t="s">
        <v>6</v>
      </c>
      <c r="H37" s="1" t="s">
        <v>20</v>
      </c>
      <c r="I37" s="1" t="s">
        <v>26</v>
      </c>
      <c r="J37" s="1" t="s">
        <v>9</v>
      </c>
      <c r="K37" s="1" t="s">
        <v>14</v>
      </c>
      <c r="L37" s="1" t="s">
        <v>14</v>
      </c>
      <c r="M37" s="1" t="s">
        <v>78</v>
      </c>
      <c r="N37" s="1" t="s">
        <v>188</v>
      </c>
      <c r="O37" s="1" t="s">
        <v>6037</v>
      </c>
      <c r="P37" s="1" t="s">
        <v>175</v>
      </c>
      <c r="Q37" s="1" t="s">
        <v>5297</v>
      </c>
      <c r="R37" s="7" t="s">
        <v>257</v>
      </c>
      <c r="S37" s="8">
        <v>45698</v>
      </c>
      <c r="T37" s="1">
        <v>2</v>
      </c>
      <c r="U37" s="1" t="s">
        <v>258</v>
      </c>
      <c r="V37" s="1" t="s">
        <v>258</v>
      </c>
      <c r="W37" s="1" t="s">
        <v>1388</v>
      </c>
    </row>
    <row r="38" spans="1:23" x14ac:dyDescent="0.25">
      <c r="A38" s="1" t="s">
        <v>48</v>
      </c>
      <c r="B38" s="1" t="s">
        <v>259</v>
      </c>
      <c r="C38" s="1" t="s">
        <v>50</v>
      </c>
      <c r="D38" s="1" t="s">
        <v>260</v>
      </c>
      <c r="E38" s="1" t="s">
        <v>261</v>
      </c>
      <c r="F38" s="22" t="s">
        <v>5259</v>
      </c>
      <c r="G38" s="1" t="s">
        <v>6</v>
      </c>
      <c r="H38" s="1" t="s">
        <v>20</v>
      </c>
      <c r="I38" s="1" t="s">
        <v>26</v>
      </c>
      <c r="J38" s="1" t="s">
        <v>9</v>
      </c>
      <c r="K38" s="1" t="s">
        <v>12</v>
      </c>
      <c r="L38" s="1" t="s">
        <v>12</v>
      </c>
      <c r="M38" s="1" t="s">
        <v>78</v>
      </c>
      <c r="N38" s="14" t="s">
        <v>5226</v>
      </c>
      <c r="O38" s="1" t="s">
        <v>6037</v>
      </c>
      <c r="P38" s="1" t="s">
        <v>247</v>
      </c>
      <c r="Q38" s="1" t="s">
        <v>5298</v>
      </c>
      <c r="R38" s="1" t="s">
        <v>262</v>
      </c>
      <c r="S38" s="8">
        <v>45698</v>
      </c>
      <c r="T38" s="1">
        <v>2</v>
      </c>
      <c r="U38" s="1" t="s">
        <v>263</v>
      </c>
      <c r="V38" s="1" t="s">
        <v>263</v>
      </c>
      <c r="W38" s="1" t="s">
        <v>1388</v>
      </c>
    </row>
    <row r="39" spans="1:23" x14ac:dyDescent="0.25">
      <c r="A39" s="1" t="s">
        <v>48</v>
      </c>
      <c r="B39" s="1" t="s">
        <v>264</v>
      </c>
      <c r="C39" s="1" t="s">
        <v>50</v>
      </c>
      <c r="D39" s="1" t="s">
        <v>265</v>
      </c>
      <c r="E39" s="1" t="s">
        <v>266</v>
      </c>
      <c r="F39" s="22" t="s">
        <v>6085</v>
      </c>
      <c r="G39" s="1" t="s">
        <v>6</v>
      </c>
      <c r="H39" s="1" t="s">
        <v>20</v>
      </c>
      <c r="I39" s="1" t="s">
        <v>26</v>
      </c>
      <c r="J39" s="1" t="s">
        <v>9</v>
      </c>
      <c r="K39" s="1" t="s">
        <v>19</v>
      </c>
      <c r="L39" s="1" t="s">
        <v>19</v>
      </c>
      <c r="M39" s="1" t="s">
        <v>78</v>
      </c>
      <c r="N39" s="1" t="s">
        <v>188</v>
      </c>
      <c r="O39" s="1" t="s">
        <v>6037</v>
      </c>
      <c r="P39" s="1" t="s">
        <v>267</v>
      </c>
      <c r="Q39" s="1" t="s">
        <v>5299</v>
      </c>
      <c r="R39" s="1" t="s">
        <v>268</v>
      </c>
      <c r="S39" s="8">
        <v>45695</v>
      </c>
      <c r="T39" s="1">
        <v>1</v>
      </c>
      <c r="U39" s="1" t="s">
        <v>269</v>
      </c>
      <c r="V39" s="1" t="s">
        <v>1388</v>
      </c>
      <c r="W39" s="1" t="s">
        <v>1388</v>
      </c>
    </row>
    <row r="40" spans="1:23" x14ac:dyDescent="0.25">
      <c r="A40" s="1" t="s">
        <v>48</v>
      </c>
      <c r="B40" s="1" t="s">
        <v>270</v>
      </c>
      <c r="C40" s="1" t="s">
        <v>50</v>
      </c>
      <c r="D40" s="1" t="s">
        <v>271</v>
      </c>
      <c r="E40" s="1" t="s">
        <v>272</v>
      </c>
      <c r="F40" s="22" t="s">
        <v>5259</v>
      </c>
      <c r="G40" s="1" t="s">
        <v>6</v>
      </c>
      <c r="H40" s="1" t="s">
        <v>20</v>
      </c>
      <c r="I40" s="1" t="s">
        <v>26</v>
      </c>
      <c r="J40" s="1" t="s">
        <v>9</v>
      </c>
      <c r="K40" s="1" t="s">
        <v>13</v>
      </c>
      <c r="L40" s="1" t="s">
        <v>13</v>
      </c>
      <c r="M40" s="1" t="s">
        <v>78</v>
      </c>
      <c r="N40" s="14" t="s">
        <v>5226</v>
      </c>
      <c r="O40" s="1" t="s">
        <v>6235</v>
      </c>
      <c r="P40" s="1" t="s">
        <v>273</v>
      </c>
      <c r="Q40" s="1" t="s">
        <v>5300</v>
      </c>
      <c r="R40" s="1" t="s">
        <v>274</v>
      </c>
      <c r="S40" s="8">
        <v>45719</v>
      </c>
      <c r="T40" s="1">
        <v>2</v>
      </c>
      <c r="U40" s="1" t="s">
        <v>275</v>
      </c>
      <c r="V40" s="1" t="s">
        <v>275</v>
      </c>
      <c r="W40" s="1" t="s">
        <v>1388</v>
      </c>
    </row>
    <row r="41" spans="1:23" x14ac:dyDescent="0.25">
      <c r="A41" s="1" t="s">
        <v>48</v>
      </c>
      <c r="B41" s="1" t="s">
        <v>276</v>
      </c>
      <c r="C41" s="1" t="s">
        <v>50</v>
      </c>
      <c r="D41" s="1" t="s">
        <v>277</v>
      </c>
      <c r="E41" s="1" t="s">
        <v>278</v>
      </c>
      <c r="F41" s="22" t="s">
        <v>5259</v>
      </c>
      <c r="G41" s="1" t="s">
        <v>6</v>
      </c>
      <c r="H41" s="1" t="s">
        <v>20</v>
      </c>
      <c r="I41" s="1" t="s">
        <v>25</v>
      </c>
      <c r="J41" s="1" t="s">
        <v>9</v>
      </c>
      <c r="K41" s="1" t="s">
        <v>13</v>
      </c>
      <c r="L41" s="1" t="s">
        <v>13</v>
      </c>
      <c r="M41" s="1" t="s">
        <v>78</v>
      </c>
      <c r="N41" s="14" t="s">
        <v>6237</v>
      </c>
      <c r="O41" s="1" t="s">
        <v>6037</v>
      </c>
      <c r="P41" s="1" t="s">
        <v>247</v>
      </c>
      <c r="Q41" s="1" t="s">
        <v>5301</v>
      </c>
      <c r="R41" s="1" t="s">
        <v>279</v>
      </c>
      <c r="S41" s="8">
        <v>45677</v>
      </c>
      <c r="T41" s="1">
        <v>2</v>
      </c>
      <c r="U41" s="1" t="s">
        <v>280</v>
      </c>
      <c r="V41" s="1" t="s">
        <v>280</v>
      </c>
      <c r="W41" s="1" t="s">
        <v>1388</v>
      </c>
    </row>
    <row r="42" spans="1:23" x14ac:dyDescent="0.25">
      <c r="A42" s="1" t="s">
        <v>48</v>
      </c>
      <c r="B42" s="1" t="s">
        <v>281</v>
      </c>
      <c r="C42" s="1" t="s">
        <v>50</v>
      </c>
      <c r="D42" s="1" t="s">
        <v>282</v>
      </c>
      <c r="E42" s="1" t="s">
        <v>283</v>
      </c>
      <c r="F42" s="22" t="s">
        <v>5259</v>
      </c>
      <c r="G42" s="1" t="s">
        <v>6</v>
      </c>
      <c r="H42" s="1" t="s">
        <v>20</v>
      </c>
      <c r="I42" s="1" t="s">
        <v>26</v>
      </c>
      <c r="J42" s="1" t="s">
        <v>9</v>
      </c>
      <c r="K42" s="1" t="s">
        <v>10</v>
      </c>
      <c r="L42" s="1" t="s">
        <v>10</v>
      </c>
      <c r="M42" s="1" t="s">
        <v>78</v>
      </c>
      <c r="N42" s="14" t="s">
        <v>5228</v>
      </c>
      <c r="O42" s="1" t="s">
        <v>6037</v>
      </c>
      <c r="P42" s="1" t="s">
        <v>284</v>
      </c>
      <c r="Q42" s="1" t="s">
        <v>4621</v>
      </c>
      <c r="R42" s="1" t="s">
        <v>285</v>
      </c>
      <c r="S42" s="8">
        <v>45664</v>
      </c>
      <c r="T42" s="1">
        <v>2</v>
      </c>
      <c r="U42" s="1" t="s">
        <v>286</v>
      </c>
      <c r="V42" s="1" t="s">
        <v>286</v>
      </c>
      <c r="W42" s="1" t="s">
        <v>1388</v>
      </c>
    </row>
    <row r="43" spans="1:23" x14ac:dyDescent="0.25">
      <c r="A43" s="1" t="s">
        <v>48</v>
      </c>
      <c r="B43" s="1" t="s">
        <v>287</v>
      </c>
      <c r="C43" s="1" t="s">
        <v>50</v>
      </c>
      <c r="D43" s="1" t="s">
        <v>288</v>
      </c>
      <c r="E43" s="1" t="s">
        <v>289</v>
      </c>
      <c r="F43" s="22" t="s">
        <v>5259</v>
      </c>
      <c r="G43" s="1" t="s">
        <v>6</v>
      </c>
      <c r="H43" s="1" t="s">
        <v>20</v>
      </c>
      <c r="I43" s="1" t="s">
        <v>25</v>
      </c>
      <c r="J43" s="1" t="s">
        <v>9</v>
      </c>
      <c r="K43" s="1" t="s">
        <v>14</v>
      </c>
      <c r="L43" s="1" t="s">
        <v>14</v>
      </c>
      <c r="M43" s="1" t="s">
        <v>53</v>
      </c>
      <c r="N43" s="1" t="s">
        <v>6027</v>
      </c>
      <c r="O43" s="1" t="s">
        <v>6037</v>
      </c>
      <c r="P43" s="1" t="s">
        <v>126</v>
      </c>
      <c r="Q43" s="1" t="s">
        <v>5302</v>
      </c>
      <c r="R43" s="1" t="s">
        <v>290</v>
      </c>
      <c r="S43" s="8">
        <v>45689</v>
      </c>
      <c r="T43" s="1">
        <v>2</v>
      </c>
      <c r="U43" s="1" t="s">
        <v>291</v>
      </c>
      <c r="V43" s="1" t="s">
        <v>236</v>
      </c>
      <c r="W43" s="1" t="s">
        <v>1388</v>
      </c>
    </row>
    <row r="44" spans="1:23" x14ac:dyDescent="0.25">
      <c r="A44" s="1" t="s">
        <v>48</v>
      </c>
      <c r="B44" s="1" t="s">
        <v>292</v>
      </c>
      <c r="C44" s="1" t="s">
        <v>50</v>
      </c>
      <c r="D44" s="1" t="s">
        <v>293</v>
      </c>
      <c r="E44" s="1" t="s">
        <v>294</v>
      </c>
      <c r="F44" s="22" t="s">
        <v>5259</v>
      </c>
      <c r="G44" s="1" t="s">
        <v>6</v>
      </c>
      <c r="H44" s="1" t="s">
        <v>21</v>
      </c>
      <c r="I44" s="1" t="s">
        <v>26</v>
      </c>
      <c r="J44" s="1" t="s">
        <v>9</v>
      </c>
      <c r="K44" s="1" t="s">
        <v>18</v>
      </c>
      <c r="L44" s="1" t="s">
        <v>17</v>
      </c>
      <c r="M44" s="1" t="s">
        <v>78</v>
      </c>
      <c r="N44" s="1" t="s">
        <v>6027</v>
      </c>
      <c r="O44" s="1" t="s">
        <v>6037</v>
      </c>
      <c r="P44" s="1" t="s">
        <v>295</v>
      </c>
      <c r="Q44" s="1" t="s">
        <v>5303</v>
      </c>
      <c r="R44" s="1" t="s">
        <v>296</v>
      </c>
      <c r="S44" s="8">
        <v>45708</v>
      </c>
      <c r="T44" s="1">
        <v>3</v>
      </c>
      <c r="U44" s="1" t="s">
        <v>297</v>
      </c>
      <c r="V44" s="1" t="s">
        <v>297</v>
      </c>
      <c r="W44" s="1" t="s">
        <v>209</v>
      </c>
    </row>
    <row r="45" spans="1:23" x14ac:dyDescent="0.25">
      <c r="A45" s="1" t="s">
        <v>48</v>
      </c>
      <c r="B45" s="1" t="s">
        <v>298</v>
      </c>
      <c r="C45" s="1" t="s">
        <v>50</v>
      </c>
      <c r="D45" s="1" t="s">
        <v>299</v>
      </c>
      <c r="E45" s="1" t="s">
        <v>300</v>
      </c>
      <c r="F45" s="22" t="s">
        <v>5259</v>
      </c>
      <c r="G45" s="1" t="s">
        <v>6</v>
      </c>
      <c r="H45" s="1" t="s">
        <v>20</v>
      </c>
      <c r="I45" s="1" t="s">
        <v>25</v>
      </c>
      <c r="J45" s="1" t="s">
        <v>9</v>
      </c>
      <c r="K45" s="1" t="s">
        <v>10</v>
      </c>
      <c r="L45" s="1" t="s">
        <v>10</v>
      </c>
      <c r="M45" s="1" t="s">
        <v>78</v>
      </c>
      <c r="N45" s="14" t="s">
        <v>5229</v>
      </c>
      <c r="O45" s="1" t="s">
        <v>6037</v>
      </c>
      <c r="P45" s="1" t="s">
        <v>247</v>
      </c>
      <c r="Q45" s="1" t="s">
        <v>5304</v>
      </c>
      <c r="R45" s="1" t="s">
        <v>301</v>
      </c>
      <c r="S45" s="8">
        <v>45698</v>
      </c>
      <c r="T45" s="1">
        <v>2</v>
      </c>
      <c r="U45" s="1" t="s">
        <v>302</v>
      </c>
      <c r="V45" s="1" t="s">
        <v>302</v>
      </c>
      <c r="W45" s="1" t="s">
        <v>1388</v>
      </c>
    </row>
    <row r="46" spans="1:23" x14ac:dyDescent="0.25">
      <c r="A46" s="1" t="s">
        <v>48</v>
      </c>
      <c r="B46" s="1" t="s">
        <v>303</v>
      </c>
      <c r="C46" s="1" t="s">
        <v>50</v>
      </c>
      <c r="D46" s="1" t="s">
        <v>304</v>
      </c>
      <c r="E46" s="1" t="s">
        <v>305</v>
      </c>
      <c r="F46" s="22" t="s">
        <v>6085</v>
      </c>
      <c r="G46" s="1" t="s">
        <v>6</v>
      </c>
      <c r="H46" s="1" t="s">
        <v>20</v>
      </c>
      <c r="I46" s="1" t="s">
        <v>26</v>
      </c>
      <c r="J46" s="1" t="s">
        <v>9</v>
      </c>
      <c r="K46" s="1" t="s">
        <v>12</v>
      </c>
      <c r="L46" s="1" t="s">
        <v>12</v>
      </c>
      <c r="M46" s="1" t="s">
        <v>78</v>
      </c>
      <c r="N46" s="1" t="s">
        <v>188</v>
      </c>
      <c r="O46" s="2" t="s">
        <v>6235</v>
      </c>
      <c r="P46" s="1" t="s">
        <v>306</v>
      </c>
      <c r="Q46" s="1" t="s">
        <v>5305</v>
      </c>
      <c r="R46" s="1" t="s">
        <v>307</v>
      </c>
      <c r="S46" s="8">
        <v>45702</v>
      </c>
      <c r="T46" s="1">
        <v>2</v>
      </c>
      <c r="U46" s="1" t="s">
        <v>308</v>
      </c>
      <c r="V46" s="1" t="s">
        <v>309</v>
      </c>
      <c r="W46" s="1" t="s">
        <v>1388</v>
      </c>
    </row>
    <row r="47" spans="1:23" x14ac:dyDescent="0.25">
      <c r="A47" s="1" t="s">
        <v>48</v>
      </c>
      <c r="B47" s="1" t="s">
        <v>310</v>
      </c>
      <c r="C47" s="1" t="s">
        <v>50</v>
      </c>
      <c r="D47" s="1" t="s">
        <v>311</v>
      </c>
      <c r="E47" s="1" t="s">
        <v>312</v>
      </c>
      <c r="F47" s="22" t="s">
        <v>6085</v>
      </c>
      <c r="G47" s="1" t="s">
        <v>6</v>
      </c>
      <c r="H47" s="1" t="s">
        <v>20</v>
      </c>
      <c r="I47" s="1" t="s">
        <v>26</v>
      </c>
      <c r="J47" s="1" t="s">
        <v>9</v>
      </c>
      <c r="K47" s="1" t="s">
        <v>14</v>
      </c>
      <c r="L47" s="1" t="s">
        <v>14</v>
      </c>
      <c r="M47" s="1" t="s">
        <v>53</v>
      </c>
      <c r="N47" s="11" t="s">
        <v>188</v>
      </c>
      <c r="O47" s="1" t="s">
        <v>6037</v>
      </c>
      <c r="P47" s="1" t="s">
        <v>313</v>
      </c>
      <c r="Q47" s="1" t="s">
        <v>5306</v>
      </c>
      <c r="R47" s="1" t="s">
        <v>1672</v>
      </c>
      <c r="S47" s="8">
        <v>45709</v>
      </c>
      <c r="T47" s="1">
        <v>2</v>
      </c>
      <c r="U47" s="1" t="s">
        <v>314</v>
      </c>
      <c r="V47" s="1" t="s">
        <v>315</v>
      </c>
      <c r="W47" s="1" t="s">
        <v>1388</v>
      </c>
    </row>
    <row r="48" spans="1:23" x14ac:dyDescent="0.25">
      <c r="A48" s="1" t="s">
        <v>48</v>
      </c>
      <c r="B48" s="1" t="s">
        <v>316</v>
      </c>
      <c r="C48" s="1" t="s">
        <v>50</v>
      </c>
      <c r="D48" s="1" t="s">
        <v>317</v>
      </c>
      <c r="E48" s="1" t="s">
        <v>318</v>
      </c>
      <c r="F48" s="22" t="s">
        <v>6085</v>
      </c>
      <c r="G48" s="1" t="s">
        <v>6</v>
      </c>
      <c r="H48" s="1" t="s">
        <v>21</v>
      </c>
      <c r="I48" s="1" t="s">
        <v>26</v>
      </c>
      <c r="J48" s="1" t="s">
        <v>9</v>
      </c>
      <c r="K48" s="1" t="s">
        <v>19</v>
      </c>
      <c r="L48" s="1" t="s">
        <v>19</v>
      </c>
      <c r="M48" s="1" t="s">
        <v>78</v>
      </c>
      <c r="N48" s="1" t="s">
        <v>188</v>
      </c>
      <c r="O48" s="1" t="s">
        <v>6037</v>
      </c>
      <c r="P48" s="1" t="s">
        <v>60</v>
      </c>
      <c r="Q48" s="1" t="s">
        <v>4501</v>
      </c>
      <c r="R48" s="1" t="s">
        <v>319</v>
      </c>
      <c r="S48" s="8">
        <v>45698</v>
      </c>
      <c r="T48" s="1">
        <v>2</v>
      </c>
      <c r="U48" s="1" t="s">
        <v>320</v>
      </c>
      <c r="V48" s="1" t="s">
        <v>321</v>
      </c>
      <c r="W48" s="1" t="s">
        <v>1388</v>
      </c>
    </row>
    <row r="49" spans="1:23" x14ac:dyDescent="0.25">
      <c r="A49" s="1" t="s">
        <v>48</v>
      </c>
      <c r="B49" s="1" t="s">
        <v>322</v>
      </c>
      <c r="C49" s="1" t="s">
        <v>50</v>
      </c>
      <c r="D49" s="1" t="s">
        <v>323</v>
      </c>
      <c r="E49" s="1" t="s">
        <v>324</v>
      </c>
      <c r="F49" s="22" t="s">
        <v>6085</v>
      </c>
      <c r="G49" s="1" t="s">
        <v>6</v>
      </c>
      <c r="H49" s="1" t="s">
        <v>20</v>
      </c>
      <c r="I49" s="1" t="s">
        <v>25</v>
      </c>
      <c r="J49" s="1" t="s">
        <v>9</v>
      </c>
      <c r="K49" s="1" t="s">
        <v>13</v>
      </c>
      <c r="L49" s="1" t="s">
        <v>13</v>
      </c>
      <c r="M49" s="1" t="s">
        <v>78</v>
      </c>
      <c r="N49" s="1" t="s">
        <v>188</v>
      </c>
      <c r="O49" s="2" t="s">
        <v>6235</v>
      </c>
      <c r="P49" s="1" t="s">
        <v>199</v>
      </c>
      <c r="Q49" s="1" t="s">
        <v>5307</v>
      </c>
      <c r="R49" s="1" t="s">
        <v>325</v>
      </c>
      <c r="S49" s="8">
        <v>45684</v>
      </c>
      <c r="T49" s="1">
        <v>2</v>
      </c>
      <c r="U49" s="1" t="s">
        <v>326</v>
      </c>
      <c r="V49" s="1" t="s">
        <v>327</v>
      </c>
      <c r="W49" s="1" t="s">
        <v>1388</v>
      </c>
    </row>
    <row r="50" spans="1:23" x14ac:dyDescent="0.25">
      <c r="A50" s="1" t="s">
        <v>48</v>
      </c>
      <c r="B50" s="1" t="s">
        <v>328</v>
      </c>
      <c r="C50" s="1" t="s">
        <v>50</v>
      </c>
      <c r="D50" s="1" t="s">
        <v>329</v>
      </c>
      <c r="E50" s="1" t="s">
        <v>330</v>
      </c>
      <c r="F50" s="22" t="s">
        <v>3</v>
      </c>
      <c r="G50" s="1" t="s">
        <v>6</v>
      </c>
      <c r="H50" s="1" t="s">
        <v>20</v>
      </c>
      <c r="I50" s="1" t="s">
        <v>25</v>
      </c>
      <c r="J50" s="1" t="s">
        <v>9</v>
      </c>
      <c r="K50" s="1" t="s">
        <v>14</v>
      </c>
      <c r="L50" s="1" t="s">
        <v>14</v>
      </c>
      <c r="M50" s="1" t="s">
        <v>78</v>
      </c>
      <c r="N50" s="1" t="s">
        <v>1015</v>
      </c>
      <c r="O50" s="1" t="s">
        <v>6037</v>
      </c>
      <c r="P50" s="1" t="s">
        <v>126</v>
      </c>
      <c r="Q50" s="1" t="s">
        <v>5308</v>
      </c>
      <c r="R50" s="7" t="s">
        <v>331</v>
      </c>
      <c r="S50" s="8">
        <v>45708</v>
      </c>
      <c r="T50" s="1">
        <v>2</v>
      </c>
      <c r="U50" s="1" t="s">
        <v>332</v>
      </c>
      <c r="V50" s="1" t="s">
        <v>333</v>
      </c>
      <c r="W50" s="1" t="s">
        <v>1388</v>
      </c>
    </row>
    <row r="51" spans="1:23" x14ac:dyDescent="0.25">
      <c r="A51" s="1" t="s">
        <v>48</v>
      </c>
      <c r="B51" s="1" t="s">
        <v>334</v>
      </c>
      <c r="C51" s="1" t="s">
        <v>50</v>
      </c>
      <c r="D51" s="1" t="s">
        <v>335</v>
      </c>
      <c r="E51" s="1" t="s">
        <v>336</v>
      </c>
      <c r="F51" s="22" t="s">
        <v>5259</v>
      </c>
      <c r="G51" s="1" t="s">
        <v>6</v>
      </c>
      <c r="H51" s="1" t="s">
        <v>20</v>
      </c>
      <c r="I51" s="1" t="s">
        <v>25</v>
      </c>
      <c r="J51" s="1" t="s">
        <v>9</v>
      </c>
      <c r="K51" s="1" t="s">
        <v>13</v>
      </c>
      <c r="L51" s="1" t="s">
        <v>13</v>
      </c>
      <c r="M51" s="1" t="s">
        <v>78</v>
      </c>
      <c r="N51" s="14" t="s">
        <v>6237</v>
      </c>
      <c r="O51" s="1" t="s">
        <v>6037</v>
      </c>
      <c r="P51" s="1" t="s">
        <v>313</v>
      </c>
      <c r="Q51" s="1" t="s">
        <v>5309</v>
      </c>
      <c r="R51" s="7" t="s">
        <v>337</v>
      </c>
      <c r="S51" s="8">
        <v>45721</v>
      </c>
      <c r="T51" s="1">
        <v>2</v>
      </c>
      <c r="U51" s="1" t="s">
        <v>338</v>
      </c>
      <c r="V51" s="1" t="s">
        <v>339</v>
      </c>
      <c r="W51" s="1" t="s">
        <v>1388</v>
      </c>
    </row>
    <row r="52" spans="1:23" x14ac:dyDescent="0.25">
      <c r="A52" s="1" t="s">
        <v>48</v>
      </c>
      <c r="B52" s="1" t="s">
        <v>340</v>
      </c>
      <c r="C52" s="1" t="s">
        <v>50</v>
      </c>
      <c r="D52" s="1" t="s">
        <v>341</v>
      </c>
      <c r="E52" s="1" t="s">
        <v>342</v>
      </c>
      <c r="F52" s="22" t="s">
        <v>5259</v>
      </c>
      <c r="G52" s="1" t="s">
        <v>6</v>
      </c>
      <c r="H52" s="1" t="s">
        <v>20</v>
      </c>
      <c r="I52" s="1" t="s">
        <v>26</v>
      </c>
      <c r="J52" s="1" t="s">
        <v>9</v>
      </c>
      <c r="K52" s="1" t="s">
        <v>12</v>
      </c>
      <c r="L52" s="1" t="s">
        <v>12</v>
      </c>
      <c r="M52" s="1" t="s">
        <v>78</v>
      </c>
      <c r="N52" s="14" t="s">
        <v>5228</v>
      </c>
      <c r="O52" s="1" t="s">
        <v>6037</v>
      </c>
      <c r="P52" s="1" t="s">
        <v>343</v>
      </c>
      <c r="Q52" s="1" t="s">
        <v>5310</v>
      </c>
      <c r="R52" s="1" t="s">
        <v>344</v>
      </c>
      <c r="S52" s="8">
        <v>45691</v>
      </c>
      <c r="T52" s="1">
        <v>2</v>
      </c>
      <c r="U52" s="1" t="s">
        <v>87</v>
      </c>
      <c r="V52" s="1" t="s">
        <v>87</v>
      </c>
      <c r="W52" s="1" t="s">
        <v>1388</v>
      </c>
    </row>
    <row r="53" spans="1:23" x14ac:dyDescent="0.25">
      <c r="A53" s="1" t="s">
        <v>48</v>
      </c>
      <c r="B53" s="1" t="s">
        <v>345</v>
      </c>
      <c r="C53" s="1" t="s">
        <v>50</v>
      </c>
      <c r="D53" s="1" t="s">
        <v>346</v>
      </c>
      <c r="E53" s="1" t="s">
        <v>347</v>
      </c>
      <c r="F53" s="22" t="s">
        <v>6085</v>
      </c>
      <c r="G53" s="1" t="s">
        <v>6</v>
      </c>
      <c r="H53" s="1" t="s">
        <v>20</v>
      </c>
      <c r="I53" s="1" t="s">
        <v>25</v>
      </c>
      <c r="J53" s="1" t="s">
        <v>9</v>
      </c>
      <c r="K53" s="1" t="s">
        <v>14</v>
      </c>
      <c r="L53" s="1" t="s">
        <v>14</v>
      </c>
      <c r="M53" s="1" t="s">
        <v>78</v>
      </c>
      <c r="N53" s="1" t="s">
        <v>188</v>
      </c>
      <c r="O53" s="2" t="s">
        <v>6235</v>
      </c>
      <c r="P53" s="1" t="s">
        <v>181</v>
      </c>
      <c r="Q53" s="1" t="s">
        <v>5311</v>
      </c>
      <c r="R53" s="1" t="s">
        <v>348</v>
      </c>
      <c r="S53" s="8">
        <v>45670</v>
      </c>
      <c r="T53" s="1">
        <v>2</v>
      </c>
      <c r="U53" s="1" t="s">
        <v>349</v>
      </c>
      <c r="V53" s="1" t="s">
        <v>349</v>
      </c>
      <c r="W53" s="1" t="s">
        <v>1388</v>
      </c>
    </row>
    <row r="54" spans="1:23" x14ac:dyDescent="0.25">
      <c r="A54" s="1" t="s">
        <v>48</v>
      </c>
      <c r="B54" s="1" t="s">
        <v>350</v>
      </c>
      <c r="C54" s="1" t="s">
        <v>50</v>
      </c>
      <c r="D54" s="1" t="s">
        <v>351</v>
      </c>
      <c r="E54" s="1" t="s">
        <v>352</v>
      </c>
      <c r="F54" s="22" t="s">
        <v>5259</v>
      </c>
      <c r="G54" s="1" t="s">
        <v>6</v>
      </c>
      <c r="H54" s="1" t="s">
        <v>20</v>
      </c>
      <c r="I54" s="1" t="s">
        <v>26</v>
      </c>
      <c r="J54" s="1" t="s">
        <v>9</v>
      </c>
      <c r="K54" s="1" t="s">
        <v>13</v>
      </c>
      <c r="L54" s="1" t="s">
        <v>13</v>
      </c>
      <c r="M54" s="1" t="s">
        <v>78</v>
      </c>
      <c r="N54" s="14" t="s">
        <v>5226</v>
      </c>
      <c r="O54" s="1" t="s">
        <v>6037</v>
      </c>
      <c r="P54" s="1" t="s">
        <v>162</v>
      </c>
      <c r="Q54" s="1" t="s">
        <v>5312</v>
      </c>
      <c r="R54" s="1" t="s">
        <v>353</v>
      </c>
      <c r="S54" s="8">
        <v>45717</v>
      </c>
      <c r="T54" s="1">
        <v>2</v>
      </c>
      <c r="U54" s="1" t="s">
        <v>354</v>
      </c>
      <c r="V54" s="1" t="s">
        <v>355</v>
      </c>
      <c r="W54" s="1" t="s">
        <v>1388</v>
      </c>
    </row>
    <row r="55" spans="1:23" x14ac:dyDescent="0.25">
      <c r="A55" s="1" t="s">
        <v>48</v>
      </c>
      <c r="B55" s="1" t="s">
        <v>356</v>
      </c>
      <c r="C55" s="1" t="s">
        <v>50</v>
      </c>
      <c r="D55" s="1" t="s">
        <v>357</v>
      </c>
      <c r="E55" s="1" t="s">
        <v>358</v>
      </c>
      <c r="F55" s="22" t="s">
        <v>6085</v>
      </c>
      <c r="G55" s="1" t="s">
        <v>6</v>
      </c>
      <c r="H55" s="1" t="s">
        <v>20</v>
      </c>
      <c r="I55" s="1" t="s">
        <v>26</v>
      </c>
      <c r="J55" s="1" t="s">
        <v>9</v>
      </c>
      <c r="K55" s="1" t="s">
        <v>16</v>
      </c>
      <c r="L55" s="1" t="s">
        <v>16</v>
      </c>
      <c r="M55" s="1" t="s">
        <v>53</v>
      </c>
      <c r="N55" s="11" t="s">
        <v>188</v>
      </c>
      <c r="O55" s="1" t="s">
        <v>6037</v>
      </c>
      <c r="P55" s="1" t="s">
        <v>126</v>
      </c>
      <c r="Q55" s="1" t="s">
        <v>5313</v>
      </c>
      <c r="R55" s="1" t="s">
        <v>359</v>
      </c>
      <c r="S55" s="8">
        <v>45705</v>
      </c>
      <c r="T55" s="1">
        <v>1</v>
      </c>
      <c r="U55" s="1" t="s">
        <v>360</v>
      </c>
      <c r="V55" s="1" t="s">
        <v>1388</v>
      </c>
      <c r="W55" s="1" t="s">
        <v>1388</v>
      </c>
    </row>
    <row r="56" spans="1:23" x14ac:dyDescent="0.25">
      <c r="A56" s="1" t="s">
        <v>48</v>
      </c>
      <c r="B56" s="1" t="s">
        <v>361</v>
      </c>
      <c r="C56" s="1" t="s">
        <v>50</v>
      </c>
      <c r="D56" s="1" t="s">
        <v>362</v>
      </c>
      <c r="E56" s="1" t="s">
        <v>363</v>
      </c>
      <c r="F56" s="22" t="s">
        <v>5259</v>
      </c>
      <c r="G56" s="1" t="s">
        <v>6</v>
      </c>
      <c r="H56" s="1" t="s">
        <v>20</v>
      </c>
      <c r="I56" s="1" t="s">
        <v>25</v>
      </c>
      <c r="J56" s="1" t="s">
        <v>9</v>
      </c>
      <c r="K56" s="1" t="s">
        <v>16</v>
      </c>
      <c r="L56" s="1" t="s">
        <v>16</v>
      </c>
      <c r="M56" s="1" t="s">
        <v>78</v>
      </c>
      <c r="N56" s="14" t="s">
        <v>5226</v>
      </c>
      <c r="O56" s="1" t="s">
        <v>6037</v>
      </c>
      <c r="P56" s="1" t="s">
        <v>162</v>
      </c>
      <c r="Q56" s="1" t="s">
        <v>5314</v>
      </c>
      <c r="R56" s="1" t="s">
        <v>364</v>
      </c>
      <c r="S56" s="8">
        <v>45698</v>
      </c>
      <c r="T56" s="1">
        <v>2</v>
      </c>
      <c r="U56" s="1" t="s">
        <v>365</v>
      </c>
      <c r="V56" s="1" t="s">
        <v>365</v>
      </c>
      <c r="W56" s="1" t="s">
        <v>1388</v>
      </c>
    </row>
    <row r="57" spans="1:23" x14ac:dyDescent="0.25">
      <c r="A57" s="1" t="s">
        <v>48</v>
      </c>
      <c r="B57" s="1" t="s">
        <v>366</v>
      </c>
      <c r="C57" s="1" t="s">
        <v>50</v>
      </c>
      <c r="D57" s="1" t="s">
        <v>367</v>
      </c>
      <c r="E57" s="1" t="s">
        <v>368</v>
      </c>
      <c r="F57" s="22" t="s">
        <v>6085</v>
      </c>
      <c r="G57" s="1" t="s">
        <v>6</v>
      </c>
      <c r="H57" s="1" t="s">
        <v>20</v>
      </c>
      <c r="I57" s="1" t="s">
        <v>26</v>
      </c>
      <c r="J57" s="1" t="s">
        <v>9</v>
      </c>
      <c r="K57" s="1" t="s">
        <v>18</v>
      </c>
      <c r="L57" s="1" t="s">
        <v>18</v>
      </c>
      <c r="M57" s="1" t="s">
        <v>53</v>
      </c>
      <c r="N57" s="11" t="s">
        <v>188</v>
      </c>
      <c r="O57" s="1" t="s">
        <v>6037</v>
      </c>
      <c r="P57" s="1" t="s">
        <v>369</v>
      </c>
      <c r="Q57" s="1" t="s">
        <v>5315</v>
      </c>
      <c r="R57" s="19" t="s">
        <v>370</v>
      </c>
      <c r="S57" s="8">
        <v>45689</v>
      </c>
      <c r="T57" s="1">
        <v>2</v>
      </c>
      <c r="U57" s="1" t="s">
        <v>170</v>
      </c>
      <c r="V57" s="1" t="s">
        <v>170</v>
      </c>
      <c r="W57" s="1" t="s">
        <v>1388</v>
      </c>
    </row>
    <row r="58" spans="1:23" x14ac:dyDescent="0.25">
      <c r="A58" s="1" t="s">
        <v>48</v>
      </c>
      <c r="B58" s="1" t="s">
        <v>371</v>
      </c>
      <c r="C58" s="1" t="s">
        <v>50</v>
      </c>
      <c r="D58" s="1" t="s">
        <v>372</v>
      </c>
      <c r="E58" s="1" t="s">
        <v>373</v>
      </c>
      <c r="F58" s="22" t="s">
        <v>3</v>
      </c>
      <c r="G58" s="1" t="s">
        <v>6</v>
      </c>
      <c r="H58" s="1" t="s">
        <v>24</v>
      </c>
      <c r="I58" s="1" t="s">
        <v>26</v>
      </c>
      <c r="J58" s="1" t="s">
        <v>9</v>
      </c>
      <c r="K58" s="1" t="s">
        <v>13</v>
      </c>
      <c r="L58" s="1" t="s">
        <v>13</v>
      </c>
      <c r="M58" s="1" t="s">
        <v>53</v>
      </c>
      <c r="N58" s="11" t="s">
        <v>188</v>
      </c>
      <c r="O58" s="1" t="s">
        <v>6235</v>
      </c>
      <c r="P58" s="1" t="s">
        <v>126</v>
      </c>
      <c r="Q58" s="1" t="s">
        <v>5316</v>
      </c>
      <c r="R58" s="7" t="s">
        <v>1673</v>
      </c>
      <c r="S58" s="8">
        <v>45691</v>
      </c>
      <c r="T58" s="1">
        <v>1</v>
      </c>
      <c r="U58" s="1" t="s">
        <v>1674</v>
      </c>
      <c r="V58" s="1" t="s">
        <v>1388</v>
      </c>
      <c r="W58" s="1" t="s">
        <v>1388</v>
      </c>
    </row>
    <row r="59" spans="1:23" x14ac:dyDescent="0.25">
      <c r="A59" s="1" t="s">
        <v>48</v>
      </c>
      <c r="B59" s="1" t="s">
        <v>374</v>
      </c>
      <c r="C59" s="1" t="s">
        <v>50</v>
      </c>
      <c r="D59" s="1" t="s">
        <v>375</v>
      </c>
      <c r="E59" s="1" t="s">
        <v>376</v>
      </c>
      <c r="F59" s="22" t="s">
        <v>6085</v>
      </c>
      <c r="G59" s="1" t="s">
        <v>6</v>
      </c>
      <c r="H59" s="1" t="s">
        <v>24</v>
      </c>
      <c r="I59" s="1" t="s">
        <v>25</v>
      </c>
      <c r="J59" s="1" t="s">
        <v>9</v>
      </c>
      <c r="K59" s="1" t="s">
        <v>14</v>
      </c>
      <c r="L59" s="1" t="s">
        <v>14</v>
      </c>
      <c r="M59" s="1" t="s">
        <v>53</v>
      </c>
      <c r="N59" s="11" t="s">
        <v>188</v>
      </c>
      <c r="O59" s="1" t="s">
        <v>6235</v>
      </c>
      <c r="P59" s="1" t="s">
        <v>377</v>
      </c>
      <c r="Q59" s="1" t="s">
        <v>5317</v>
      </c>
      <c r="R59" s="1" t="s">
        <v>378</v>
      </c>
      <c r="S59" s="8">
        <v>45741</v>
      </c>
      <c r="T59" s="1">
        <v>1</v>
      </c>
      <c r="U59" s="1" t="s">
        <v>379</v>
      </c>
      <c r="V59" s="1" t="s">
        <v>1388</v>
      </c>
      <c r="W59" s="1" t="s">
        <v>1388</v>
      </c>
    </row>
    <row r="60" spans="1:23" x14ac:dyDescent="0.25">
      <c r="A60" s="1" t="s">
        <v>48</v>
      </c>
      <c r="B60" s="1" t="s">
        <v>380</v>
      </c>
      <c r="C60" s="1" t="s">
        <v>50</v>
      </c>
      <c r="D60" s="1" t="s">
        <v>381</v>
      </c>
      <c r="E60" s="1" t="s">
        <v>382</v>
      </c>
      <c r="F60" s="22" t="s">
        <v>6085</v>
      </c>
      <c r="G60" s="1" t="s">
        <v>6</v>
      </c>
      <c r="H60" s="1" t="s">
        <v>20</v>
      </c>
      <c r="I60" s="1" t="s">
        <v>26</v>
      </c>
      <c r="J60" s="1" t="s">
        <v>9</v>
      </c>
      <c r="K60" s="1" t="s">
        <v>19</v>
      </c>
      <c r="L60" s="1" t="s">
        <v>19</v>
      </c>
      <c r="M60" s="1" t="s">
        <v>53</v>
      </c>
      <c r="N60" s="11" t="s">
        <v>188</v>
      </c>
      <c r="O60" s="1" t="s">
        <v>6235</v>
      </c>
      <c r="P60" s="1" t="s">
        <v>383</v>
      </c>
      <c r="Q60" s="1" t="s">
        <v>5318</v>
      </c>
      <c r="R60" s="1" t="s">
        <v>384</v>
      </c>
      <c r="S60" s="8">
        <v>45743</v>
      </c>
      <c r="T60" s="1">
        <v>2</v>
      </c>
      <c r="U60" s="1" t="s">
        <v>385</v>
      </c>
      <c r="V60" s="1" t="s">
        <v>386</v>
      </c>
      <c r="W60" s="1" t="s">
        <v>1388</v>
      </c>
    </row>
    <row r="61" spans="1:23" x14ac:dyDescent="0.25">
      <c r="A61" s="1" t="s">
        <v>48</v>
      </c>
      <c r="B61" s="1" t="s">
        <v>387</v>
      </c>
      <c r="C61" s="1" t="s">
        <v>50</v>
      </c>
      <c r="D61" s="1" t="s">
        <v>388</v>
      </c>
      <c r="E61" s="1" t="s">
        <v>389</v>
      </c>
      <c r="F61" s="22" t="s">
        <v>6085</v>
      </c>
      <c r="G61" s="1" t="s">
        <v>6</v>
      </c>
      <c r="H61" s="1" t="s">
        <v>20</v>
      </c>
      <c r="I61" s="1" t="s">
        <v>26</v>
      </c>
      <c r="J61" s="1" t="s">
        <v>9</v>
      </c>
      <c r="K61" s="1" t="s">
        <v>13</v>
      </c>
      <c r="L61" s="1" t="s">
        <v>13</v>
      </c>
      <c r="M61" s="1" t="s">
        <v>53</v>
      </c>
      <c r="N61" s="11" t="s">
        <v>188</v>
      </c>
      <c r="O61" s="1" t="s">
        <v>6037</v>
      </c>
      <c r="P61" s="1" t="s">
        <v>247</v>
      </c>
      <c r="Q61" s="1" t="s">
        <v>5319</v>
      </c>
      <c r="R61" s="1" t="s">
        <v>390</v>
      </c>
      <c r="S61" s="8">
        <v>45679</v>
      </c>
      <c r="T61" s="1">
        <v>1</v>
      </c>
      <c r="U61" s="1" t="s">
        <v>391</v>
      </c>
      <c r="V61" s="1" t="s">
        <v>1388</v>
      </c>
      <c r="W61" s="1" t="s">
        <v>1388</v>
      </c>
    </row>
    <row r="62" spans="1:23" x14ac:dyDescent="0.25">
      <c r="A62" s="1" t="s">
        <v>48</v>
      </c>
      <c r="B62" s="1" t="s">
        <v>392</v>
      </c>
      <c r="C62" s="1" t="s">
        <v>50</v>
      </c>
      <c r="D62" s="1" t="s">
        <v>393</v>
      </c>
      <c r="E62" s="1" t="s">
        <v>394</v>
      </c>
      <c r="F62" s="22" t="s">
        <v>5259</v>
      </c>
      <c r="G62" s="1" t="s">
        <v>6</v>
      </c>
      <c r="H62" s="1" t="s">
        <v>20</v>
      </c>
      <c r="I62" s="1" t="s">
        <v>25</v>
      </c>
      <c r="J62" s="1" t="s">
        <v>9</v>
      </c>
      <c r="K62" s="1" t="s">
        <v>14</v>
      </c>
      <c r="L62" s="1" t="s">
        <v>14</v>
      </c>
      <c r="M62" s="1" t="s">
        <v>78</v>
      </c>
      <c r="N62" s="14" t="s">
        <v>5226</v>
      </c>
      <c r="O62" s="1" t="s">
        <v>6037</v>
      </c>
      <c r="P62" s="1" t="s">
        <v>247</v>
      </c>
      <c r="Q62" s="1" t="s">
        <v>5320</v>
      </c>
      <c r="R62" s="1" t="s">
        <v>395</v>
      </c>
      <c r="S62" s="8">
        <v>45698</v>
      </c>
      <c r="T62" s="1">
        <v>2</v>
      </c>
      <c r="U62" s="1" t="s">
        <v>396</v>
      </c>
      <c r="V62" s="1" t="s">
        <v>397</v>
      </c>
      <c r="W62" s="1" t="s">
        <v>1388</v>
      </c>
    </row>
    <row r="63" spans="1:23" x14ac:dyDescent="0.25">
      <c r="A63" s="1" t="s">
        <v>48</v>
      </c>
      <c r="B63" s="1" t="s">
        <v>398</v>
      </c>
      <c r="C63" s="1" t="s">
        <v>50</v>
      </c>
      <c r="D63" s="1" t="s">
        <v>399</v>
      </c>
      <c r="E63" s="1" t="s">
        <v>400</v>
      </c>
      <c r="F63" s="22" t="s">
        <v>6085</v>
      </c>
      <c r="G63" s="1" t="s">
        <v>6</v>
      </c>
      <c r="H63" s="1" t="s">
        <v>20</v>
      </c>
      <c r="I63" s="1" t="s">
        <v>26</v>
      </c>
      <c r="J63" s="1" t="s">
        <v>9</v>
      </c>
      <c r="K63" s="1" t="s">
        <v>13</v>
      </c>
      <c r="L63" s="1" t="s">
        <v>13</v>
      </c>
      <c r="M63" s="1" t="s">
        <v>53</v>
      </c>
      <c r="N63" s="11" t="s">
        <v>188</v>
      </c>
      <c r="O63" s="1" t="s">
        <v>6235</v>
      </c>
      <c r="P63" s="1" t="s">
        <v>401</v>
      </c>
      <c r="Q63" s="1" t="s">
        <v>5321</v>
      </c>
      <c r="R63" s="1" t="s">
        <v>402</v>
      </c>
      <c r="S63" s="8">
        <v>45677</v>
      </c>
      <c r="T63" s="1">
        <v>2</v>
      </c>
      <c r="U63" s="1" t="s">
        <v>403</v>
      </c>
      <c r="V63" s="1" t="s">
        <v>404</v>
      </c>
      <c r="W63" s="1" t="s">
        <v>1388</v>
      </c>
    </row>
    <row r="64" spans="1:23" x14ac:dyDescent="0.25">
      <c r="A64" s="1" t="s">
        <v>48</v>
      </c>
      <c r="B64" s="1" t="s">
        <v>405</v>
      </c>
      <c r="C64" s="1" t="s">
        <v>50</v>
      </c>
      <c r="D64" s="1" t="s">
        <v>406</v>
      </c>
      <c r="E64" s="1" t="s">
        <v>407</v>
      </c>
      <c r="F64" s="22" t="s">
        <v>5259</v>
      </c>
      <c r="G64" s="1" t="s">
        <v>6</v>
      </c>
      <c r="H64" s="1" t="s">
        <v>20</v>
      </c>
      <c r="I64" s="1" t="s">
        <v>26</v>
      </c>
      <c r="J64" s="1" t="s">
        <v>9</v>
      </c>
      <c r="K64" s="1" t="s">
        <v>10</v>
      </c>
      <c r="L64" s="1" t="s">
        <v>10</v>
      </c>
      <c r="M64" s="1" t="s">
        <v>78</v>
      </c>
      <c r="N64" s="14" t="s">
        <v>5226</v>
      </c>
      <c r="O64" s="1" t="s">
        <v>6037</v>
      </c>
      <c r="P64" s="1" t="s">
        <v>408</v>
      </c>
      <c r="Q64" s="1" t="s">
        <v>5322</v>
      </c>
      <c r="R64" s="1" t="s">
        <v>409</v>
      </c>
      <c r="S64" s="8">
        <v>45730</v>
      </c>
      <c r="T64" s="1">
        <v>2</v>
      </c>
      <c r="U64" s="1" t="s">
        <v>410</v>
      </c>
      <c r="V64" s="1" t="s">
        <v>411</v>
      </c>
      <c r="W64" s="1" t="s">
        <v>1388</v>
      </c>
    </row>
    <row r="65" spans="1:23" x14ac:dyDescent="0.25">
      <c r="A65" s="1" t="s">
        <v>48</v>
      </c>
      <c r="B65" s="1" t="s">
        <v>412</v>
      </c>
      <c r="C65" s="1" t="s">
        <v>50</v>
      </c>
      <c r="D65" s="1" t="s">
        <v>413</v>
      </c>
      <c r="E65" s="1" t="s">
        <v>414</v>
      </c>
      <c r="F65" s="22" t="s">
        <v>6085</v>
      </c>
      <c r="G65" s="1" t="s">
        <v>6</v>
      </c>
      <c r="H65" s="1" t="s">
        <v>20</v>
      </c>
      <c r="I65" s="1" t="s">
        <v>25</v>
      </c>
      <c r="J65" s="1" t="s">
        <v>9</v>
      </c>
      <c r="K65" s="1" t="s">
        <v>16</v>
      </c>
      <c r="L65" s="1" t="s">
        <v>16</v>
      </c>
      <c r="M65" s="1" t="s">
        <v>53</v>
      </c>
      <c r="N65" s="1" t="s">
        <v>1011</v>
      </c>
      <c r="O65" s="1" t="s">
        <v>6235</v>
      </c>
      <c r="P65" s="1" t="s">
        <v>415</v>
      </c>
      <c r="Q65" s="1" t="s">
        <v>5323</v>
      </c>
      <c r="R65" s="1" t="s">
        <v>416</v>
      </c>
      <c r="S65" s="8">
        <v>45733</v>
      </c>
      <c r="T65" s="1">
        <v>1</v>
      </c>
      <c r="U65" s="1" t="s">
        <v>417</v>
      </c>
      <c r="V65" s="1" t="s">
        <v>417</v>
      </c>
      <c r="W65" s="1" t="s">
        <v>1388</v>
      </c>
    </row>
    <row r="66" spans="1:23" x14ac:dyDescent="0.25">
      <c r="A66" s="1" t="s">
        <v>48</v>
      </c>
      <c r="B66" s="1" t="s">
        <v>418</v>
      </c>
      <c r="C66" s="1" t="s">
        <v>50</v>
      </c>
      <c r="D66" s="1" t="s">
        <v>419</v>
      </c>
      <c r="E66" s="1" t="s">
        <v>420</v>
      </c>
      <c r="F66" s="22" t="s">
        <v>6085</v>
      </c>
      <c r="G66" s="1" t="s">
        <v>6</v>
      </c>
      <c r="H66" s="1" t="s">
        <v>20</v>
      </c>
      <c r="I66" s="1" t="s">
        <v>26</v>
      </c>
      <c r="J66" s="1" t="s">
        <v>9</v>
      </c>
      <c r="K66" s="1" t="s">
        <v>16</v>
      </c>
      <c r="L66" s="1" t="s">
        <v>16</v>
      </c>
      <c r="M66" s="1" t="s">
        <v>78</v>
      </c>
      <c r="N66" s="1" t="s">
        <v>188</v>
      </c>
      <c r="O66" s="2" t="s">
        <v>6235</v>
      </c>
      <c r="P66" s="1" t="s">
        <v>421</v>
      </c>
      <c r="Q66" s="1" t="s">
        <v>5324</v>
      </c>
      <c r="R66" s="1" t="s">
        <v>422</v>
      </c>
      <c r="S66" s="8">
        <v>45698</v>
      </c>
      <c r="T66" s="1">
        <v>2</v>
      </c>
      <c r="U66" s="1" t="s">
        <v>423</v>
      </c>
      <c r="V66" s="1" t="s">
        <v>424</v>
      </c>
      <c r="W66" s="1" t="s">
        <v>1388</v>
      </c>
    </row>
    <row r="67" spans="1:23" x14ac:dyDescent="0.25">
      <c r="A67" s="1" t="s">
        <v>48</v>
      </c>
      <c r="B67" s="1" t="s">
        <v>425</v>
      </c>
      <c r="C67" s="1" t="s">
        <v>50</v>
      </c>
      <c r="D67" s="1" t="s">
        <v>426</v>
      </c>
      <c r="E67" s="1" t="s">
        <v>427</v>
      </c>
      <c r="F67" s="22" t="s">
        <v>5259</v>
      </c>
      <c r="G67" s="1" t="s">
        <v>6</v>
      </c>
      <c r="H67" s="1" t="s">
        <v>20</v>
      </c>
      <c r="I67" s="1" t="s">
        <v>26</v>
      </c>
      <c r="J67" s="1" t="s">
        <v>9</v>
      </c>
      <c r="K67" s="1" t="s">
        <v>12</v>
      </c>
      <c r="L67" s="1" t="s">
        <v>12</v>
      </c>
      <c r="M67" s="1" t="s">
        <v>78</v>
      </c>
      <c r="N67" s="14" t="s">
        <v>5226</v>
      </c>
      <c r="O67" s="1" t="s">
        <v>6037</v>
      </c>
      <c r="P67" s="1" t="s">
        <v>1675</v>
      </c>
      <c r="Q67" s="1" t="s">
        <v>5325</v>
      </c>
      <c r="R67" s="1" t="s">
        <v>157</v>
      </c>
      <c r="S67" s="8">
        <v>45658</v>
      </c>
      <c r="T67" s="1">
        <v>2</v>
      </c>
      <c r="U67" s="1" t="s">
        <v>209</v>
      </c>
      <c r="V67" s="1" t="s">
        <v>209</v>
      </c>
      <c r="W67" s="1" t="s">
        <v>1388</v>
      </c>
    </row>
    <row r="68" spans="1:23" x14ac:dyDescent="0.25">
      <c r="A68" s="1" t="s">
        <v>48</v>
      </c>
      <c r="B68" s="1" t="s">
        <v>428</v>
      </c>
      <c r="C68" s="1" t="s">
        <v>50</v>
      </c>
      <c r="D68" s="1" t="s">
        <v>429</v>
      </c>
      <c r="E68" s="1" t="s">
        <v>430</v>
      </c>
      <c r="F68" s="22" t="s">
        <v>3</v>
      </c>
      <c r="G68" s="1" t="s">
        <v>6</v>
      </c>
      <c r="H68" s="1" t="s">
        <v>20</v>
      </c>
      <c r="I68" s="1" t="s">
        <v>26</v>
      </c>
      <c r="J68" s="1" t="s">
        <v>9</v>
      </c>
      <c r="K68" s="1" t="s">
        <v>19</v>
      </c>
      <c r="L68" s="1" t="s">
        <v>19</v>
      </c>
      <c r="M68" s="1" t="s">
        <v>78</v>
      </c>
      <c r="N68" s="1" t="s">
        <v>5244</v>
      </c>
      <c r="O68" s="1" t="s">
        <v>6235</v>
      </c>
      <c r="P68" s="1" t="s">
        <v>60</v>
      </c>
      <c r="Q68" s="1" t="s">
        <v>5326</v>
      </c>
      <c r="R68" s="7" t="s">
        <v>431</v>
      </c>
      <c r="S68" s="8">
        <v>45674</v>
      </c>
      <c r="T68" s="1">
        <v>2</v>
      </c>
      <c r="U68" s="1" t="s">
        <v>432</v>
      </c>
      <c r="V68" s="1" t="s">
        <v>433</v>
      </c>
      <c r="W68" s="1" t="s">
        <v>1388</v>
      </c>
    </row>
    <row r="69" spans="1:23" x14ac:dyDescent="0.25">
      <c r="A69" s="1" t="s">
        <v>48</v>
      </c>
      <c r="B69" s="1" t="s">
        <v>434</v>
      </c>
      <c r="C69" s="1" t="s">
        <v>50</v>
      </c>
      <c r="D69" s="1" t="s">
        <v>435</v>
      </c>
      <c r="E69" s="1" t="s">
        <v>436</v>
      </c>
      <c r="F69" s="22" t="s">
        <v>3</v>
      </c>
      <c r="G69" s="1" t="s">
        <v>5</v>
      </c>
      <c r="H69" s="1" t="s">
        <v>20</v>
      </c>
      <c r="I69" s="1" t="s">
        <v>26</v>
      </c>
      <c r="J69" s="1" t="s">
        <v>9</v>
      </c>
      <c r="K69" s="1" t="s">
        <v>14</v>
      </c>
      <c r="L69" s="1" t="s">
        <v>14</v>
      </c>
      <c r="M69" s="1" t="s">
        <v>78</v>
      </c>
      <c r="N69" s="11" t="s">
        <v>188</v>
      </c>
      <c r="O69" s="1" t="s">
        <v>6235</v>
      </c>
      <c r="P69" s="1" t="s">
        <v>437</v>
      </c>
      <c r="Q69" s="1" t="s">
        <v>5327</v>
      </c>
      <c r="R69" s="7" t="s">
        <v>438</v>
      </c>
      <c r="S69" s="8">
        <v>46063</v>
      </c>
      <c r="T69" s="1">
        <v>2</v>
      </c>
      <c r="U69" s="1" t="s">
        <v>396</v>
      </c>
      <c r="V69" s="1" t="s">
        <v>439</v>
      </c>
      <c r="W69" s="1" t="s">
        <v>1388</v>
      </c>
    </row>
    <row r="70" spans="1:23" x14ac:dyDescent="0.25">
      <c r="A70" s="1" t="s">
        <v>48</v>
      </c>
      <c r="B70" s="1" t="s">
        <v>440</v>
      </c>
      <c r="C70" s="1" t="s">
        <v>50</v>
      </c>
      <c r="D70" s="1" t="s">
        <v>441</v>
      </c>
      <c r="E70" s="1" t="s">
        <v>442</v>
      </c>
      <c r="F70" s="22" t="s">
        <v>5259</v>
      </c>
      <c r="G70" s="1" t="s">
        <v>6</v>
      </c>
      <c r="H70" s="1" t="s">
        <v>21</v>
      </c>
      <c r="I70" s="1" t="s">
        <v>25</v>
      </c>
      <c r="J70" s="1" t="s">
        <v>9</v>
      </c>
      <c r="K70" s="1" t="s">
        <v>17</v>
      </c>
      <c r="L70" s="1" t="s">
        <v>17</v>
      </c>
      <c r="M70" s="1" t="s">
        <v>78</v>
      </c>
      <c r="N70" s="14" t="s">
        <v>5229</v>
      </c>
      <c r="O70" s="1" t="s">
        <v>6037</v>
      </c>
      <c r="P70" s="1" t="s">
        <v>139</v>
      </c>
      <c r="Q70" s="1" t="s">
        <v>5328</v>
      </c>
      <c r="R70" s="1" t="s">
        <v>443</v>
      </c>
      <c r="S70" s="8">
        <v>45670</v>
      </c>
      <c r="T70" s="1">
        <v>2</v>
      </c>
      <c r="U70" s="1" t="s">
        <v>444</v>
      </c>
      <c r="V70" s="1" t="s">
        <v>444</v>
      </c>
      <c r="W70" s="1" t="s">
        <v>1388</v>
      </c>
    </row>
    <row r="71" spans="1:23" x14ac:dyDescent="0.25">
      <c r="A71" s="1" t="s">
        <v>48</v>
      </c>
      <c r="B71" s="1" t="s">
        <v>445</v>
      </c>
      <c r="C71" s="1" t="s">
        <v>50</v>
      </c>
      <c r="D71" s="1" t="s">
        <v>446</v>
      </c>
      <c r="E71" s="1" t="s">
        <v>447</v>
      </c>
      <c r="F71" s="22" t="s">
        <v>6085</v>
      </c>
      <c r="G71" s="1" t="s">
        <v>6</v>
      </c>
      <c r="H71" s="1" t="s">
        <v>20</v>
      </c>
      <c r="I71" s="1" t="s">
        <v>27</v>
      </c>
      <c r="J71" s="1" t="s">
        <v>9</v>
      </c>
      <c r="K71" s="1" t="s">
        <v>13</v>
      </c>
      <c r="L71" s="1" t="s">
        <v>13</v>
      </c>
      <c r="M71" s="1" t="s">
        <v>53</v>
      </c>
      <c r="N71" s="11" t="s">
        <v>188</v>
      </c>
      <c r="O71" s="1" t="s">
        <v>6037</v>
      </c>
      <c r="P71" s="1" t="s">
        <v>60</v>
      </c>
      <c r="Q71" s="1" t="s">
        <v>5329</v>
      </c>
      <c r="R71" s="1" t="s">
        <v>448</v>
      </c>
      <c r="S71" s="8">
        <v>45716</v>
      </c>
      <c r="T71" s="1">
        <v>2</v>
      </c>
      <c r="U71" s="1" t="s">
        <v>201</v>
      </c>
      <c r="V71" s="1" t="s">
        <v>201</v>
      </c>
      <c r="W71" s="1" t="s">
        <v>1388</v>
      </c>
    </row>
    <row r="72" spans="1:23" x14ac:dyDescent="0.25">
      <c r="A72" s="1" t="s">
        <v>48</v>
      </c>
      <c r="B72" s="1" t="s">
        <v>449</v>
      </c>
      <c r="C72" s="1" t="s">
        <v>50</v>
      </c>
      <c r="D72" s="1" t="s">
        <v>450</v>
      </c>
      <c r="E72" s="1" t="s">
        <v>451</v>
      </c>
      <c r="F72" s="22" t="s">
        <v>6085</v>
      </c>
      <c r="G72" s="1" t="s">
        <v>6</v>
      </c>
      <c r="H72" s="1" t="s">
        <v>20</v>
      </c>
      <c r="I72" s="1" t="s">
        <v>26</v>
      </c>
      <c r="J72" s="1" t="s">
        <v>9</v>
      </c>
      <c r="K72" s="1" t="s">
        <v>13</v>
      </c>
      <c r="L72" s="1" t="s">
        <v>13</v>
      </c>
      <c r="M72" s="1" t="s">
        <v>53</v>
      </c>
      <c r="N72" s="11" t="s">
        <v>188</v>
      </c>
      <c r="O72" s="2" t="s">
        <v>6235</v>
      </c>
      <c r="P72" s="1" t="s">
        <v>452</v>
      </c>
      <c r="Q72" s="1" t="s">
        <v>5330</v>
      </c>
      <c r="R72" s="1" t="s">
        <v>1676</v>
      </c>
      <c r="S72" s="8">
        <v>46023</v>
      </c>
      <c r="T72" s="1">
        <v>1</v>
      </c>
      <c r="U72" s="1" t="s">
        <v>453</v>
      </c>
      <c r="V72" s="1" t="s">
        <v>454</v>
      </c>
      <c r="W72" s="1" t="s">
        <v>1388</v>
      </c>
    </row>
    <row r="73" spans="1:23" x14ac:dyDescent="0.25">
      <c r="A73" s="1" t="s">
        <v>48</v>
      </c>
      <c r="B73" s="1" t="s">
        <v>455</v>
      </c>
      <c r="C73" s="1" t="s">
        <v>50</v>
      </c>
      <c r="D73" s="1" t="s">
        <v>456</v>
      </c>
      <c r="E73" s="1" t="s">
        <v>457</v>
      </c>
      <c r="F73" s="22" t="s">
        <v>3</v>
      </c>
      <c r="G73" s="1" t="s">
        <v>6</v>
      </c>
      <c r="H73" s="1" t="s">
        <v>20</v>
      </c>
      <c r="I73" s="1" t="s">
        <v>26</v>
      </c>
      <c r="J73" s="1" t="s">
        <v>9</v>
      </c>
      <c r="K73" s="1" t="s">
        <v>14</v>
      </c>
      <c r="L73" s="1" t="s">
        <v>14</v>
      </c>
      <c r="M73" s="1" t="s">
        <v>78</v>
      </c>
      <c r="N73" s="1" t="s">
        <v>1015</v>
      </c>
      <c r="O73" s="1" t="s">
        <v>6235</v>
      </c>
      <c r="P73" s="1" t="s">
        <v>458</v>
      </c>
      <c r="Q73" s="1" t="s">
        <v>5331</v>
      </c>
      <c r="R73" s="7" t="s">
        <v>459</v>
      </c>
      <c r="S73" s="8">
        <v>45705</v>
      </c>
      <c r="T73" s="1">
        <v>2</v>
      </c>
      <c r="U73" s="1" t="s">
        <v>460</v>
      </c>
      <c r="V73" s="1" t="s">
        <v>460</v>
      </c>
      <c r="W73" s="1" t="s">
        <v>1388</v>
      </c>
    </row>
    <row r="74" spans="1:23" x14ac:dyDescent="0.25">
      <c r="A74" s="1" t="s">
        <v>48</v>
      </c>
      <c r="B74" s="1" t="s">
        <v>461</v>
      </c>
      <c r="C74" s="1" t="s">
        <v>50</v>
      </c>
      <c r="D74" s="1" t="s">
        <v>462</v>
      </c>
      <c r="E74" s="1" t="s">
        <v>463</v>
      </c>
      <c r="F74" s="22" t="s">
        <v>6085</v>
      </c>
      <c r="G74" s="1" t="s">
        <v>6</v>
      </c>
      <c r="H74" s="1" t="s">
        <v>20</v>
      </c>
      <c r="I74" s="1" t="s">
        <v>26</v>
      </c>
      <c r="J74" s="1" t="s">
        <v>9</v>
      </c>
      <c r="K74" s="1" t="s">
        <v>16</v>
      </c>
      <c r="L74" s="1" t="s">
        <v>16</v>
      </c>
      <c r="M74" s="1" t="s">
        <v>53</v>
      </c>
      <c r="N74" s="11" t="s">
        <v>188</v>
      </c>
      <c r="O74" s="1" t="s">
        <v>6235</v>
      </c>
      <c r="P74" s="1" t="s">
        <v>181</v>
      </c>
      <c r="Q74" s="1" t="s">
        <v>5332</v>
      </c>
      <c r="R74" s="1" t="s">
        <v>464</v>
      </c>
      <c r="S74" s="8">
        <v>45684</v>
      </c>
      <c r="T74" s="1">
        <v>2</v>
      </c>
      <c r="U74" s="1" t="s">
        <v>465</v>
      </c>
      <c r="V74" s="1" t="s">
        <v>466</v>
      </c>
      <c r="W74" s="1" t="s">
        <v>1388</v>
      </c>
    </row>
    <row r="75" spans="1:23" x14ac:dyDescent="0.25">
      <c r="A75" s="1" t="s">
        <v>48</v>
      </c>
      <c r="B75" s="1" t="s">
        <v>467</v>
      </c>
      <c r="C75" s="1" t="s">
        <v>50</v>
      </c>
      <c r="D75" s="1" t="s">
        <v>468</v>
      </c>
      <c r="E75" s="1" t="s">
        <v>469</v>
      </c>
      <c r="F75" s="22" t="s">
        <v>6085</v>
      </c>
      <c r="G75" s="1" t="s">
        <v>6</v>
      </c>
      <c r="H75" s="1" t="s">
        <v>20</v>
      </c>
      <c r="I75" s="1" t="s">
        <v>26</v>
      </c>
      <c r="J75" s="1" t="s">
        <v>9</v>
      </c>
      <c r="K75" s="1" t="s">
        <v>16</v>
      </c>
      <c r="L75" s="1" t="s">
        <v>16</v>
      </c>
      <c r="M75" s="1" t="s">
        <v>53</v>
      </c>
      <c r="N75" s="11" t="s">
        <v>188</v>
      </c>
      <c r="O75" s="1" t="s">
        <v>6037</v>
      </c>
      <c r="P75" s="1" t="s">
        <v>175</v>
      </c>
      <c r="Q75" s="1" t="s">
        <v>5333</v>
      </c>
      <c r="R75" s="1" t="s">
        <v>470</v>
      </c>
      <c r="S75" s="8">
        <v>45722</v>
      </c>
      <c r="T75" s="1">
        <v>1</v>
      </c>
      <c r="U75" s="1" t="s">
        <v>471</v>
      </c>
      <c r="V75" s="1" t="s">
        <v>1388</v>
      </c>
      <c r="W75" s="1" t="s">
        <v>1388</v>
      </c>
    </row>
    <row r="76" spans="1:23" x14ac:dyDescent="0.25">
      <c r="A76" s="1" t="s">
        <v>48</v>
      </c>
      <c r="B76" s="1" t="s">
        <v>472</v>
      </c>
      <c r="C76" s="1" t="s">
        <v>50</v>
      </c>
      <c r="D76" s="1" t="s">
        <v>473</v>
      </c>
      <c r="E76" s="1" t="s">
        <v>474</v>
      </c>
      <c r="F76" s="22" t="s">
        <v>6085</v>
      </c>
      <c r="G76" s="1" t="s">
        <v>6</v>
      </c>
      <c r="H76" s="1" t="s">
        <v>20</v>
      </c>
      <c r="I76" s="1" t="s">
        <v>26</v>
      </c>
      <c r="J76" s="1" t="s">
        <v>9</v>
      </c>
      <c r="K76" s="1" t="s">
        <v>13</v>
      </c>
      <c r="L76" s="1" t="s">
        <v>13</v>
      </c>
      <c r="M76" s="1" t="s">
        <v>53</v>
      </c>
      <c r="N76" s="11" t="s">
        <v>188</v>
      </c>
      <c r="O76" s="1" t="s">
        <v>6037</v>
      </c>
      <c r="P76" s="1" t="s">
        <v>247</v>
      </c>
      <c r="Q76" s="1" t="s">
        <v>5334</v>
      </c>
      <c r="R76" s="1" t="s">
        <v>475</v>
      </c>
      <c r="S76" s="8">
        <v>45699</v>
      </c>
      <c r="T76" s="1">
        <v>2</v>
      </c>
      <c r="U76" s="1" t="s">
        <v>476</v>
      </c>
      <c r="V76" s="1" t="s">
        <v>432</v>
      </c>
      <c r="W76" s="1" t="s">
        <v>1388</v>
      </c>
    </row>
    <row r="77" spans="1:23" x14ac:dyDescent="0.25">
      <c r="A77" s="1" t="s">
        <v>48</v>
      </c>
      <c r="B77" s="1" t="s">
        <v>477</v>
      </c>
      <c r="C77" s="1" t="s">
        <v>50</v>
      </c>
      <c r="D77" s="1" t="s">
        <v>478</v>
      </c>
      <c r="E77" s="1" t="s">
        <v>479</v>
      </c>
      <c r="F77" s="22" t="s">
        <v>5259</v>
      </c>
      <c r="G77" s="1" t="s">
        <v>6</v>
      </c>
      <c r="H77" s="1" t="s">
        <v>20</v>
      </c>
      <c r="I77" s="1" t="s">
        <v>25</v>
      </c>
      <c r="J77" s="1" t="s">
        <v>9</v>
      </c>
      <c r="K77" s="1" t="s">
        <v>14</v>
      </c>
      <c r="L77" s="1" t="s">
        <v>14</v>
      </c>
      <c r="M77" s="1" t="s">
        <v>78</v>
      </c>
      <c r="N77" s="14" t="s">
        <v>5226</v>
      </c>
      <c r="O77" s="1" t="s">
        <v>6037</v>
      </c>
      <c r="P77" s="1" t="s">
        <v>480</v>
      </c>
      <c r="Q77" s="1" t="s">
        <v>5335</v>
      </c>
      <c r="R77" s="1" t="s">
        <v>481</v>
      </c>
      <c r="S77" s="8">
        <v>45677</v>
      </c>
      <c r="T77" s="1">
        <v>2</v>
      </c>
      <c r="U77" s="1" t="s">
        <v>482</v>
      </c>
      <c r="V77" s="1" t="s">
        <v>483</v>
      </c>
      <c r="W77" s="1" t="s">
        <v>1388</v>
      </c>
    </row>
    <row r="78" spans="1:23" x14ac:dyDescent="0.25">
      <c r="A78" s="1" t="s">
        <v>48</v>
      </c>
      <c r="B78" s="1" t="s">
        <v>484</v>
      </c>
      <c r="C78" s="1" t="s">
        <v>50</v>
      </c>
      <c r="D78" s="1" t="s">
        <v>485</v>
      </c>
      <c r="E78" s="1" t="s">
        <v>486</v>
      </c>
      <c r="F78" s="22" t="s">
        <v>6085</v>
      </c>
      <c r="G78" s="1" t="s">
        <v>6</v>
      </c>
      <c r="H78" s="1" t="s">
        <v>20</v>
      </c>
      <c r="I78" s="1" t="s">
        <v>25</v>
      </c>
      <c r="J78" s="1" t="s">
        <v>9</v>
      </c>
      <c r="K78" s="1" t="s">
        <v>16</v>
      </c>
      <c r="L78" s="1" t="s">
        <v>17</v>
      </c>
      <c r="M78" s="1" t="s">
        <v>53</v>
      </c>
      <c r="N78" s="11" t="s">
        <v>188</v>
      </c>
      <c r="O78" s="1" t="s">
        <v>6235</v>
      </c>
      <c r="P78" s="1" t="s">
        <v>235</v>
      </c>
      <c r="Q78" s="1" t="s">
        <v>5336</v>
      </c>
      <c r="R78" s="1" t="s">
        <v>487</v>
      </c>
      <c r="S78" s="8">
        <v>45747</v>
      </c>
      <c r="T78" s="1">
        <v>1</v>
      </c>
      <c r="U78" s="1" t="s">
        <v>1677</v>
      </c>
      <c r="V78" s="1" t="s">
        <v>1678</v>
      </c>
      <c r="W78" s="1" t="s">
        <v>1388</v>
      </c>
    </row>
    <row r="79" spans="1:23" x14ac:dyDescent="0.25">
      <c r="A79" s="1" t="s">
        <v>48</v>
      </c>
      <c r="B79" s="1" t="s">
        <v>488</v>
      </c>
      <c r="C79" s="1" t="s">
        <v>50</v>
      </c>
      <c r="D79" s="1" t="s">
        <v>489</v>
      </c>
      <c r="E79" s="1" t="s">
        <v>490</v>
      </c>
      <c r="F79" s="22" t="s">
        <v>6085</v>
      </c>
      <c r="G79" s="1" t="s">
        <v>6</v>
      </c>
      <c r="H79" s="1" t="s">
        <v>24</v>
      </c>
      <c r="I79" s="1" t="s">
        <v>26</v>
      </c>
      <c r="J79" s="1" t="s">
        <v>9</v>
      </c>
      <c r="K79" s="1" t="s">
        <v>13</v>
      </c>
      <c r="L79" s="1" t="s">
        <v>13</v>
      </c>
      <c r="M79" s="1" t="s">
        <v>78</v>
      </c>
      <c r="N79" s="1" t="s">
        <v>188</v>
      </c>
      <c r="O79" s="2" t="s">
        <v>6235</v>
      </c>
      <c r="P79" s="1" t="s">
        <v>126</v>
      </c>
      <c r="Q79" s="1" t="s">
        <v>5337</v>
      </c>
      <c r="R79" s="1" t="s">
        <v>491</v>
      </c>
      <c r="S79" s="8">
        <v>45672</v>
      </c>
      <c r="T79" s="1">
        <v>2</v>
      </c>
      <c r="U79" s="1" t="s">
        <v>492</v>
      </c>
      <c r="V79" s="1" t="s">
        <v>493</v>
      </c>
      <c r="W79" s="1" t="s">
        <v>1388</v>
      </c>
    </row>
    <row r="80" spans="1:23" x14ac:dyDescent="0.25">
      <c r="A80" s="1" t="s">
        <v>48</v>
      </c>
      <c r="B80" s="1" t="s">
        <v>494</v>
      </c>
      <c r="C80" s="1" t="s">
        <v>50</v>
      </c>
      <c r="D80" s="1" t="s">
        <v>495</v>
      </c>
      <c r="E80" s="1" t="s">
        <v>496</v>
      </c>
      <c r="F80" s="22" t="s">
        <v>5259</v>
      </c>
      <c r="G80" s="1" t="s">
        <v>6</v>
      </c>
      <c r="H80" s="1" t="s">
        <v>20</v>
      </c>
      <c r="I80" s="1" t="s">
        <v>26</v>
      </c>
      <c r="J80" s="1" t="s">
        <v>9</v>
      </c>
      <c r="K80" s="1" t="s">
        <v>16</v>
      </c>
      <c r="L80" s="1" t="s">
        <v>17</v>
      </c>
      <c r="M80" s="1" t="s">
        <v>78</v>
      </c>
      <c r="N80" s="1" t="s">
        <v>6027</v>
      </c>
      <c r="O80" s="1" t="s">
        <v>6037</v>
      </c>
      <c r="P80" s="1" t="s">
        <v>497</v>
      </c>
      <c r="Q80" s="1" t="s">
        <v>5338</v>
      </c>
      <c r="R80" s="1" t="s">
        <v>498</v>
      </c>
      <c r="S80" s="8">
        <v>45718</v>
      </c>
      <c r="T80" s="1">
        <v>2</v>
      </c>
      <c r="U80" s="1" t="s">
        <v>1679</v>
      </c>
      <c r="V80" s="1" t="s">
        <v>1680</v>
      </c>
      <c r="W80" s="1" t="s">
        <v>1388</v>
      </c>
    </row>
    <row r="81" spans="1:23" x14ac:dyDescent="0.25">
      <c r="A81" s="1" t="s">
        <v>48</v>
      </c>
      <c r="B81" s="1" t="s">
        <v>500</v>
      </c>
      <c r="C81" s="1" t="s">
        <v>50</v>
      </c>
      <c r="D81" s="1" t="s">
        <v>501</v>
      </c>
      <c r="E81" s="1" t="s">
        <v>502</v>
      </c>
      <c r="F81" s="22" t="s">
        <v>5259</v>
      </c>
      <c r="G81" s="1" t="s">
        <v>6</v>
      </c>
      <c r="H81" s="1" t="s">
        <v>20</v>
      </c>
      <c r="I81" s="1" t="s">
        <v>26</v>
      </c>
      <c r="J81" s="1" t="s">
        <v>9</v>
      </c>
      <c r="K81" s="1" t="s">
        <v>10</v>
      </c>
      <c r="L81" s="1" t="s">
        <v>16</v>
      </c>
      <c r="M81" s="1" t="s">
        <v>78</v>
      </c>
      <c r="N81" s="14" t="s">
        <v>6237</v>
      </c>
      <c r="O81" s="1" t="s">
        <v>6037</v>
      </c>
      <c r="P81" s="1" t="s">
        <v>199</v>
      </c>
      <c r="Q81" s="1" t="s">
        <v>5339</v>
      </c>
      <c r="R81" s="1" t="s">
        <v>503</v>
      </c>
      <c r="S81" s="8">
        <v>45698</v>
      </c>
      <c r="T81" s="1">
        <v>3</v>
      </c>
      <c r="U81" s="1" t="s">
        <v>504</v>
      </c>
      <c r="V81" s="1" t="s">
        <v>505</v>
      </c>
      <c r="W81" s="1" t="s">
        <v>506</v>
      </c>
    </row>
    <row r="82" spans="1:23" x14ac:dyDescent="0.25">
      <c r="A82" s="1" t="s">
        <v>48</v>
      </c>
      <c r="B82" s="1" t="s">
        <v>507</v>
      </c>
      <c r="C82" s="1" t="s">
        <v>50</v>
      </c>
      <c r="D82" s="1" t="s">
        <v>508</v>
      </c>
      <c r="E82" s="1" t="s">
        <v>509</v>
      </c>
      <c r="F82" s="22" t="s">
        <v>6085</v>
      </c>
      <c r="G82" s="1" t="s">
        <v>6</v>
      </c>
      <c r="H82" s="1" t="s">
        <v>20</v>
      </c>
      <c r="I82" s="1" t="s">
        <v>26</v>
      </c>
      <c r="J82" s="1" t="s">
        <v>9</v>
      </c>
      <c r="K82" s="1" t="s">
        <v>19</v>
      </c>
      <c r="L82" s="1" t="s">
        <v>12</v>
      </c>
      <c r="M82" s="1" t="s">
        <v>78</v>
      </c>
      <c r="N82" s="1" t="s">
        <v>188</v>
      </c>
      <c r="O82" s="2" t="s">
        <v>6235</v>
      </c>
      <c r="P82" s="1" t="s">
        <v>510</v>
      </c>
      <c r="Q82" s="1" t="s">
        <v>5340</v>
      </c>
      <c r="R82" s="1" t="s">
        <v>511</v>
      </c>
      <c r="S82" s="8">
        <v>45730</v>
      </c>
      <c r="T82" s="1">
        <v>2</v>
      </c>
      <c r="U82" s="1" t="s">
        <v>512</v>
      </c>
      <c r="V82" s="1" t="s">
        <v>513</v>
      </c>
      <c r="W82" s="1" t="s">
        <v>1388</v>
      </c>
    </row>
    <row r="83" spans="1:23" x14ac:dyDescent="0.25">
      <c r="A83" s="1" t="s">
        <v>48</v>
      </c>
      <c r="B83" s="1" t="s">
        <v>514</v>
      </c>
      <c r="C83" s="1" t="s">
        <v>50</v>
      </c>
      <c r="D83" s="1" t="s">
        <v>515</v>
      </c>
      <c r="E83" s="1" t="s">
        <v>516</v>
      </c>
      <c r="F83" s="22" t="s">
        <v>5259</v>
      </c>
      <c r="G83" s="1" t="s">
        <v>6</v>
      </c>
      <c r="H83" s="1" t="s">
        <v>20</v>
      </c>
      <c r="I83" s="1" t="s">
        <v>26</v>
      </c>
      <c r="J83" s="1" t="s">
        <v>9</v>
      </c>
      <c r="K83" s="1" t="s">
        <v>19</v>
      </c>
      <c r="L83" s="1" t="s">
        <v>19</v>
      </c>
      <c r="M83" s="1" t="s">
        <v>78</v>
      </c>
      <c r="N83" s="1" t="s">
        <v>6027</v>
      </c>
      <c r="O83" s="1" t="s">
        <v>6037</v>
      </c>
      <c r="P83" s="1" t="s">
        <v>60</v>
      </c>
      <c r="Q83" s="1" t="s">
        <v>5341</v>
      </c>
      <c r="R83" s="1" t="s">
        <v>517</v>
      </c>
      <c r="S83" s="8">
        <v>45715</v>
      </c>
      <c r="T83" s="1">
        <v>2</v>
      </c>
      <c r="U83" s="1" t="s">
        <v>280</v>
      </c>
      <c r="V83" s="1" t="s">
        <v>280</v>
      </c>
      <c r="W83" s="1" t="s">
        <v>1388</v>
      </c>
    </row>
    <row r="84" spans="1:23" x14ac:dyDescent="0.25">
      <c r="A84" s="1" t="s">
        <v>48</v>
      </c>
      <c r="B84" s="1" t="s">
        <v>518</v>
      </c>
      <c r="C84" s="1" t="s">
        <v>50</v>
      </c>
      <c r="D84" s="1" t="s">
        <v>519</v>
      </c>
      <c r="E84" s="1" t="s">
        <v>520</v>
      </c>
      <c r="F84" s="22" t="s">
        <v>3</v>
      </c>
      <c r="G84" s="1" t="s">
        <v>6</v>
      </c>
      <c r="H84" s="1" t="s">
        <v>20</v>
      </c>
      <c r="I84" s="1" t="s">
        <v>25</v>
      </c>
      <c r="J84" s="1" t="s">
        <v>9</v>
      </c>
      <c r="K84" s="1" t="s">
        <v>14</v>
      </c>
      <c r="L84" s="1" t="s">
        <v>14</v>
      </c>
      <c r="M84" s="1" t="s">
        <v>78</v>
      </c>
      <c r="N84" s="1" t="s">
        <v>1015</v>
      </c>
      <c r="O84" s="1" t="s">
        <v>6235</v>
      </c>
      <c r="P84" s="1" t="s">
        <v>521</v>
      </c>
      <c r="Q84" s="1" t="s">
        <v>5342</v>
      </c>
      <c r="R84" s="7" t="s">
        <v>522</v>
      </c>
      <c r="S84" s="8">
        <v>45748</v>
      </c>
      <c r="T84" s="1">
        <v>2</v>
      </c>
      <c r="U84" s="1" t="s">
        <v>201</v>
      </c>
      <c r="V84" s="1" t="s">
        <v>201</v>
      </c>
      <c r="W84" s="1" t="s">
        <v>1388</v>
      </c>
    </row>
    <row r="85" spans="1:23" x14ac:dyDescent="0.25">
      <c r="A85" s="2" t="s">
        <v>48</v>
      </c>
      <c r="B85" s="1" t="s">
        <v>523</v>
      </c>
      <c r="C85" s="2" t="s">
        <v>50</v>
      </c>
      <c r="D85" s="1" t="s">
        <v>524</v>
      </c>
      <c r="E85" s="2" t="s">
        <v>525</v>
      </c>
      <c r="F85" s="22" t="s">
        <v>6085</v>
      </c>
      <c r="G85" s="1" t="s">
        <v>6</v>
      </c>
      <c r="H85" s="1" t="s">
        <v>20</v>
      </c>
      <c r="I85" s="1" t="s">
        <v>25</v>
      </c>
      <c r="J85" s="1" t="s">
        <v>9</v>
      </c>
      <c r="K85" s="1" t="s">
        <v>16</v>
      </c>
      <c r="L85" s="1" t="s">
        <v>16</v>
      </c>
      <c r="M85" s="1" t="s">
        <v>53</v>
      </c>
      <c r="N85" s="11" t="s">
        <v>188</v>
      </c>
      <c r="O85" s="1" t="s">
        <v>6037</v>
      </c>
      <c r="P85" s="1" t="s">
        <v>175</v>
      </c>
      <c r="Q85" s="1" t="s">
        <v>5343</v>
      </c>
      <c r="R85" s="1" t="s">
        <v>1681</v>
      </c>
      <c r="S85" s="8">
        <v>45732</v>
      </c>
      <c r="T85" s="1">
        <v>2</v>
      </c>
      <c r="U85" s="1" t="s">
        <v>652</v>
      </c>
      <c r="V85" s="1" t="s">
        <v>1682</v>
      </c>
      <c r="W85" s="1" t="s">
        <v>1388</v>
      </c>
    </row>
    <row r="86" spans="1:23" x14ac:dyDescent="0.25">
      <c r="A86" s="1" t="s">
        <v>48</v>
      </c>
      <c r="B86" s="1" t="s">
        <v>526</v>
      </c>
      <c r="C86" s="1" t="s">
        <v>50</v>
      </c>
      <c r="D86" s="1" t="s">
        <v>527</v>
      </c>
      <c r="E86" s="1" t="s">
        <v>528</v>
      </c>
      <c r="F86" s="22" t="s">
        <v>6085</v>
      </c>
      <c r="G86" s="1" t="s">
        <v>6</v>
      </c>
      <c r="H86" s="1" t="s">
        <v>20</v>
      </c>
      <c r="I86" s="1" t="s">
        <v>26</v>
      </c>
      <c r="J86" s="1" t="s">
        <v>9</v>
      </c>
      <c r="K86" s="1" t="s">
        <v>16</v>
      </c>
      <c r="L86" s="1" t="s">
        <v>17</v>
      </c>
      <c r="M86" s="1" t="s">
        <v>78</v>
      </c>
      <c r="N86" s="1" t="s">
        <v>188</v>
      </c>
      <c r="O86" s="2" t="s">
        <v>6235</v>
      </c>
      <c r="P86" s="1" t="s">
        <v>497</v>
      </c>
      <c r="Q86" s="1" t="s">
        <v>5344</v>
      </c>
      <c r="R86" s="1" t="s">
        <v>1683</v>
      </c>
      <c r="S86" s="8">
        <v>45661</v>
      </c>
      <c r="T86" s="1">
        <v>2</v>
      </c>
      <c r="U86" s="1" t="s">
        <v>1684</v>
      </c>
      <c r="V86" s="1" t="s">
        <v>1684</v>
      </c>
      <c r="W86" s="1" t="s">
        <v>1388</v>
      </c>
    </row>
    <row r="87" spans="1:23" x14ac:dyDescent="0.25">
      <c r="A87" s="1" t="s">
        <v>48</v>
      </c>
      <c r="B87" s="1" t="s">
        <v>529</v>
      </c>
      <c r="C87" s="1" t="s">
        <v>50</v>
      </c>
      <c r="D87" s="1" t="s">
        <v>530</v>
      </c>
      <c r="E87" s="1" t="s">
        <v>531</v>
      </c>
      <c r="F87" s="22" t="s">
        <v>2</v>
      </c>
      <c r="G87" s="1" t="s">
        <v>6</v>
      </c>
      <c r="H87" s="1" t="s">
        <v>20</v>
      </c>
      <c r="I87" s="1" t="s">
        <v>25</v>
      </c>
      <c r="J87" s="1" t="s">
        <v>9</v>
      </c>
      <c r="K87" s="1" t="s">
        <v>14</v>
      </c>
      <c r="L87" s="1" t="s">
        <v>14</v>
      </c>
      <c r="M87" s="1" t="s">
        <v>78</v>
      </c>
      <c r="N87" s="14" t="s">
        <v>6028</v>
      </c>
      <c r="O87" s="1" t="s">
        <v>6037</v>
      </c>
      <c r="P87" s="1" t="s">
        <v>169</v>
      </c>
      <c r="Q87" s="1" t="s">
        <v>5311</v>
      </c>
      <c r="R87" s="1" t="s">
        <v>532</v>
      </c>
      <c r="S87" s="8">
        <v>45736</v>
      </c>
      <c r="T87" s="1">
        <v>2</v>
      </c>
      <c r="U87" s="1" t="s">
        <v>533</v>
      </c>
      <c r="V87" s="1" t="s">
        <v>533</v>
      </c>
      <c r="W87" s="1" t="s">
        <v>1388</v>
      </c>
    </row>
    <row r="88" spans="1:23" x14ac:dyDescent="0.25">
      <c r="A88" s="1" t="s">
        <v>48</v>
      </c>
      <c r="B88" s="1" t="s">
        <v>534</v>
      </c>
      <c r="C88" s="1" t="s">
        <v>50</v>
      </c>
      <c r="D88" s="1" t="s">
        <v>535</v>
      </c>
      <c r="E88" s="1" t="s">
        <v>536</v>
      </c>
      <c r="F88" s="22" t="s">
        <v>5259</v>
      </c>
      <c r="G88" s="1" t="s">
        <v>6</v>
      </c>
      <c r="H88" s="1" t="s">
        <v>20</v>
      </c>
      <c r="I88" s="1" t="s">
        <v>25</v>
      </c>
      <c r="J88" s="1" t="s">
        <v>9</v>
      </c>
      <c r="K88" s="1" t="s">
        <v>15</v>
      </c>
      <c r="L88" s="1" t="s">
        <v>15</v>
      </c>
      <c r="M88" s="1" t="s">
        <v>78</v>
      </c>
      <c r="N88" s="14" t="s">
        <v>5228</v>
      </c>
      <c r="O88" s="1" t="s">
        <v>6037</v>
      </c>
      <c r="P88" s="1" t="s">
        <v>181</v>
      </c>
      <c r="Q88" s="1" t="s">
        <v>5345</v>
      </c>
      <c r="R88" s="1" t="s">
        <v>537</v>
      </c>
      <c r="S88" s="8">
        <v>45688</v>
      </c>
      <c r="T88" s="1">
        <v>2</v>
      </c>
      <c r="U88" s="1" t="s">
        <v>291</v>
      </c>
      <c r="V88" s="1" t="s">
        <v>291</v>
      </c>
      <c r="W88" s="1" t="s">
        <v>1388</v>
      </c>
    </row>
    <row r="89" spans="1:23" x14ac:dyDescent="0.25">
      <c r="A89" s="1" t="s">
        <v>48</v>
      </c>
      <c r="B89" s="1" t="s">
        <v>538</v>
      </c>
      <c r="C89" s="1" t="s">
        <v>50</v>
      </c>
      <c r="D89" s="1" t="s">
        <v>539</v>
      </c>
      <c r="E89" s="1" t="s">
        <v>540</v>
      </c>
      <c r="F89" s="22" t="s">
        <v>6085</v>
      </c>
      <c r="G89" s="1" t="s">
        <v>6</v>
      </c>
      <c r="H89" s="1" t="s">
        <v>20</v>
      </c>
      <c r="I89" s="1" t="s">
        <v>26</v>
      </c>
      <c r="J89" s="1" t="s">
        <v>9</v>
      </c>
      <c r="K89" s="1" t="s">
        <v>13</v>
      </c>
      <c r="L89" s="1" t="s">
        <v>13</v>
      </c>
      <c r="M89" s="1" t="s">
        <v>53</v>
      </c>
      <c r="N89" s="1" t="s">
        <v>1828</v>
      </c>
      <c r="O89" s="1" t="s">
        <v>6235</v>
      </c>
      <c r="P89" s="1" t="s">
        <v>284</v>
      </c>
      <c r="Q89" s="1" t="s">
        <v>5346</v>
      </c>
      <c r="R89" s="1" t="s">
        <v>541</v>
      </c>
      <c r="S89" s="8">
        <v>45663</v>
      </c>
      <c r="T89" s="1">
        <v>2</v>
      </c>
      <c r="U89" s="1" t="s">
        <v>542</v>
      </c>
      <c r="V89" s="1" t="s">
        <v>543</v>
      </c>
      <c r="W89" s="1" t="s">
        <v>1388</v>
      </c>
    </row>
    <row r="90" spans="1:23" x14ac:dyDescent="0.25">
      <c r="A90" s="1" t="s">
        <v>48</v>
      </c>
      <c r="B90" s="1" t="s">
        <v>544</v>
      </c>
      <c r="C90" s="1" t="s">
        <v>50</v>
      </c>
      <c r="D90" s="1" t="s">
        <v>545</v>
      </c>
      <c r="E90" s="1" t="s">
        <v>546</v>
      </c>
      <c r="F90" s="22" t="s">
        <v>5237</v>
      </c>
      <c r="G90" s="1" t="s">
        <v>6</v>
      </c>
      <c r="H90" s="1" t="s">
        <v>20</v>
      </c>
      <c r="I90" s="1" t="s">
        <v>26</v>
      </c>
      <c r="J90" s="1" t="s">
        <v>9</v>
      </c>
      <c r="K90" s="1" t="s">
        <v>16</v>
      </c>
      <c r="L90" s="1" t="s">
        <v>16</v>
      </c>
      <c r="M90" s="1" t="s">
        <v>53</v>
      </c>
      <c r="N90" s="1" t="s">
        <v>5242</v>
      </c>
      <c r="O90" s="1" t="s">
        <v>6235</v>
      </c>
      <c r="P90" s="1" t="s">
        <v>66</v>
      </c>
      <c r="Q90" s="1" t="s">
        <v>5347</v>
      </c>
      <c r="R90" s="1" t="s">
        <v>547</v>
      </c>
      <c r="S90" s="8">
        <v>45700</v>
      </c>
      <c r="T90" s="1">
        <v>2</v>
      </c>
      <c r="U90" s="1" t="s">
        <v>548</v>
      </c>
      <c r="V90" s="1" t="s">
        <v>548</v>
      </c>
      <c r="W90" s="1" t="s">
        <v>1388</v>
      </c>
    </row>
    <row r="91" spans="1:23" x14ac:dyDescent="0.25">
      <c r="A91" s="1" t="s">
        <v>48</v>
      </c>
      <c r="B91" s="1" t="s">
        <v>549</v>
      </c>
      <c r="C91" s="1" t="s">
        <v>50</v>
      </c>
      <c r="D91" s="1" t="s">
        <v>550</v>
      </c>
      <c r="E91" s="1" t="s">
        <v>551</v>
      </c>
      <c r="F91" s="22" t="s">
        <v>6085</v>
      </c>
      <c r="G91" s="1" t="s">
        <v>6</v>
      </c>
      <c r="H91" s="1" t="s">
        <v>20</v>
      </c>
      <c r="I91" s="1" t="s">
        <v>25</v>
      </c>
      <c r="J91" s="1" t="s">
        <v>9</v>
      </c>
      <c r="K91" s="1" t="s">
        <v>14</v>
      </c>
      <c r="L91" s="1" t="s">
        <v>14</v>
      </c>
      <c r="M91" s="1" t="s">
        <v>78</v>
      </c>
      <c r="N91" s="1" t="s">
        <v>188</v>
      </c>
      <c r="O91" s="2" t="s">
        <v>6235</v>
      </c>
      <c r="P91" s="1" t="s">
        <v>235</v>
      </c>
      <c r="Q91" s="1" t="s">
        <v>5348</v>
      </c>
      <c r="R91" s="1" t="s">
        <v>552</v>
      </c>
      <c r="S91" s="8">
        <v>45663</v>
      </c>
      <c r="T91" s="1">
        <v>2</v>
      </c>
      <c r="U91" s="1" t="s">
        <v>553</v>
      </c>
      <c r="V91" s="1" t="s">
        <v>554</v>
      </c>
      <c r="W91" s="1" t="s">
        <v>1388</v>
      </c>
    </row>
    <row r="92" spans="1:23" x14ac:dyDescent="0.25">
      <c r="A92" s="1" t="s">
        <v>48</v>
      </c>
      <c r="B92" s="1" t="s">
        <v>555</v>
      </c>
      <c r="C92" s="1" t="s">
        <v>50</v>
      </c>
      <c r="D92" s="1" t="s">
        <v>556</v>
      </c>
      <c r="E92" s="1" t="s">
        <v>557</v>
      </c>
      <c r="F92" s="22" t="s">
        <v>6085</v>
      </c>
      <c r="G92" s="1" t="s">
        <v>6</v>
      </c>
      <c r="H92" s="1" t="s">
        <v>20</v>
      </c>
      <c r="I92" s="1" t="s">
        <v>25</v>
      </c>
      <c r="J92" s="1" t="s">
        <v>9</v>
      </c>
      <c r="K92" s="1" t="s">
        <v>16</v>
      </c>
      <c r="L92" s="1" t="s">
        <v>14</v>
      </c>
      <c r="M92" s="1" t="s">
        <v>53</v>
      </c>
      <c r="N92" s="11" t="s">
        <v>188</v>
      </c>
      <c r="O92" s="1" t="s">
        <v>6037</v>
      </c>
      <c r="P92" s="1" t="s">
        <v>235</v>
      </c>
      <c r="Q92" s="1" t="s">
        <v>5349</v>
      </c>
      <c r="R92" s="1" t="s">
        <v>558</v>
      </c>
      <c r="S92" s="8">
        <v>45702</v>
      </c>
      <c r="T92" s="1">
        <v>1</v>
      </c>
      <c r="U92" s="1" t="s">
        <v>559</v>
      </c>
      <c r="V92" s="1" t="s">
        <v>1388</v>
      </c>
      <c r="W92" s="1" t="s">
        <v>1388</v>
      </c>
    </row>
    <row r="93" spans="1:23" x14ac:dyDescent="0.25">
      <c r="A93" s="1" t="s">
        <v>48</v>
      </c>
      <c r="B93" s="1" t="s">
        <v>560</v>
      </c>
      <c r="C93" s="1" t="s">
        <v>50</v>
      </c>
      <c r="D93" s="1" t="s">
        <v>561</v>
      </c>
      <c r="E93" s="1" t="s">
        <v>562</v>
      </c>
      <c r="F93" s="22" t="s">
        <v>6085</v>
      </c>
      <c r="G93" s="1" t="s">
        <v>6</v>
      </c>
      <c r="H93" s="1" t="s">
        <v>21</v>
      </c>
      <c r="I93" s="1" t="s">
        <v>25</v>
      </c>
      <c r="J93" s="1" t="s">
        <v>9</v>
      </c>
      <c r="K93" s="1" t="s">
        <v>14</v>
      </c>
      <c r="L93" s="1" t="s">
        <v>14</v>
      </c>
      <c r="M93" s="1" t="s">
        <v>53</v>
      </c>
      <c r="N93" s="11" t="s">
        <v>188</v>
      </c>
      <c r="O93" s="1" t="s">
        <v>6037</v>
      </c>
      <c r="P93" s="1" t="s">
        <v>563</v>
      </c>
      <c r="Q93" s="18" t="s">
        <v>5350</v>
      </c>
      <c r="R93" s="1" t="s">
        <v>564</v>
      </c>
      <c r="S93" s="8">
        <v>45705</v>
      </c>
      <c r="T93" s="1">
        <v>2</v>
      </c>
      <c r="U93" s="1" t="s">
        <v>565</v>
      </c>
      <c r="V93" s="1" t="s">
        <v>566</v>
      </c>
      <c r="W93" s="1" t="s">
        <v>1388</v>
      </c>
    </row>
    <row r="94" spans="1:23" x14ac:dyDescent="0.25">
      <c r="A94" s="1" t="s">
        <v>48</v>
      </c>
      <c r="B94" s="1" t="s">
        <v>567</v>
      </c>
      <c r="C94" s="1" t="s">
        <v>50</v>
      </c>
      <c r="D94" s="1" t="s">
        <v>568</v>
      </c>
      <c r="E94" s="1" t="s">
        <v>569</v>
      </c>
      <c r="F94" s="22" t="s">
        <v>6085</v>
      </c>
      <c r="G94" s="1" t="s">
        <v>6</v>
      </c>
      <c r="H94" s="1" t="s">
        <v>20</v>
      </c>
      <c r="I94" s="1" t="s">
        <v>25</v>
      </c>
      <c r="J94" s="1" t="s">
        <v>9</v>
      </c>
      <c r="K94" s="1" t="s">
        <v>13</v>
      </c>
      <c r="L94" s="1" t="s">
        <v>13</v>
      </c>
      <c r="M94" s="1" t="s">
        <v>53</v>
      </c>
      <c r="N94" s="11" t="s">
        <v>188</v>
      </c>
      <c r="O94" s="1" t="s">
        <v>6037</v>
      </c>
      <c r="P94" s="1" t="s">
        <v>126</v>
      </c>
      <c r="Q94" s="1" t="s">
        <v>5351</v>
      </c>
      <c r="R94" s="1" t="s">
        <v>570</v>
      </c>
      <c r="S94" s="8">
        <v>45691</v>
      </c>
      <c r="T94" s="1">
        <v>1</v>
      </c>
      <c r="U94" s="1" t="s">
        <v>571</v>
      </c>
      <c r="V94" s="1" t="s">
        <v>208</v>
      </c>
      <c r="W94" s="1" t="s">
        <v>1388</v>
      </c>
    </row>
    <row r="95" spans="1:23" x14ac:dyDescent="0.25">
      <c r="A95" s="1" t="s">
        <v>48</v>
      </c>
      <c r="B95" s="1" t="s">
        <v>572</v>
      </c>
      <c r="C95" s="1" t="s">
        <v>50</v>
      </c>
      <c r="D95" s="1" t="s">
        <v>573</v>
      </c>
      <c r="E95" s="1" t="s">
        <v>574</v>
      </c>
      <c r="F95" s="22" t="s">
        <v>5259</v>
      </c>
      <c r="G95" s="1" t="s">
        <v>6</v>
      </c>
      <c r="H95" s="1" t="s">
        <v>20</v>
      </c>
      <c r="I95" s="1" t="s">
        <v>25</v>
      </c>
      <c r="J95" s="1" t="s">
        <v>9</v>
      </c>
      <c r="K95" s="1" t="s">
        <v>14</v>
      </c>
      <c r="L95" s="1" t="s">
        <v>16</v>
      </c>
      <c r="M95" s="1" t="s">
        <v>78</v>
      </c>
      <c r="N95" s="14" t="s">
        <v>6237</v>
      </c>
      <c r="O95" s="1" t="s">
        <v>6037</v>
      </c>
      <c r="P95" s="1" t="s">
        <v>175</v>
      </c>
      <c r="Q95" s="1" t="s">
        <v>5352</v>
      </c>
      <c r="R95" s="1" t="s">
        <v>575</v>
      </c>
      <c r="S95" s="8">
        <v>45728</v>
      </c>
      <c r="T95" s="1">
        <v>2</v>
      </c>
      <c r="U95" s="1" t="s">
        <v>576</v>
      </c>
      <c r="V95" s="1" t="s">
        <v>577</v>
      </c>
      <c r="W95" s="1" t="s">
        <v>1388</v>
      </c>
    </row>
    <row r="96" spans="1:23" x14ac:dyDescent="0.25">
      <c r="A96" s="1" t="s">
        <v>48</v>
      </c>
      <c r="B96" s="1" t="s">
        <v>578</v>
      </c>
      <c r="C96" s="1" t="s">
        <v>50</v>
      </c>
      <c r="D96" s="1" t="s">
        <v>579</v>
      </c>
      <c r="E96" s="1" t="s">
        <v>580</v>
      </c>
      <c r="F96" s="22" t="s">
        <v>6085</v>
      </c>
      <c r="G96" s="1" t="s">
        <v>6</v>
      </c>
      <c r="H96" s="1" t="s">
        <v>20</v>
      </c>
      <c r="I96" s="1" t="s">
        <v>25</v>
      </c>
      <c r="J96" s="1" t="s">
        <v>9</v>
      </c>
      <c r="K96" s="1" t="s">
        <v>14</v>
      </c>
      <c r="L96" s="1" t="s">
        <v>14</v>
      </c>
      <c r="M96" s="1" t="s">
        <v>78</v>
      </c>
      <c r="N96" s="1" t="s">
        <v>188</v>
      </c>
      <c r="O96" s="2" t="s">
        <v>6235</v>
      </c>
      <c r="P96" s="1" t="s">
        <v>581</v>
      </c>
      <c r="Q96" s="1" t="s">
        <v>5353</v>
      </c>
      <c r="R96" s="1" t="s">
        <v>582</v>
      </c>
      <c r="S96" s="8">
        <v>45742</v>
      </c>
      <c r="T96" s="1">
        <v>2</v>
      </c>
      <c r="U96" s="1" t="s">
        <v>583</v>
      </c>
      <c r="V96" s="1" t="s">
        <v>583</v>
      </c>
      <c r="W96" s="1" t="s">
        <v>1388</v>
      </c>
    </row>
    <row r="97" spans="1:23" x14ac:dyDescent="0.25">
      <c r="A97" s="1" t="s">
        <v>48</v>
      </c>
      <c r="B97" s="1" t="s">
        <v>584</v>
      </c>
      <c r="C97" s="1" t="s">
        <v>50</v>
      </c>
      <c r="D97" s="1" t="s">
        <v>585</v>
      </c>
      <c r="E97" s="1" t="s">
        <v>586</v>
      </c>
      <c r="F97" s="22" t="s">
        <v>5259</v>
      </c>
      <c r="G97" s="1" t="s">
        <v>6</v>
      </c>
      <c r="H97" s="1" t="s">
        <v>20</v>
      </c>
      <c r="I97" s="1" t="s">
        <v>26</v>
      </c>
      <c r="J97" s="1" t="s">
        <v>9</v>
      </c>
      <c r="K97" s="1" t="s">
        <v>14</v>
      </c>
      <c r="L97" s="1" t="s">
        <v>14</v>
      </c>
      <c r="M97" s="1" t="s">
        <v>78</v>
      </c>
      <c r="N97" s="14" t="s">
        <v>5226</v>
      </c>
      <c r="O97" s="1" t="s">
        <v>6037</v>
      </c>
      <c r="P97" s="1" t="s">
        <v>126</v>
      </c>
      <c r="Q97" s="1" t="s">
        <v>5354</v>
      </c>
      <c r="R97" s="1" t="s">
        <v>587</v>
      </c>
      <c r="S97" s="8">
        <v>45691</v>
      </c>
      <c r="T97" s="1">
        <v>2</v>
      </c>
      <c r="U97" s="1" t="s">
        <v>588</v>
      </c>
      <c r="V97" s="1" t="s">
        <v>589</v>
      </c>
      <c r="W97" s="1" t="s">
        <v>1388</v>
      </c>
    </row>
    <row r="98" spans="1:23" x14ac:dyDescent="0.25">
      <c r="A98" s="1" t="s">
        <v>48</v>
      </c>
      <c r="B98" s="1" t="s">
        <v>590</v>
      </c>
      <c r="C98" s="1" t="s">
        <v>50</v>
      </c>
      <c r="D98" s="1" t="s">
        <v>591</v>
      </c>
      <c r="E98" s="1" t="s">
        <v>592</v>
      </c>
      <c r="F98" s="22" t="s">
        <v>5259</v>
      </c>
      <c r="G98" s="1" t="s">
        <v>6</v>
      </c>
      <c r="H98" s="1" t="s">
        <v>20</v>
      </c>
      <c r="I98" s="1" t="s">
        <v>25</v>
      </c>
      <c r="J98" s="1" t="s">
        <v>9</v>
      </c>
      <c r="K98" s="1" t="s">
        <v>13</v>
      </c>
      <c r="L98" s="1" t="s">
        <v>13</v>
      </c>
      <c r="M98" s="1" t="s">
        <v>78</v>
      </c>
      <c r="N98" s="14" t="s">
        <v>5226</v>
      </c>
      <c r="O98" s="1" t="s">
        <v>6037</v>
      </c>
      <c r="P98" s="1" t="s">
        <v>593</v>
      </c>
      <c r="Q98" s="1" t="s">
        <v>5355</v>
      </c>
      <c r="R98" s="1" t="s">
        <v>594</v>
      </c>
      <c r="S98" s="8">
        <v>45761</v>
      </c>
      <c r="T98" s="1">
        <v>2</v>
      </c>
      <c r="U98" s="1" t="s">
        <v>595</v>
      </c>
      <c r="V98" s="1" t="s">
        <v>596</v>
      </c>
      <c r="W98" s="1" t="s">
        <v>1388</v>
      </c>
    </row>
    <row r="99" spans="1:23" x14ac:dyDescent="0.25">
      <c r="A99" s="1" t="s">
        <v>48</v>
      </c>
      <c r="B99" s="1" t="s">
        <v>597</v>
      </c>
      <c r="C99" s="1" t="s">
        <v>50</v>
      </c>
      <c r="D99" s="1" t="s">
        <v>598</v>
      </c>
      <c r="E99" s="1" t="s">
        <v>599</v>
      </c>
      <c r="F99" s="22" t="s">
        <v>3</v>
      </c>
      <c r="G99" s="1" t="s">
        <v>6</v>
      </c>
      <c r="H99" s="1" t="s">
        <v>20</v>
      </c>
      <c r="I99" s="1" t="s">
        <v>25</v>
      </c>
      <c r="J99" s="1" t="s">
        <v>9</v>
      </c>
      <c r="K99" s="1" t="s">
        <v>13</v>
      </c>
      <c r="L99" s="1" t="s">
        <v>13</v>
      </c>
      <c r="M99" s="1" t="s">
        <v>78</v>
      </c>
      <c r="N99" s="1" t="s">
        <v>1015</v>
      </c>
      <c r="O99" s="1" t="s">
        <v>6235</v>
      </c>
      <c r="P99" s="1" t="s">
        <v>600</v>
      </c>
      <c r="Q99" s="1" t="s">
        <v>5356</v>
      </c>
      <c r="R99" s="7" t="s">
        <v>601</v>
      </c>
      <c r="S99" s="8">
        <v>45714</v>
      </c>
      <c r="T99" s="1">
        <v>2</v>
      </c>
      <c r="U99" s="1" t="s">
        <v>602</v>
      </c>
      <c r="V99" s="1" t="s">
        <v>603</v>
      </c>
      <c r="W99" s="1" t="s">
        <v>1388</v>
      </c>
    </row>
    <row r="100" spans="1:23" x14ac:dyDescent="0.25">
      <c r="A100" s="1" t="s">
        <v>48</v>
      </c>
      <c r="B100" s="1" t="s">
        <v>604</v>
      </c>
      <c r="C100" s="1" t="s">
        <v>50</v>
      </c>
      <c r="D100" s="1" t="s">
        <v>605</v>
      </c>
      <c r="E100" s="1" t="s">
        <v>606</v>
      </c>
      <c r="F100" s="22" t="s">
        <v>5259</v>
      </c>
      <c r="G100" s="1" t="s">
        <v>6</v>
      </c>
      <c r="H100" s="1" t="s">
        <v>20</v>
      </c>
      <c r="I100" s="1" t="s">
        <v>26</v>
      </c>
      <c r="J100" s="1" t="s">
        <v>9</v>
      </c>
      <c r="K100" s="1" t="s">
        <v>16</v>
      </c>
      <c r="L100" s="1" t="s">
        <v>16</v>
      </c>
      <c r="M100" s="1" t="s">
        <v>78</v>
      </c>
      <c r="N100" s="14" t="s">
        <v>5226</v>
      </c>
      <c r="O100" s="1" t="s">
        <v>6037</v>
      </c>
      <c r="P100" s="1" t="s">
        <v>235</v>
      </c>
      <c r="Q100" s="1" t="s">
        <v>5357</v>
      </c>
      <c r="R100" s="1" t="s">
        <v>607</v>
      </c>
      <c r="S100" s="8">
        <v>45728</v>
      </c>
      <c r="T100" s="1">
        <v>1</v>
      </c>
      <c r="U100" s="1" t="s">
        <v>608</v>
      </c>
      <c r="V100" s="1" t="s">
        <v>1388</v>
      </c>
      <c r="W100" s="1" t="s">
        <v>1388</v>
      </c>
    </row>
    <row r="101" spans="1:23" x14ac:dyDescent="0.25">
      <c r="A101" s="1" t="s">
        <v>48</v>
      </c>
      <c r="B101" s="1" t="s">
        <v>609</v>
      </c>
      <c r="C101" s="1" t="s">
        <v>50</v>
      </c>
      <c r="D101" s="1" t="s">
        <v>610</v>
      </c>
      <c r="E101" s="1" t="s">
        <v>611</v>
      </c>
      <c r="F101" s="22" t="s">
        <v>6085</v>
      </c>
      <c r="G101" s="1" t="s">
        <v>6</v>
      </c>
      <c r="H101" s="1" t="s">
        <v>20</v>
      </c>
      <c r="I101" s="1" t="s">
        <v>25</v>
      </c>
      <c r="J101" s="1" t="s">
        <v>9</v>
      </c>
      <c r="K101" s="1" t="s">
        <v>16</v>
      </c>
      <c r="L101" s="1" t="s">
        <v>17</v>
      </c>
      <c r="M101" s="1" t="s">
        <v>78</v>
      </c>
      <c r="N101" s="1" t="s">
        <v>188</v>
      </c>
      <c r="O101" s="2" t="s">
        <v>6235</v>
      </c>
      <c r="P101" s="1" t="s">
        <v>235</v>
      </c>
      <c r="Q101" s="1" t="s">
        <v>5358</v>
      </c>
      <c r="R101" s="1" t="s">
        <v>612</v>
      </c>
      <c r="S101" s="8">
        <v>45747</v>
      </c>
      <c r="T101" s="1">
        <v>2</v>
      </c>
      <c r="U101" s="1" t="s">
        <v>613</v>
      </c>
      <c r="V101" s="1" t="s">
        <v>614</v>
      </c>
      <c r="W101" s="1" t="s">
        <v>1388</v>
      </c>
    </row>
    <row r="102" spans="1:23" x14ac:dyDescent="0.25">
      <c r="A102" s="1" t="s">
        <v>48</v>
      </c>
      <c r="B102" s="1" t="s">
        <v>615</v>
      </c>
      <c r="C102" s="1" t="s">
        <v>50</v>
      </c>
      <c r="D102" s="1" t="s">
        <v>616</v>
      </c>
      <c r="E102" s="1" t="s">
        <v>617</v>
      </c>
      <c r="F102" s="22" t="s">
        <v>6085</v>
      </c>
      <c r="G102" s="1" t="s">
        <v>6</v>
      </c>
      <c r="H102" s="1" t="s">
        <v>20</v>
      </c>
      <c r="I102" s="1" t="s">
        <v>25</v>
      </c>
      <c r="J102" s="1" t="s">
        <v>9</v>
      </c>
      <c r="K102" s="1" t="s">
        <v>15</v>
      </c>
      <c r="L102" s="1" t="s">
        <v>15</v>
      </c>
      <c r="M102" s="1" t="s">
        <v>53</v>
      </c>
      <c r="N102" s="11" t="s">
        <v>188</v>
      </c>
      <c r="O102" s="1" t="s">
        <v>6037</v>
      </c>
      <c r="P102" s="1" t="s">
        <v>199</v>
      </c>
      <c r="Q102" s="1" t="s">
        <v>5359</v>
      </c>
      <c r="R102" s="1" t="s">
        <v>618</v>
      </c>
      <c r="S102" s="8">
        <v>45717</v>
      </c>
      <c r="T102" s="1">
        <v>1</v>
      </c>
      <c r="U102" s="1" t="s">
        <v>619</v>
      </c>
      <c r="V102" s="1" t="s">
        <v>1388</v>
      </c>
      <c r="W102" s="1" t="s">
        <v>1388</v>
      </c>
    </row>
    <row r="103" spans="1:23" x14ac:dyDescent="0.25">
      <c r="A103" s="1" t="s">
        <v>48</v>
      </c>
      <c r="B103" s="1" t="s">
        <v>620</v>
      </c>
      <c r="C103" s="1" t="s">
        <v>50</v>
      </c>
      <c r="D103" s="1" t="s">
        <v>621</v>
      </c>
      <c r="E103" s="1" t="s">
        <v>622</v>
      </c>
      <c r="F103" s="22" t="s">
        <v>3</v>
      </c>
      <c r="G103" s="1" t="s">
        <v>5</v>
      </c>
      <c r="H103" s="1" t="s">
        <v>20</v>
      </c>
      <c r="I103" s="1" t="s">
        <v>26</v>
      </c>
      <c r="J103" s="1" t="s">
        <v>9</v>
      </c>
      <c r="K103" s="1" t="s">
        <v>14</v>
      </c>
      <c r="L103" s="1" t="s">
        <v>14</v>
      </c>
      <c r="M103" s="1" t="s">
        <v>53</v>
      </c>
      <c r="N103" s="1" t="s">
        <v>1014</v>
      </c>
      <c r="O103" s="1" t="s">
        <v>6235</v>
      </c>
      <c r="P103" s="1" t="s">
        <v>235</v>
      </c>
      <c r="Q103" s="1" t="s">
        <v>5360</v>
      </c>
      <c r="R103" s="7" t="s">
        <v>623</v>
      </c>
      <c r="S103" s="8">
        <v>45744</v>
      </c>
      <c r="T103" s="1">
        <v>2</v>
      </c>
      <c r="U103" s="1" t="s">
        <v>291</v>
      </c>
      <c r="V103" s="1" t="s">
        <v>291</v>
      </c>
      <c r="W103" s="1" t="s">
        <v>1388</v>
      </c>
    </row>
    <row r="104" spans="1:23" x14ac:dyDescent="0.25">
      <c r="A104" s="1" t="s">
        <v>48</v>
      </c>
      <c r="B104" s="1" t="s">
        <v>624</v>
      </c>
      <c r="C104" s="1" t="s">
        <v>50</v>
      </c>
      <c r="D104" s="1" t="s">
        <v>625</v>
      </c>
      <c r="E104" s="1" t="s">
        <v>626</v>
      </c>
      <c r="F104" s="22" t="s">
        <v>6085</v>
      </c>
      <c r="G104" s="1" t="s">
        <v>6</v>
      </c>
      <c r="H104" s="1" t="s">
        <v>20</v>
      </c>
      <c r="I104" s="1" t="s">
        <v>25</v>
      </c>
      <c r="J104" s="1" t="s">
        <v>9</v>
      </c>
      <c r="K104" s="1" t="s">
        <v>10</v>
      </c>
      <c r="L104" s="1" t="s">
        <v>16</v>
      </c>
      <c r="M104" s="1" t="s">
        <v>53</v>
      </c>
      <c r="N104" s="11" t="s">
        <v>188</v>
      </c>
      <c r="O104" s="1" t="s">
        <v>6037</v>
      </c>
      <c r="P104" s="1" t="s">
        <v>627</v>
      </c>
      <c r="Q104" s="18" t="s">
        <v>5361</v>
      </c>
      <c r="R104" s="1" t="s">
        <v>628</v>
      </c>
      <c r="S104" s="8">
        <v>45695</v>
      </c>
      <c r="T104" s="1">
        <v>1</v>
      </c>
      <c r="U104" s="1" t="s">
        <v>629</v>
      </c>
      <c r="V104" s="1" t="s">
        <v>1388</v>
      </c>
      <c r="W104" s="1" t="s">
        <v>1388</v>
      </c>
    </row>
    <row r="105" spans="1:23" x14ac:dyDescent="0.25">
      <c r="A105" s="1" t="s">
        <v>48</v>
      </c>
      <c r="B105" s="1" t="s">
        <v>630</v>
      </c>
      <c r="C105" s="1" t="s">
        <v>50</v>
      </c>
      <c r="D105" s="1" t="s">
        <v>631</v>
      </c>
      <c r="E105" s="1" t="s">
        <v>632</v>
      </c>
      <c r="F105" s="22" t="s">
        <v>6085</v>
      </c>
      <c r="G105" s="1" t="s">
        <v>6</v>
      </c>
      <c r="H105" s="1" t="s">
        <v>20</v>
      </c>
      <c r="I105" s="1" t="s">
        <v>26</v>
      </c>
      <c r="J105" s="1" t="s">
        <v>9</v>
      </c>
      <c r="K105" s="1" t="s">
        <v>12</v>
      </c>
      <c r="L105" s="1" t="s">
        <v>12</v>
      </c>
      <c r="M105" s="1" t="s">
        <v>78</v>
      </c>
      <c r="N105" s="1" t="s">
        <v>188</v>
      </c>
      <c r="O105" s="2" t="s">
        <v>6235</v>
      </c>
      <c r="P105" s="1" t="s">
        <v>126</v>
      </c>
      <c r="Q105" s="1" t="s">
        <v>5362</v>
      </c>
      <c r="R105" s="1" t="s">
        <v>633</v>
      </c>
      <c r="S105" s="8">
        <v>45712</v>
      </c>
      <c r="T105" s="1">
        <v>2</v>
      </c>
      <c r="U105" s="1" t="s">
        <v>634</v>
      </c>
      <c r="V105" s="1" t="s">
        <v>635</v>
      </c>
      <c r="W105" s="1" t="s">
        <v>1388</v>
      </c>
    </row>
    <row r="106" spans="1:23" x14ac:dyDescent="0.25">
      <c r="A106" s="1" t="s">
        <v>48</v>
      </c>
      <c r="B106" s="1" t="s">
        <v>636</v>
      </c>
      <c r="C106" s="1" t="s">
        <v>50</v>
      </c>
      <c r="D106" s="1" t="s">
        <v>637</v>
      </c>
      <c r="E106" s="1" t="s">
        <v>638</v>
      </c>
      <c r="F106" s="22" t="s">
        <v>5259</v>
      </c>
      <c r="G106" s="1" t="s">
        <v>6</v>
      </c>
      <c r="H106" s="1" t="s">
        <v>20</v>
      </c>
      <c r="I106" s="1" t="s">
        <v>26</v>
      </c>
      <c r="J106" s="1" t="s">
        <v>9</v>
      </c>
      <c r="K106" s="1" t="s">
        <v>15</v>
      </c>
      <c r="L106" s="1" t="s">
        <v>15</v>
      </c>
      <c r="M106" s="1" t="s">
        <v>78</v>
      </c>
      <c r="N106" s="14" t="s">
        <v>5226</v>
      </c>
      <c r="O106" s="1" t="s">
        <v>6037</v>
      </c>
      <c r="P106" s="1" t="s">
        <v>639</v>
      </c>
      <c r="Q106" s="1" t="s">
        <v>5363</v>
      </c>
      <c r="R106" s="1" t="s">
        <v>640</v>
      </c>
      <c r="S106" s="8">
        <v>45747</v>
      </c>
      <c r="T106" s="1">
        <v>2</v>
      </c>
      <c r="U106" s="1" t="s">
        <v>87</v>
      </c>
      <c r="V106" s="1" t="s">
        <v>641</v>
      </c>
      <c r="W106" s="1" t="s">
        <v>1388</v>
      </c>
    </row>
    <row r="107" spans="1:23" x14ac:dyDescent="0.25">
      <c r="A107" s="1" t="s">
        <v>48</v>
      </c>
      <c r="B107" s="1" t="s">
        <v>642</v>
      </c>
      <c r="C107" s="1" t="s">
        <v>50</v>
      </c>
      <c r="D107" s="1" t="s">
        <v>643</v>
      </c>
      <c r="E107" s="1" t="s">
        <v>644</v>
      </c>
      <c r="F107" s="22" t="s">
        <v>6085</v>
      </c>
      <c r="G107" s="1" t="s">
        <v>6</v>
      </c>
      <c r="H107" s="1" t="s">
        <v>20</v>
      </c>
      <c r="I107" s="1" t="s">
        <v>25</v>
      </c>
      <c r="J107" s="1" t="s">
        <v>9</v>
      </c>
      <c r="K107" s="1" t="s">
        <v>19</v>
      </c>
      <c r="L107" s="1" t="s">
        <v>19</v>
      </c>
      <c r="M107" s="1" t="s">
        <v>53</v>
      </c>
      <c r="N107" s="11" t="s">
        <v>188</v>
      </c>
      <c r="O107" s="1" t="s">
        <v>6037</v>
      </c>
      <c r="P107" s="1" t="s">
        <v>60</v>
      </c>
      <c r="Q107" s="1" t="s">
        <v>5364</v>
      </c>
      <c r="R107" s="1" t="s">
        <v>645</v>
      </c>
      <c r="S107" s="8">
        <v>46027</v>
      </c>
      <c r="T107" s="1">
        <v>1</v>
      </c>
      <c r="U107" s="1" t="s">
        <v>646</v>
      </c>
      <c r="V107" s="1" t="s">
        <v>1388</v>
      </c>
      <c r="W107" s="1" t="s">
        <v>1388</v>
      </c>
    </row>
    <row r="108" spans="1:23" x14ac:dyDescent="0.25">
      <c r="A108" s="1" t="s">
        <v>48</v>
      </c>
      <c r="B108" s="1" t="s">
        <v>647</v>
      </c>
      <c r="C108" s="1" t="s">
        <v>50</v>
      </c>
      <c r="D108" s="1" t="s">
        <v>648</v>
      </c>
      <c r="E108" s="1" t="s">
        <v>649</v>
      </c>
      <c r="F108" s="22" t="s">
        <v>3</v>
      </c>
      <c r="G108" s="1" t="s">
        <v>6</v>
      </c>
      <c r="H108" s="1" t="s">
        <v>20</v>
      </c>
      <c r="I108" s="1" t="s">
        <v>25</v>
      </c>
      <c r="J108" s="1" t="s">
        <v>9</v>
      </c>
      <c r="K108" s="1" t="s">
        <v>13</v>
      </c>
      <c r="L108" s="1" t="s">
        <v>13</v>
      </c>
      <c r="M108" s="1" t="s">
        <v>53</v>
      </c>
      <c r="N108" s="11" t="s">
        <v>188</v>
      </c>
      <c r="O108" s="1" t="s">
        <v>6037</v>
      </c>
      <c r="P108" s="1" t="s">
        <v>650</v>
      </c>
      <c r="Q108" s="1" t="s">
        <v>5365</v>
      </c>
      <c r="R108" s="7" t="s">
        <v>651</v>
      </c>
      <c r="S108" s="8">
        <v>46023</v>
      </c>
      <c r="T108" s="1">
        <v>2</v>
      </c>
      <c r="U108" s="1" t="s">
        <v>209</v>
      </c>
      <c r="V108" s="1" t="s">
        <v>652</v>
      </c>
      <c r="W108" s="1" t="s">
        <v>1388</v>
      </c>
    </row>
    <row r="109" spans="1:23" x14ac:dyDescent="0.25">
      <c r="A109" s="1" t="s">
        <v>48</v>
      </c>
      <c r="B109" s="1" t="s">
        <v>1016</v>
      </c>
      <c r="C109" s="1" t="s">
        <v>50</v>
      </c>
      <c r="D109" s="1" t="s">
        <v>1074</v>
      </c>
      <c r="E109" s="1" t="s">
        <v>1075</v>
      </c>
      <c r="F109" s="22" t="s">
        <v>6085</v>
      </c>
      <c r="G109" s="1" t="s">
        <v>7</v>
      </c>
      <c r="H109" s="1" t="s">
        <v>17</v>
      </c>
      <c r="I109" s="1" t="s">
        <v>25</v>
      </c>
      <c r="J109" s="1" t="s">
        <v>9</v>
      </c>
      <c r="K109" s="1" t="s">
        <v>12</v>
      </c>
      <c r="L109" s="1" t="s">
        <v>12</v>
      </c>
      <c r="M109" s="1" t="s">
        <v>53</v>
      </c>
      <c r="N109" s="11" t="s">
        <v>188</v>
      </c>
      <c r="O109" s="1" t="s">
        <v>6037</v>
      </c>
      <c r="P109" s="1" t="s">
        <v>1384</v>
      </c>
      <c r="Q109" s="1" t="s">
        <v>5366</v>
      </c>
      <c r="R109" s="1" t="s">
        <v>1385</v>
      </c>
      <c r="S109" s="8">
        <v>46032</v>
      </c>
      <c r="T109" s="1">
        <v>2</v>
      </c>
      <c r="U109" s="1" t="s">
        <v>1386</v>
      </c>
      <c r="V109" s="1" t="s">
        <v>1387</v>
      </c>
      <c r="W109" s="1" t="s">
        <v>1388</v>
      </c>
    </row>
    <row r="110" spans="1:23" x14ac:dyDescent="0.25">
      <c r="A110" s="1" t="s">
        <v>48</v>
      </c>
      <c r="B110" s="1" t="s">
        <v>653</v>
      </c>
      <c r="C110" s="1" t="s">
        <v>50</v>
      </c>
      <c r="D110" s="1" t="s">
        <v>654</v>
      </c>
      <c r="E110" s="1" t="s">
        <v>655</v>
      </c>
      <c r="F110" s="22" t="s">
        <v>6085</v>
      </c>
      <c r="G110" s="1" t="s">
        <v>6</v>
      </c>
      <c r="H110" s="1" t="s">
        <v>20</v>
      </c>
      <c r="I110" s="1" t="s">
        <v>25</v>
      </c>
      <c r="J110" s="1" t="s">
        <v>9</v>
      </c>
      <c r="K110" s="1" t="s">
        <v>18</v>
      </c>
      <c r="L110" s="1" t="s">
        <v>14</v>
      </c>
      <c r="M110" s="1" t="s">
        <v>53</v>
      </c>
      <c r="N110" s="11" t="s">
        <v>188</v>
      </c>
      <c r="O110" s="1" t="s">
        <v>6037</v>
      </c>
      <c r="P110" s="1" t="s">
        <v>656</v>
      </c>
      <c r="Q110" s="1" t="s">
        <v>5367</v>
      </c>
      <c r="R110" s="20" t="s">
        <v>657</v>
      </c>
      <c r="S110" s="8">
        <v>45717</v>
      </c>
      <c r="T110" s="1">
        <v>2</v>
      </c>
      <c r="U110" s="1" t="s">
        <v>658</v>
      </c>
      <c r="V110" s="1" t="s">
        <v>659</v>
      </c>
      <c r="W110" s="1" t="s">
        <v>1388</v>
      </c>
    </row>
    <row r="111" spans="1:23" x14ac:dyDescent="0.25">
      <c r="A111" s="1" t="s">
        <v>48</v>
      </c>
      <c r="B111" s="1" t="s">
        <v>660</v>
      </c>
      <c r="C111" s="1" t="s">
        <v>50</v>
      </c>
      <c r="D111" s="1" t="s">
        <v>661</v>
      </c>
      <c r="E111" s="1" t="s">
        <v>662</v>
      </c>
      <c r="F111" s="22" t="s">
        <v>6085</v>
      </c>
      <c r="G111" s="1" t="s">
        <v>6</v>
      </c>
      <c r="H111" s="1" t="s">
        <v>24</v>
      </c>
      <c r="I111" s="1" t="s">
        <v>25</v>
      </c>
      <c r="J111" s="1" t="s">
        <v>9</v>
      </c>
      <c r="K111" s="1" t="s">
        <v>13</v>
      </c>
      <c r="L111" s="1" t="s">
        <v>13</v>
      </c>
      <c r="M111" s="1" t="s">
        <v>53</v>
      </c>
      <c r="N111" s="11" t="s">
        <v>188</v>
      </c>
      <c r="O111" s="1" t="s">
        <v>6037</v>
      </c>
      <c r="P111" s="1" t="s">
        <v>60</v>
      </c>
      <c r="Q111" s="1" t="s">
        <v>5368</v>
      </c>
      <c r="R111" s="1" t="s">
        <v>663</v>
      </c>
      <c r="S111" s="8">
        <v>45658</v>
      </c>
      <c r="T111" s="1">
        <v>1</v>
      </c>
      <c r="U111" s="1" t="s">
        <v>664</v>
      </c>
      <c r="V111" s="1" t="s">
        <v>1388</v>
      </c>
      <c r="W111" s="1" t="s">
        <v>1388</v>
      </c>
    </row>
    <row r="112" spans="1:23" x14ac:dyDescent="0.25">
      <c r="A112" s="1" t="s">
        <v>48</v>
      </c>
      <c r="B112" s="1" t="s">
        <v>665</v>
      </c>
      <c r="C112" s="1" t="s">
        <v>50</v>
      </c>
      <c r="D112" s="1" t="s">
        <v>666</v>
      </c>
      <c r="E112" s="1" t="s">
        <v>667</v>
      </c>
      <c r="F112" s="22" t="s">
        <v>6085</v>
      </c>
      <c r="G112" s="1" t="s">
        <v>5</v>
      </c>
      <c r="H112" s="1" t="s">
        <v>20</v>
      </c>
      <c r="I112" s="1" t="s">
        <v>26</v>
      </c>
      <c r="J112" s="1" t="s">
        <v>9</v>
      </c>
      <c r="K112" s="1" t="s">
        <v>14</v>
      </c>
      <c r="L112" s="1" t="s">
        <v>14</v>
      </c>
      <c r="M112" s="1" t="s">
        <v>53</v>
      </c>
      <c r="N112" s="11" t="s">
        <v>188</v>
      </c>
      <c r="O112" s="1" t="s">
        <v>6037</v>
      </c>
      <c r="P112" s="1" t="s">
        <v>668</v>
      </c>
      <c r="Q112" s="1" t="s">
        <v>5369</v>
      </c>
      <c r="R112" s="1" t="s">
        <v>669</v>
      </c>
      <c r="S112" s="8">
        <v>45663</v>
      </c>
      <c r="T112" s="1">
        <v>3</v>
      </c>
      <c r="U112" s="1" t="s">
        <v>670</v>
      </c>
      <c r="V112" s="1" t="s">
        <v>671</v>
      </c>
      <c r="W112" s="1" t="s">
        <v>672</v>
      </c>
    </row>
    <row r="113" spans="1:23" x14ac:dyDescent="0.25">
      <c r="A113" s="2" t="s">
        <v>48</v>
      </c>
      <c r="B113" s="2" t="s">
        <v>678</v>
      </c>
      <c r="C113" s="2" t="s">
        <v>50</v>
      </c>
      <c r="D113" s="2" t="s">
        <v>679</v>
      </c>
      <c r="E113" s="2" t="s">
        <v>680</v>
      </c>
      <c r="F113" s="22" t="s">
        <v>3</v>
      </c>
      <c r="G113" s="1" t="s">
        <v>6</v>
      </c>
      <c r="H113" s="1" t="s">
        <v>20</v>
      </c>
      <c r="I113" s="1" t="s">
        <v>25</v>
      </c>
      <c r="J113" s="1" t="s">
        <v>9</v>
      </c>
      <c r="K113" s="1" t="s">
        <v>14</v>
      </c>
      <c r="L113" s="1" t="s">
        <v>14</v>
      </c>
      <c r="M113" s="2" t="s">
        <v>78</v>
      </c>
      <c r="N113" s="11" t="s">
        <v>188</v>
      </c>
      <c r="O113" s="1" t="s">
        <v>6037</v>
      </c>
      <c r="P113" s="2" t="s">
        <v>593</v>
      </c>
      <c r="Q113" s="2" t="s">
        <v>5370</v>
      </c>
      <c r="R113" s="7" t="s">
        <v>681</v>
      </c>
      <c r="S113" s="9">
        <v>46037</v>
      </c>
      <c r="T113" s="2">
        <v>1</v>
      </c>
      <c r="U113" s="2" t="s">
        <v>682</v>
      </c>
      <c r="V113" s="2" t="s">
        <v>1388</v>
      </c>
      <c r="W113" s="2" t="s">
        <v>1388</v>
      </c>
    </row>
    <row r="114" spans="1:23" x14ac:dyDescent="0.25">
      <c r="A114" s="1" t="s">
        <v>48</v>
      </c>
      <c r="B114" s="1" t="s">
        <v>683</v>
      </c>
      <c r="C114" s="1" t="s">
        <v>50</v>
      </c>
      <c r="D114" s="1" t="s">
        <v>684</v>
      </c>
      <c r="E114" s="1" t="s">
        <v>685</v>
      </c>
      <c r="F114" s="22" t="s">
        <v>5259</v>
      </c>
      <c r="G114" s="1" t="s">
        <v>5</v>
      </c>
      <c r="H114" s="1" t="s">
        <v>20</v>
      </c>
      <c r="I114" s="1" t="s">
        <v>26</v>
      </c>
      <c r="J114" s="1" t="s">
        <v>9</v>
      </c>
      <c r="K114" s="1" t="s">
        <v>11</v>
      </c>
      <c r="L114" s="1" t="s">
        <v>11</v>
      </c>
      <c r="M114" s="1" t="s">
        <v>78</v>
      </c>
      <c r="N114" s="14" t="s">
        <v>5229</v>
      </c>
      <c r="O114" s="1" t="s">
        <v>6037</v>
      </c>
      <c r="P114" s="1" t="s">
        <v>313</v>
      </c>
      <c r="Q114" s="1" t="s">
        <v>5371</v>
      </c>
      <c r="R114" s="1" t="s">
        <v>686</v>
      </c>
      <c r="S114" s="8">
        <v>45690</v>
      </c>
      <c r="T114" s="1">
        <v>3</v>
      </c>
      <c r="U114" s="1" t="s">
        <v>687</v>
      </c>
      <c r="V114" s="1" t="s">
        <v>687</v>
      </c>
      <c r="W114" s="1" t="s">
        <v>687</v>
      </c>
    </row>
    <row r="115" spans="1:23" x14ac:dyDescent="0.25">
      <c r="A115" s="1" t="s">
        <v>48</v>
      </c>
      <c r="B115" s="1" t="s">
        <v>673</v>
      </c>
      <c r="C115" s="1" t="s">
        <v>50</v>
      </c>
      <c r="D115" s="1" t="s">
        <v>674</v>
      </c>
      <c r="E115" s="1" t="s">
        <v>675</v>
      </c>
      <c r="F115" s="22" t="s">
        <v>5259</v>
      </c>
      <c r="G115" s="1" t="s">
        <v>6</v>
      </c>
      <c r="H115" s="1" t="s">
        <v>20</v>
      </c>
      <c r="I115" s="1" t="s">
        <v>25</v>
      </c>
      <c r="J115" s="1" t="s">
        <v>9</v>
      </c>
      <c r="K115" s="1" t="s">
        <v>14</v>
      </c>
      <c r="L115" s="1" t="s">
        <v>10</v>
      </c>
      <c r="M115" s="1" t="s">
        <v>53</v>
      </c>
      <c r="N115" s="1" t="s">
        <v>5226</v>
      </c>
      <c r="O115" s="1" t="s">
        <v>6037</v>
      </c>
      <c r="P115" s="1" t="s">
        <v>377</v>
      </c>
      <c r="Q115" s="1" t="s">
        <v>5372</v>
      </c>
      <c r="R115" s="1" t="s">
        <v>676</v>
      </c>
      <c r="S115" s="8">
        <v>46113</v>
      </c>
      <c r="T115" s="1">
        <v>3</v>
      </c>
      <c r="U115" s="1" t="s">
        <v>677</v>
      </c>
      <c r="V115" s="1" t="s">
        <v>677</v>
      </c>
      <c r="W115" s="1" t="s">
        <v>677</v>
      </c>
    </row>
    <row r="116" spans="1:23" x14ac:dyDescent="0.25">
      <c r="A116" s="1" t="s">
        <v>48</v>
      </c>
      <c r="B116" s="1" t="s">
        <v>688</v>
      </c>
      <c r="C116" s="1" t="s">
        <v>50</v>
      </c>
      <c r="D116" s="1" t="s">
        <v>689</v>
      </c>
      <c r="E116" s="1" t="s">
        <v>690</v>
      </c>
      <c r="F116" s="22" t="s">
        <v>6085</v>
      </c>
      <c r="G116" s="1" t="s">
        <v>6</v>
      </c>
      <c r="H116" s="1" t="s">
        <v>20</v>
      </c>
      <c r="I116" s="1" t="s">
        <v>25</v>
      </c>
      <c r="J116" s="1" t="s">
        <v>9</v>
      </c>
      <c r="K116" s="1" t="s">
        <v>19</v>
      </c>
      <c r="L116" s="1" t="s">
        <v>19</v>
      </c>
      <c r="M116" s="1" t="s">
        <v>53</v>
      </c>
      <c r="N116" s="11" t="s">
        <v>188</v>
      </c>
      <c r="O116" s="1" t="s">
        <v>6037</v>
      </c>
      <c r="P116" s="1" t="s">
        <v>284</v>
      </c>
      <c r="Q116" s="1" t="s">
        <v>5373</v>
      </c>
      <c r="R116" s="1" t="s">
        <v>691</v>
      </c>
      <c r="S116" s="8">
        <v>45663</v>
      </c>
      <c r="T116" s="1">
        <v>2</v>
      </c>
      <c r="U116" s="1" t="s">
        <v>152</v>
      </c>
      <c r="V116" s="1" t="s">
        <v>152</v>
      </c>
      <c r="W116" s="1" t="s">
        <v>1388</v>
      </c>
    </row>
    <row r="117" spans="1:23" x14ac:dyDescent="0.25">
      <c r="A117" s="1" t="s">
        <v>48</v>
      </c>
      <c r="B117" s="1" t="s">
        <v>697</v>
      </c>
      <c r="C117" s="1" t="s">
        <v>50</v>
      </c>
      <c r="D117" s="1" t="s">
        <v>698</v>
      </c>
      <c r="E117" s="1" t="s">
        <v>699</v>
      </c>
      <c r="F117" s="22" t="s">
        <v>6085</v>
      </c>
      <c r="G117" s="1" t="s">
        <v>6</v>
      </c>
      <c r="H117" s="1" t="s">
        <v>24</v>
      </c>
      <c r="I117" s="1" t="s">
        <v>25</v>
      </c>
      <c r="J117" s="1" t="s">
        <v>9</v>
      </c>
      <c r="K117" s="1" t="s">
        <v>13</v>
      </c>
      <c r="L117" s="1" t="s">
        <v>13</v>
      </c>
      <c r="M117" s="1" t="s">
        <v>78</v>
      </c>
      <c r="N117" s="1" t="s">
        <v>188</v>
      </c>
      <c r="O117" s="2" t="s">
        <v>6235</v>
      </c>
      <c r="P117" s="1" t="s">
        <v>700</v>
      </c>
      <c r="Q117" s="1" t="s">
        <v>5374</v>
      </c>
      <c r="R117" s="1" t="s">
        <v>701</v>
      </c>
      <c r="S117" s="8">
        <v>45813</v>
      </c>
      <c r="T117" s="1">
        <v>2</v>
      </c>
      <c r="U117" s="1" t="s">
        <v>702</v>
      </c>
      <c r="V117" s="1" t="s">
        <v>703</v>
      </c>
      <c r="W117" s="1" t="s">
        <v>1388</v>
      </c>
    </row>
    <row r="118" spans="1:23" x14ac:dyDescent="0.25">
      <c r="A118" s="1" t="s">
        <v>48</v>
      </c>
      <c r="B118" s="1" t="s">
        <v>692</v>
      </c>
      <c r="C118" s="1" t="s">
        <v>50</v>
      </c>
      <c r="D118" s="1" t="s">
        <v>693</v>
      </c>
      <c r="E118" s="1" t="s">
        <v>694</v>
      </c>
      <c r="F118" s="22" t="s">
        <v>3</v>
      </c>
      <c r="G118" s="1" t="s">
        <v>5</v>
      </c>
      <c r="H118" s="1" t="s">
        <v>24</v>
      </c>
      <c r="I118" s="1" t="s">
        <v>26</v>
      </c>
      <c r="J118" s="1" t="s">
        <v>9</v>
      </c>
      <c r="K118" s="1" t="s">
        <v>14</v>
      </c>
      <c r="L118" s="1" t="s">
        <v>14</v>
      </c>
      <c r="M118" s="1" t="s">
        <v>53</v>
      </c>
      <c r="N118" s="1" t="s">
        <v>1014</v>
      </c>
      <c r="O118" s="1" t="s">
        <v>6235</v>
      </c>
      <c r="P118" s="1" t="s">
        <v>66</v>
      </c>
      <c r="Q118" s="1" t="s">
        <v>5375</v>
      </c>
      <c r="R118" s="7" t="s">
        <v>695</v>
      </c>
      <c r="S118" s="8">
        <v>46023</v>
      </c>
      <c r="T118" s="1">
        <v>3</v>
      </c>
      <c r="U118" s="1" t="s">
        <v>696</v>
      </c>
      <c r="V118" s="1" t="s">
        <v>696</v>
      </c>
      <c r="W118" s="1" t="s">
        <v>696</v>
      </c>
    </row>
    <row r="119" spans="1:23" x14ac:dyDescent="0.25">
      <c r="A119" s="1" t="s">
        <v>48</v>
      </c>
      <c r="B119" s="1" t="s">
        <v>704</v>
      </c>
      <c r="C119" s="1" t="s">
        <v>50</v>
      </c>
      <c r="D119" s="1" t="s">
        <v>705</v>
      </c>
      <c r="E119" s="1" t="s">
        <v>706</v>
      </c>
      <c r="F119" s="22" t="s">
        <v>3</v>
      </c>
      <c r="G119" s="1" t="s">
        <v>6</v>
      </c>
      <c r="H119" s="1" t="s">
        <v>20</v>
      </c>
      <c r="I119" s="1" t="s">
        <v>26</v>
      </c>
      <c r="J119" s="1" t="s">
        <v>9</v>
      </c>
      <c r="K119" s="1" t="s">
        <v>14</v>
      </c>
      <c r="L119" s="1" t="s">
        <v>14</v>
      </c>
      <c r="M119" s="1" t="s">
        <v>53</v>
      </c>
      <c r="N119" s="1" t="s">
        <v>1015</v>
      </c>
      <c r="O119" s="1" t="s">
        <v>6235</v>
      </c>
      <c r="P119" s="1" t="s">
        <v>707</v>
      </c>
      <c r="Q119" s="1" t="s">
        <v>5376</v>
      </c>
      <c r="R119" s="7" t="s">
        <v>708</v>
      </c>
      <c r="S119" s="8">
        <v>46069</v>
      </c>
      <c r="T119" s="1">
        <v>2</v>
      </c>
      <c r="U119" s="1" t="s">
        <v>209</v>
      </c>
      <c r="V119" s="1" t="s">
        <v>209</v>
      </c>
      <c r="W119" s="1" t="s">
        <v>1388</v>
      </c>
    </row>
    <row r="120" spans="1:23" x14ac:dyDescent="0.25">
      <c r="A120" s="1" t="s">
        <v>48</v>
      </c>
      <c r="B120" s="1" t="s">
        <v>709</v>
      </c>
      <c r="C120" s="1" t="s">
        <v>50</v>
      </c>
      <c r="D120" s="1" t="s">
        <v>710</v>
      </c>
      <c r="E120" s="1" t="s">
        <v>711</v>
      </c>
      <c r="F120" s="22" t="s">
        <v>6085</v>
      </c>
      <c r="G120" s="1" t="s">
        <v>7</v>
      </c>
      <c r="H120" s="1" t="s">
        <v>20</v>
      </c>
      <c r="I120" s="1" t="s">
        <v>26</v>
      </c>
      <c r="J120" s="1" t="s">
        <v>9</v>
      </c>
      <c r="K120" s="1" t="s">
        <v>13</v>
      </c>
      <c r="L120" s="1" t="s">
        <v>13</v>
      </c>
      <c r="M120" s="1" t="s">
        <v>53</v>
      </c>
      <c r="N120" s="11" t="s">
        <v>188</v>
      </c>
      <c r="O120" s="1" t="s">
        <v>6235</v>
      </c>
      <c r="P120" s="1" t="s">
        <v>247</v>
      </c>
      <c r="Q120" s="1" t="s">
        <v>5377</v>
      </c>
      <c r="R120" s="1" t="s">
        <v>1685</v>
      </c>
      <c r="S120" s="8">
        <v>46023</v>
      </c>
      <c r="T120" s="1">
        <v>2</v>
      </c>
      <c r="U120" s="1" t="s">
        <v>712</v>
      </c>
      <c r="V120" s="1" t="s">
        <v>713</v>
      </c>
      <c r="W120" s="1" t="s">
        <v>1388</v>
      </c>
    </row>
    <row r="121" spans="1:23" x14ac:dyDescent="0.25">
      <c r="A121" s="1" t="s">
        <v>48</v>
      </c>
      <c r="B121" s="1" t="s">
        <v>714</v>
      </c>
      <c r="C121" s="1" t="s">
        <v>50</v>
      </c>
      <c r="D121" s="1" t="s">
        <v>715</v>
      </c>
      <c r="E121" s="1" t="s">
        <v>716</v>
      </c>
      <c r="F121" s="22" t="s">
        <v>6085</v>
      </c>
      <c r="G121" s="1" t="s">
        <v>6</v>
      </c>
      <c r="H121" s="1" t="s">
        <v>24</v>
      </c>
      <c r="I121" s="1" t="s">
        <v>25</v>
      </c>
      <c r="J121" s="1" t="s">
        <v>9</v>
      </c>
      <c r="K121" s="1" t="s">
        <v>14</v>
      </c>
      <c r="L121" s="1" t="s">
        <v>14</v>
      </c>
      <c r="M121" s="1" t="s">
        <v>53</v>
      </c>
      <c r="N121" s="11" t="s">
        <v>188</v>
      </c>
      <c r="O121" s="1" t="s">
        <v>6037</v>
      </c>
      <c r="P121" s="1" t="s">
        <v>60</v>
      </c>
      <c r="Q121" s="1" t="s">
        <v>5299</v>
      </c>
      <c r="R121" s="1" t="s">
        <v>717</v>
      </c>
      <c r="S121" s="8">
        <v>45691</v>
      </c>
      <c r="T121" s="1">
        <v>1</v>
      </c>
      <c r="U121" s="1" t="s">
        <v>718</v>
      </c>
      <c r="V121" s="1" t="s">
        <v>1388</v>
      </c>
      <c r="W121" s="1" t="s">
        <v>1388</v>
      </c>
    </row>
    <row r="122" spans="1:23" x14ac:dyDescent="0.25">
      <c r="A122" s="1" t="s">
        <v>48</v>
      </c>
      <c r="B122" s="1" t="s">
        <v>719</v>
      </c>
      <c r="C122" s="1" t="s">
        <v>50</v>
      </c>
      <c r="D122" s="1" t="s">
        <v>720</v>
      </c>
      <c r="E122" s="1" t="s">
        <v>721</v>
      </c>
      <c r="F122" s="22" t="s">
        <v>5259</v>
      </c>
      <c r="G122" s="1" t="s">
        <v>6</v>
      </c>
      <c r="H122" s="1" t="s">
        <v>21</v>
      </c>
      <c r="I122" s="1" t="s">
        <v>25</v>
      </c>
      <c r="J122" s="1" t="s">
        <v>8</v>
      </c>
      <c r="K122" s="1" t="s">
        <v>18</v>
      </c>
      <c r="L122" s="1" t="s">
        <v>18</v>
      </c>
      <c r="M122" s="1" t="s">
        <v>53</v>
      </c>
      <c r="N122" s="14" t="s">
        <v>1664</v>
      </c>
      <c r="O122" s="1" t="s">
        <v>6037</v>
      </c>
      <c r="P122" s="1" t="s">
        <v>722</v>
      </c>
      <c r="Q122" s="1" t="s">
        <v>5378</v>
      </c>
      <c r="R122" s="10" t="s">
        <v>723</v>
      </c>
      <c r="S122" s="9">
        <v>45894</v>
      </c>
      <c r="T122" s="1">
        <v>2</v>
      </c>
      <c r="U122" s="1" t="s">
        <v>724</v>
      </c>
      <c r="V122" s="1" t="s">
        <v>724</v>
      </c>
      <c r="W122" s="1" t="s">
        <v>1388</v>
      </c>
    </row>
    <row r="123" spans="1:23" x14ac:dyDescent="0.25">
      <c r="A123" s="1" t="s">
        <v>48</v>
      </c>
      <c r="B123" s="1" t="s">
        <v>725</v>
      </c>
      <c r="C123" s="1" t="s">
        <v>50</v>
      </c>
      <c r="D123" s="1" t="s">
        <v>726</v>
      </c>
      <c r="E123" s="1" t="s">
        <v>727</v>
      </c>
      <c r="F123" s="22" t="s">
        <v>3</v>
      </c>
      <c r="G123" s="1" t="s">
        <v>6</v>
      </c>
      <c r="H123" s="1" t="s">
        <v>20</v>
      </c>
      <c r="I123" s="1" t="s">
        <v>25</v>
      </c>
      <c r="J123" s="1" t="s">
        <v>9</v>
      </c>
      <c r="K123" s="1" t="s">
        <v>14</v>
      </c>
      <c r="L123" s="1" t="s">
        <v>17</v>
      </c>
      <c r="M123" s="1" t="s">
        <v>53</v>
      </c>
      <c r="N123" s="11" t="s">
        <v>188</v>
      </c>
      <c r="O123" s="1" t="s">
        <v>6235</v>
      </c>
      <c r="P123" s="1" t="s">
        <v>728</v>
      </c>
      <c r="Q123" s="1" t="s">
        <v>5379</v>
      </c>
      <c r="R123" s="7" t="s">
        <v>729</v>
      </c>
      <c r="S123" s="8">
        <v>46023</v>
      </c>
      <c r="T123" s="1">
        <v>2</v>
      </c>
      <c r="U123" s="1" t="s">
        <v>730</v>
      </c>
      <c r="V123" s="1" t="s">
        <v>730</v>
      </c>
      <c r="W123" s="1" t="s">
        <v>1388</v>
      </c>
    </row>
    <row r="124" spans="1:23" x14ac:dyDescent="0.25">
      <c r="A124" s="1" t="s">
        <v>48</v>
      </c>
      <c r="B124" s="1" t="s">
        <v>731</v>
      </c>
      <c r="C124" s="1" t="s">
        <v>50</v>
      </c>
      <c r="D124" s="1" t="s">
        <v>732</v>
      </c>
      <c r="E124" s="1" t="s">
        <v>733</v>
      </c>
      <c r="F124" s="22" t="s">
        <v>6085</v>
      </c>
      <c r="G124" s="1" t="s">
        <v>5</v>
      </c>
      <c r="H124" s="1" t="s">
        <v>20</v>
      </c>
      <c r="I124" s="1" t="s">
        <v>25</v>
      </c>
      <c r="J124" s="1" t="s">
        <v>9</v>
      </c>
      <c r="K124" s="1" t="s">
        <v>13</v>
      </c>
      <c r="L124" s="1" t="s">
        <v>13</v>
      </c>
      <c r="M124" s="1" t="s">
        <v>53</v>
      </c>
      <c r="N124" s="11" t="s">
        <v>188</v>
      </c>
      <c r="O124" s="1" t="s">
        <v>6037</v>
      </c>
      <c r="P124" s="1" t="s">
        <v>563</v>
      </c>
      <c r="Q124" s="1" t="s">
        <v>5380</v>
      </c>
      <c r="R124" s="1" t="s">
        <v>734</v>
      </c>
      <c r="S124" s="8">
        <v>46174</v>
      </c>
      <c r="T124" s="1">
        <v>3</v>
      </c>
      <c r="U124" s="1" t="s">
        <v>735</v>
      </c>
      <c r="V124" s="1" t="s">
        <v>736</v>
      </c>
      <c r="W124" s="1" t="s">
        <v>737</v>
      </c>
    </row>
    <row r="125" spans="1:23" x14ac:dyDescent="0.25">
      <c r="A125" s="1" t="s">
        <v>48</v>
      </c>
      <c r="B125" s="1" t="s">
        <v>1219</v>
      </c>
      <c r="C125" s="1" t="s">
        <v>50</v>
      </c>
      <c r="D125" s="1" t="s">
        <v>1311</v>
      </c>
      <c r="E125" s="1" t="s">
        <v>1312</v>
      </c>
      <c r="F125" s="22" t="s">
        <v>6085</v>
      </c>
      <c r="G125" s="1" t="s">
        <v>6</v>
      </c>
      <c r="H125" s="1" t="s">
        <v>20</v>
      </c>
      <c r="I125" s="1" t="s">
        <v>25</v>
      </c>
      <c r="J125" s="1" t="s">
        <v>9</v>
      </c>
      <c r="K125" s="1" t="s">
        <v>14</v>
      </c>
      <c r="L125" s="1" t="s">
        <v>14</v>
      </c>
      <c r="M125" s="1" t="s">
        <v>53</v>
      </c>
      <c r="N125" s="11" t="s">
        <v>188</v>
      </c>
      <c r="O125" s="1" t="s">
        <v>6037</v>
      </c>
      <c r="P125" s="1" t="s">
        <v>707</v>
      </c>
      <c r="Q125" s="1" t="s">
        <v>5381</v>
      </c>
      <c r="R125" s="1" t="s">
        <v>1585</v>
      </c>
      <c r="S125" s="8">
        <v>46069</v>
      </c>
      <c r="T125" s="1">
        <v>2</v>
      </c>
      <c r="U125" s="1" t="s">
        <v>302</v>
      </c>
      <c r="V125" s="1" t="s">
        <v>302</v>
      </c>
      <c r="W125" s="1" t="s">
        <v>1388</v>
      </c>
    </row>
    <row r="126" spans="1:23" x14ac:dyDescent="0.25">
      <c r="A126" s="1" t="s">
        <v>48</v>
      </c>
      <c r="B126" s="1" t="s">
        <v>1202</v>
      </c>
      <c r="C126" s="1" t="s">
        <v>50</v>
      </c>
      <c r="D126" s="1" t="s">
        <v>1277</v>
      </c>
      <c r="E126" s="1" t="s">
        <v>1278</v>
      </c>
      <c r="F126" s="22" t="s">
        <v>6085</v>
      </c>
      <c r="G126" s="1" t="s">
        <v>6</v>
      </c>
      <c r="H126" s="1" t="s">
        <v>20</v>
      </c>
      <c r="I126" s="1" t="s">
        <v>25</v>
      </c>
      <c r="J126" s="1" t="s">
        <v>9</v>
      </c>
      <c r="K126" s="1" t="s">
        <v>11</v>
      </c>
      <c r="L126" s="1" t="s">
        <v>11</v>
      </c>
      <c r="M126" s="1" t="s">
        <v>53</v>
      </c>
      <c r="N126" s="11" t="s">
        <v>188</v>
      </c>
      <c r="O126" s="1" t="s">
        <v>6037</v>
      </c>
      <c r="P126" s="1" t="s">
        <v>139</v>
      </c>
      <c r="Q126" s="1" t="s">
        <v>5382</v>
      </c>
      <c r="R126" s="1" t="s">
        <v>1539</v>
      </c>
      <c r="S126" s="8">
        <v>46125</v>
      </c>
      <c r="T126" s="1">
        <v>2</v>
      </c>
      <c r="U126" s="1" t="s">
        <v>1540</v>
      </c>
      <c r="V126" s="1" t="s">
        <v>1541</v>
      </c>
      <c r="W126" s="1" t="s">
        <v>1388</v>
      </c>
    </row>
    <row r="127" spans="1:23" x14ac:dyDescent="0.25">
      <c r="A127" s="1" t="s">
        <v>48</v>
      </c>
      <c r="B127" s="1" t="s">
        <v>738</v>
      </c>
      <c r="C127" s="1" t="s">
        <v>50</v>
      </c>
      <c r="D127" s="1" t="s">
        <v>545</v>
      </c>
      <c r="E127" s="1" t="s">
        <v>546</v>
      </c>
      <c r="F127" s="22" t="s">
        <v>6085</v>
      </c>
      <c r="G127" s="1" t="s">
        <v>6</v>
      </c>
      <c r="H127" s="1" t="s">
        <v>20</v>
      </c>
      <c r="I127" s="1" t="s">
        <v>26</v>
      </c>
      <c r="J127" s="1" t="s">
        <v>9</v>
      </c>
      <c r="K127" s="1" t="s">
        <v>16</v>
      </c>
      <c r="L127" s="1" t="s">
        <v>16</v>
      </c>
      <c r="M127" s="1" t="s">
        <v>53</v>
      </c>
      <c r="N127" s="11" t="s">
        <v>188</v>
      </c>
      <c r="O127" s="1" t="s">
        <v>6235</v>
      </c>
      <c r="P127" s="1" t="s">
        <v>66</v>
      </c>
      <c r="Q127" s="1" t="s">
        <v>5347</v>
      </c>
      <c r="R127" s="1" t="s">
        <v>739</v>
      </c>
      <c r="S127" s="8">
        <v>45658</v>
      </c>
      <c r="T127" s="1">
        <v>2</v>
      </c>
      <c r="U127" s="1" t="s">
        <v>1588</v>
      </c>
      <c r="V127" s="1" t="s">
        <v>1588</v>
      </c>
      <c r="W127" s="1" t="s">
        <v>1388</v>
      </c>
    </row>
    <row r="128" spans="1:23" x14ac:dyDescent="0.25">
      <c r="A128" s="1" t="s">
        <v>48</v>
      </c>
      <c r="B128" s="1" t="s">
        <v>1017</v>
      </c>
      <c r="C128" s="1" t="s">
        <v>50</v>
      </c>
      <c r="D128" s="1" t="s">
        <v>1076</v>
      </c>
      <c r="E128" s="1" t="s">
        <v>1077</v>
      </c>
      <c r="F128" s="22" t="s">
        <v>5259</v>
      </c>
      <c r="G128" s="1" t="s">
        <v>6</v>
      </c>
      <c r="H128" s="1" t="s">
        <v>20</v>
      </c>
      <c r="I128" s="1" t="s">
        <v>25</v>
      </c>
      <c r="J128" s="1" t="s">
        <v>9</v>
      </c>
      <c r="K128" s="1" t="s">
        <v>13</v>
      </c>
      <c r="L128" s="1" t="s">
        <v>13</v>
      </c>
      <c r="M128" s="1" t="s">
        <v>53</v>
      </c>
      <c r="N128" s="14" t="s">
        <v>5226</v>
      </c>
      <c r="O128" s="1" t="s">
        <v>6037</v>
      </c>
      <c r="P128" s="1" t="s">
        <v>1389</v>
      </c>
      <c r="Q128" s="1" t="s">
        <v>5383</v>
      </c>
      <c r="R128" s="1" t="s">
        <v>1390</v>
      </c>
      <c r="S128" s="8">
        <v>46026</v>
      </c>
      <c r="T128" s="1">
        <v>2</v>
      </c>
      <c r="U128" s="1" t="s">
        <v>1391</v>
      </c>
      <c r="V128" s="1" t="s">
        <v>1392</v>
      </c>
      <c r="W128" s="1" t="s">
        <v>1388</v>
      </c>
    </row>
    <row r="129" spans="1:23" x14ac:dyDescent="0.25">
      <c r="A129" s="1" t="s">
        <v>48</v>
      </c>
      <c r="B129" s="1" t="s">
        <v>740</v>
      </c>
      <c r="C129" s="1" t="s">
        <v>50</v>
      </c>
      <c r="D129" s="1" t="s">
        <v>741</v>
      </c>
      <c r="E129" s="1" t="s">
        <v>742</v>
      </c>
      <c r="F129" s="22" t="s">
        <v>3</v>
      </c>
      <c r="G129" s="1" t="s">
        <v>5</v>
      </c>
      <c r="H129" s="1" t="s">
        <v>24</v>
      </c>
      <c r="I129" s="1" t="s">
        <v>26</v>
      </c>
      <c r="J129" s="1" t="s">
        <v>9</v>
      </c>
      <c r="K129" s="1" t="s">
        <v>16</v>
      </c>
      <c r="L129" s="1" t="s">
        <v>16</v>
      </c>
      <c r="M129" s="1" t="s">
        <v>53</v>
      </c>
      <c r="N129" s="14" t="s">
        <v>5226</v>
      </c>
      <c r="O129" s="1" t="s">
        <v>6037</v>
      </c>
      <c r="P129" s="1" t="s">
        <v>107</v>
      </c>
      <c r="Q129" s="1" t="s">
        <v>5384</v>
      </c>
      <c r="R129" s="1" t="s">
        <v>743</v>
      </c>
      <c r="S129" s="8">
        <v>45306</v>
      </c>
      <c r="T129" s="1">
        <v>2</v>
      </c>
      <c r="U129" s="1" t="s">
        <v>744</v>
      </c>
      <c r="V129" s="1" t="s">
        <v>745</v>
      </c>
      <c r="W129" s="1" t="s">
        <v>1388</v>
      </c>
    </row>
    <row r="130" spans="1:23" x14ac:dyDescent="0.25">
      <c r="A130" s="1" t="s">
        <v>48</v>
      </c>
      <c r="B130" s="1" t="s">
        <v>746</v>
      </c>
      <c r="C130" s="1" t="s">
        <v>50</v>
      </c>
      <c r="D130" s="1" t="s">
        <v>747</v>
      </c>
      <c r="E130" s="1" t="s">
        <v>748</v>
      </c>
      <c r="F130" s="22" t="s">
        <v>3</v>
      </c>
      <c r="G130" s="1" t="s">
        <v>6</v>
      </c>
      <c r="H130" s="1" t="s">
        <v>20</v>
      </c>
      <c r="I130" s="1" t="s">
        <v>26</v>
      </c>
      <c r="J130" s="1" t="s">
        <v>9</v>
      </c>
      <c r="K130" s="1" t="s">
        <v>15</v>
      </c>
      <c r="L130" s="1" t="s">
        <v>15</v>
      </c>
      <c r="M130" s="1" t="s">
        <v>53</v>
      </c>
      <c r="N130" s="11" t="s">
        <v>188</v>
      </c>
      <c r="O130" s="1" t="s">
        <v>6037</v>
      </c>
      <c r="P130" s="1" t="s">
        <v>240</v>
      </c>
      <c r="Q130" s="1" t="s">
        <v>5385</v>
      </c>
      <c r="R130" s="7" t="s">
        <v>749</v>
      </c>
      <c r="S130" s="8">
        <v>46083</v>
      </c>
      <c r="T130" s="1">
        <v>2</v>
      </c>
      <c r="U130" s="1" t="s">
        <v>750</v>
      </c>
      <c r="V130" s="1" t="s">
        <v>750</v>
      </c>
      <c r="W130" s="1" t="s">
        <v>1388</v>
      </c>
    </row>
    <row r="131" spans="1:23" x14ac:dyDescent="0.25">
      <c r="A131" s="1" t="s">
        <v>48</v>
      </c>
      <c r="B131" s="1" t="s">
        <v>751</v>
      </c>
      <c r="C131" s="1" t="s">
        <v>50</v>
      </c>
      <c r="D131" s="1" t="s">
        <v>752</v>
      </c>
      <c r="E131" s="1" t="s">
        <v>753</v>
      </c>
      <c r="F131" s="22" t="s">
        <v>6085</v>
      </c>
      <c r="G131" s="1" t="s">
        <v>6</v>
      </c>
      <c r="H131" s="1" t="s">
        <v>20</v>
      </c>
      <c r="I131" s="1" t="s">
        <v>25</v>
      </c>
      <c r="J131" s="1" t="s">
        <v>9</v>
      </c>
      <c r="K131" s="1" t="s">
        <v>16</v>
      </c>
      <c r="L131" s="1" t="s">
        <v>16</v>
      </c>
      <c r="M131" s="1" t="s">
        <v>53</v>
      </c>
      <c r="N131" s="11" t="s">
        <v>188</v>
      </c>
      <c r="O131" s="1" t="s">
        <v>6037</v>
      </c>
      <c r="P131" s="1" t="s">
        <v>754</v>
      </c>
      <c r="Q131" s="1" t="s">
        <v>5386</v>
      </c>
      <c r="R131" s="1" t="s">
        <v>755</v>
      </c>
      <c r="S131" s="8">
        <v>45806</v>
      </c>
      <c r="T131" s="1">
        <v>2</v>
      </c>
      <c r="U131" s="1" t="s">
        <v>756</v>
      </c>
      <c r="V131" s="1" t="s">
        <v>757</v>
      </c>
      <c r="W131" s="1" t="s">
        <v>1388</v>
      </c>
    </row>
    <row r="132" spans="1:23" x14ac:dyDescent="0.25">
      <c r="A132" s="1" t="s">
        <v>48</v>
      </c>
      <c r="B132" s="1" t="s">
        <v>758</v>
      </c>
      <c r="C132" s="1" t="s">
        <v>50</v>
      </c>
      <c r="D132" s="1" t="s">
        <v>759</v>
      </c>
      <c r="E132" s="1" t="s">
        <v>760</v>
      </c>
      <c r="F132" s="22" t="s">
        <v>6085</v>
      </c>
      <c r="G132" s="1" t="s">
        <v>6</v>
      </c>
      <c r="H132" s="1" t="s">
        <v>20</v>
      </c>
      <c r="I132" s="1" t="s">
        <v>26</v>
      </c>
      <c r="J132" s="1" t="s">
        <v>9</v>
      </c>
      <c r="K132" s="1" t="s">
        <v>14</v>
      </c>
      <c r="L132" s="1" t="s">
        <v>14</v>
      </c>
      <c r="M132" s="1" t="s">
        <v>53</v>
      </c>
      <c r="N132" s="11" t="s">
        <v>188</v>
      </c>
      <c r="O132" s="1" t="s">
        <v>6037</v>
      </c>
      <c r="P132" s="1" t="s">
        <v>761</v>
      </c>
      <c r="Q132" s="1" t="s">
        <v>4519</v>
      </c>
      <c r="R132" s="1" t="s">
        <v>762</v>
      </c>
      <c r="S132" s="8">
        <v>46023</v>
      </c>
      <c r="T132" s="1">
        <v>2</v>
      </c>
      <c r="U132" s="1" t="s">
        <v>763</v>
      </c>
      <c r="V132" s="1" t="s">
        <v>764</v>
      </c>
      <c r="W132" s="1" t="s">
        <v>1388</v>
      </c>
    </row>
    <row r="133" spans="1:23" x14ac:dyDescent="0.25">
      <c r="A133" s="1" t="s">
        <v>48</v>
      </c>
      <c r="B133" s="1" t="s">
        <v>765</v>
      </c>
      <c r="C133" s="1" t="s">
        <v>50</v>
      </c>
      <c r="D133" s="1" t="s">
        <v>766</v>
      </c>
      <c r="E133" s="1" t="s">
        <v>767</v>
      </c>
      <c r="F133" s="22" t="s">
        <v>3</v>
      </c>
      <c r="G133" s="1" t="s">
        <v>6</v>
      </c>
      <c r="H133" s="1" t="s">
        <v>20</v>
      </c>
      <c r="I133" s="1" t="s">
        <v>25</v>
      </c>
      <c r="J133" s="1" t="s">
        <v>8</v>
      </c>
      <c r="K133" s="1" t="s">
        <v>14</v>
      </c>
      <c r="L133" s="1" t="s">
        <v>17</v>
      </c>
      <c r="M133" s="1" t="s">
        <v>53</v>
      </c>
      <c r="N133" s="1" t="s">
        <v>6032</v>
      </c>
      <c r="O133" s="1" t="s">
        <v>6037</v>
      </c>
      <c r="P133" s="1" t="s">
        <v>768</v>
      </c>
      <c r="Q133" s="1" t="s">
        <v>1479</v>
      </c>
      <c r="R133" s="7" t="s">
        <v>769</v>
      </c>
      <c r="S133" s="8">
        <v>46266</v>
      </c>
      <c r="T133" s="1">
        <v>3</v>
      </c>
      <c r="U133" s="1" t="s">
        <v>770</v>
      </c>
      <c r="V133" s="1" t="s">
        <v>770</v>
      </c>
      <c r="W133" s="1" t="s">
        <v>770</v>
      </c>
    </row>
    <row r="134" spans="1:23" x14ac:dyDescent="0.25">
      <c r="A134" s="1" t="s">
        <v>48</v>
      </c>
      <c r="B134" s="1" t="s">
        <v>771</v>
      </c>
      <c r="C134" s="1" t="s">
        <v>50</v>
      </c>
      <c r="D134" s="1" t="s">
        <v>772</v>
      </c>
      <c r="E134" s="1" t="s">
        <v>773</v>
      </c>
      <c r="F134" s="22" t="s">
        <v>3</v>
      </c>
      <c r="G134" s="1" t="s">
        <v>5</v>
      </c>
      <c r="H134" s="1" t="s">
        <v>20</v>
      </c>
      <c r="I134" s="1" t="s">
        <v>26</v>
      </c>
      <c r="J134" s="1" t="s">
        <v>9</v>
      </c>
      <c r="K134" s="1" t="s">
        <v>11</v>
      </c>
      <c r="L134" s="1" t="s">
        <v>11</v>
      </c>
      <c r="M134" s="1" t="s">
        <v>53</v>
      </c>
      <c r="N134" s="11" t="s">
        <v>188</v>
      </c>
      <c r="O134" s="1" t="s">
        <v>6235</v>
      </c>
      <c r="P134" s="1" t="s">
        <v>774</v>
      </c>
      <c r="Q134" s="1" t="s">
        <v>5387</v>
      </c>
      <c r="R134" s="7" t="s">
        <v>775</v>
      </c>
      <c r="S134" s="8">
        <v>46023</v>
      </c>
      <c r="T134" s="1">
        <v>2</v>
      </c>
      <c r="U134" s="1" t="s">
        <v>776</v>
      </c>
      <c r="V134" s="1" t="s">
        <v>776</v>
      </c>
      <c r="W134" s="1" t="s">
        <v>1388</v>
      </c>
    </row>
    <row r="135" spans="1:23" x14ac:dyDescent="0.25">
      <c r="A135" s="1" t="s">
        <v>48</v>
      </c>
      <c r="B135" s="1" t="s">
        <v>777</v>
      </c>
      <c r="C135" s="1" t="s">
        <v>50</v>
      </c>
      <c r="D135" s="1" t="s">
        <v>778</v>
      </c>
      <c r="E135" s="1" t="s">
        <v>779</v>
      </c>
      <c r="F135" s="22" t="s">
        <v>6085</v>
      </c>
      <c r="G135" s="1" t="s">
        <v>6</v>
      </c>
      <c r="H135" s="1" t="s">
        <v>24</v>
      </c>
      <c r="I135" s="1" t="s">
        <v>25</v>
      </c>
      <c r="J135" s="1" t="s">
        <v>9</v>
      </c>
      <c r="K135" s="1" t="s">
        <v>13</v>
      </c>
      <c r="L135" s="1" t="s">
        <v>13</v>
      </c>
      <c r="M135" s="1" t="s">
        <v>53</v>
      </c>
      <c r="N135" s="11" t="s">
        <v>188</v>
      </c>
      <c r="O135" s="1" t="s">
        <v>6037</v>
      </c>
      <c r="P135" s="1" t="s">
        <v>139</v>
      </c>
      <c r="Q135" s="1" t="s">
        <v>5388</v>
      </c>
      <c r="R135" s="1" t="s">
        <v>780</v>
      </c>
      <c r="S135" s="8">
        <v>46023</v>
      </c>
      <c r="T135" s="1">
        <v>2</v>
      </c>
      <c r="U135" s="1" t="s">
        <v>781</v>
      </c>
      <c r="V135" s="1" t="s">
        <v>782</v>
      </c>
      <c r="W135" s="1" t="s">
        <v>1388</v>
      </c>
    </row>
    <row r="136" spans="1:23" x14ac:dyDescent="0.25">
      <c r="A136" s="1" t="s">
        <v>48</v>
      </c>
      <c r="B136" s="1" t="s">
        <v>1018</v>
      </c>
      <c r="C136" s="1" t="s">
        <v>50</v>
      </c>
      <c r="D136" s="1" t="s">
        <v>1078</v>
      </c>
      <c r="E136" s="1" t="s">
        <v>1079</v>
      </c>
      <c r="F136" s="22" t="s">
        <v>6085</v>
      </c>
      <c r="G136" s="1" t="s">
        <v>5</v>
      </c>
      <c r="H136" s="1" t="s">
        <v>20</v>
      </c>
      <c r="I136" s="1" t="s">
        <v>26</v>
      </c>
      <c r="J136" s="1" t="s">
        <v>9</v>
      </c>
      <c r="K136" s="1" t="s">
        <v>10</v>
      </c>
      <c r="L136" s="1" t="s">
        <v>10</v>
      </c>
      <c r="M136" s="1" t="s">
        <v>53</v>
      </c>
      <c r="N136" s="11" t="s">
        <v>188</v>
      </c>
      <c r="O136" s="1" t="s">
        <v>6037</v>
      </c>
      <c r="P136" s="1" t="s">
        <v>66</v>
      </c>
      <c r="Q136" s="19" t="s">
        <v>5389</v>
      </c>
      <c r="R136" s="1" t="s">
        <v>1393</v>
      </c>
      <c r="S136" s="8">
        <v>45705</v>
      </c>
      <c r="T136" s="1">
        <v>3</v>
      </c>
      <c r="U136" s="1" t="s">
        <v>1394</v>
      </c>
      <c r="V136" s="1" t="s">
        <v>1395</v>
      </c>
      <c r="W136" s="1" t="s">
        <v>1396</v>
      </c>
    </row>
    <row r="137" spans="1:23" x14ac:dyDescent="0.25">
      <c r="A137" s="1" t="s">
        <v>48</v>
      </c>
      <c r="B137" s="1" t="s">
        <v>783</v>
      </c>
      <c r="C137" s="1" t="s">
        <v>50</v>
      </c>
      <c r="D137" s="1" t="s">
        <v>784</v>
      </c>
      <c r="E137" s="1" t="s">
        <v>785</v>
      </c>
      <c r="F137" s="22" t="s">
        <v>6085</v>
      </c>
      <c r="G137" s="1" t="s">
        <v>6</v>
      </c>
      <c r="H137" s="1" t="s">
        <v>20</v>
      </c>
      <c r="I137" s="1" t="s">
        <v>25</v>
      </c>
      <c r="J137" s="1" t="s">
        <v>9</v>
      </c>
      <c r="K137" s="1" t="s">
        <v>13</v>
      </c>
      <c r="L137" s="1" t="s">
        <v>13</v>
      </c>
      <c r="M137" s="1" t="s">
        <v>53</v>
      </c>
      <c r="N137" s="11" t="s">
        <v>188</v>
      </c>
      <c r="O137" s="1" t="s">
        <v>6235</v>
      </c>
      <c r="P137" s="1" t="s">
        <v>284</v>
      </c>
      <c r="Q137" s="1" t="s">
        <v>5390</v>
      </c>
      <c r="R137" s="1" t="s">
        <v>786</v>
      </c>
      <c r="S137" s="8">
        <v>45748</v>
      </c>
      <c r="T137" s="1">
        <v>2</v>
      </c>
      <c r="U137" s="1" t="s">
        <v>1588</v>
      </c>
      <c r="V137" s="1" t="s">
        <v>1686</v>
      </c>
      <c r="W137" s="1" t="s">
        <v>1388</v>
      </c>
    </row>
    <row r="138" spans="1:23" x14ac:dyDescent="0.25">
      <c r="A138" s="1" t="s">
        <v>48</v>
      </c>
      <c r="B138" s="1" t="s">
        <v>787</v>
      </c>
      <c r="C138" s="1" t="s">
        <v>50</v>
      </c>
      <c r="D138" s="1" t="s">
        <v>788</v>
      </c>
      <c r="E138" s="1" t="s">
        <v>789</v>
      </c>
      <c r="F138" s="22" t="s">
        <v>6085</v>
      </c>
      <c r="G138" s="1" t="s">
        <v>5</v>
      </c>
      <c r="H138" s="1" t="s">
        <v>20</v>
      </c>
      <c r="I138" s="1" t="s">
        <v>26</v>
      </c>
      <c r="J138" s="1" t="s">
        <v>9</v>
      </c>
      <c r="K138" s="1" t="s">
        <v>16</v>
      </c>
      <c r="L138" s="1" t="s">
        <v>16</v>
      </c>
      <c r="M138" s="1" t="s">
        <v>53</v>
      </c>
      <c r="N138" s="11" t="s">
        <v>188</v>
      </c>
      <c r="O138" s="1" t="s">
        <v>6235</v>
      </c>
      <c r="P138" s="1" t="s">
        <v>235</v>
      </c>
      <c r="Q138" s="1" t="s">
        <v>5391</v>
      </c>
      <c r="R138" s="1" t="s">
        <v>790</v>
      </c>
      <c r="S138" s="8">
        <v>45334</v>
      </c>
      <c r="T138" s="1">
        <v>1</v>
      </c>
      <c r="U138" s="1" t="s">
        <v>791</v>
      </c>
      <c r="V138" s="1" t="s">
        <v>1388</v>
      </c>
      <c r="W138" s="1" t="s">
        <v>1388</v>
      </c>
    </row>
    <row r="139" spans="1:23" x14ac:dyDescent="0.25">
      <c r="A139" s="1" t="s">
        <v>48</v>
      </c>
      <c r="B139" s="1" t="s">
        <v>1019</v>
      </c>
      <c r="C139" s="1" t="s">
        <v>50</v>
      </c>
      <c r="D139" s="1" t="s">
        <v>1080</v>
      </c>
      <c r="E139" s="1" t="s">
        <v>1081</v>
      </c>
      <c r="F139" s="22" t="s">
        <v>6085</v>
      </c>
      <c r="G139" s="1" t="s">
        <v>6</v>
      </c>
      <c r="H139" s="1" t="s">
        <v>24</v>
      </c>
      <c r="I139" s="1" t="s">
        <v>25</v>
      </c>
      <c r="J139" s="1" t="s">
        <v>9</v>
      </c>
      <c r="K139" s="1" t="s">
        <v>16</v>
      </c>
      <c r="L139" s="1" t="s">
        <v>16</v>
      </c>
      <c r="M139" s="1" t="s">
        <v>53</v>
      </c>
      <c r="N139" s="11" t="s">
        <v>188</v>
      </c>
      <c r="O139" s="1" t="s">
        <v>6037</v>
      </c>
      <c r="P139" s="1" t="s">
        <v>60</v>
      </c>
      <c r="Q139" s="1" t="s">
        <v>5392</v>
      </c>
      <c r="R139" s="1" t="s">
        <v>1397</v>
      </c>
      <c r="S139" s="9">
        <v>46054</v>
      </c>
      <c r="T139" s="1">
        <v>2</v>
      </c>
      <c r="U139" s="1" t="s">
        <v>1398</v>
      </c>
      <c r="V139" s="1" t="s">
        <v>1398</v>
      </c>
      <c r="W139" s="1" t="s">
        <v>1388</v>
      </c>
    </row>
    <row r="140" spans="1:23" x14ac:dyDescent="0.25">
      <c r="A140" s="1" t="s">
        <v>48</v>
      </c>
      <c r="B140" s="1" t="s">
        <v>792</v>
      </c>
      <c r="C140" s="1" t="s">
        <v>50</v>
      </c>
      <c r="D140" s="1" t="s">
        <v>793</v>
      </c>
      <c r="E140" s="1" t="s">
        <v>794</v>
      </c>
      <c r="F140" s="22" t="s">
        <v>6085</v>
      </c>
      <c r="G140" s="1" t="s">
        <v>7</v>
      </c>
      <c r="H140" s="1" t="s">
        <v>20</v>
      </c>
      <c r="I140" s="1" t="s">
        <v>26</v>
      </c>
      <c r="J140" s="1" t="s">
        <v>9</v>
      </c>
      <c r="K140" s="1" t="s">
        <v>12</v>
      </c>
      <c r="L140" s="1" t="s">
        <v>12</v>
      </c>
      <c r="M140" s="1" t="s">
        <v>53</v>
      </c>
      <c r="N140" s="11" t="s">
        <v>188</v>
      </c>
      <c r="O140" s="1" t="s">
        <v>6037</v>
      </c>
      <c r="P140" s="1" t="s">
        <v>247</v>
      </c>
      <c r="Q140" s="1" t="s">
        <v>5393</v>
      </c>
      <c r="R140" s="1" t="s">
        <v>795</v>
      </c>
      <c r="S140" s="8">
        <v>46027</v>
      </c>
      <c r="T140" s="1">
        <v>2</v>
      </c>
      <c r="U140" s="1" t="s">
        <v>796</v>
      </c>
      <c r="V140" s="1" t="s">
        <v>797</v>
      </c>
      <c r="W140" s="1" t="s">
        <v>1388</v>
      </c>
    </row>
    <row r="141" spans="1:23" x14ac:dyDescent="0.25">
      <c r="A141" s="1" t="s">
        <v>48</v>
      </c>
      <c r="B141" s="1" t="s">
        <v>1020</v>
      </c>
      <c r="C141" s="1" t="s">
        <v>50</v>
      </c>
      <c r="D141" s="1" t="s">
        <v>1082</v>
      </c>
      <c r="E141" s="1" t="s">
        <v>1083</v>
      </c>
      <c r="F141" s="22" t="s">
        <v>6085</v>
      </c>
      <c r="G141" s="1" t="s">
        <v>7</v>
      </c>
      <c r="H141" s="1" t="s">
        <v>20</v>
      </c>
      <c r="I141" s="1" t="s">
        <v>25</v>
      </c>
      <c r="J141" s="1" t="s">
        <v>8</v>
      </c>
      <c r="K141" s="1" t="s">
        <v>13</v>
      </c>
      <c r="L141" s="1" t="s">
        <v>13</v>
      </c>
      <c r="M141" s="1" t="s">
        <v>53</v>
      </c>
      <c r="N141" s="1" t="s">
        <v>5247</v>
      </c>
      <c r="O141" s="1" t="s">
        <v>6235</v>
      </c>
      <c r="P141" s="1" t="s">
        <v>1399</v>
      </c>
      <c r="Q141" s="1" t="s">
        <v>5394</v>
      </c>
      <c r="R141" s="1" t="s">
        <v>1687</v>
      </c>
      <c r="S141" s="8">
        <v>45614</v>
      </c>
      <c r="T141" s="1">
        <v>1</v>
      </c>
      <c r="U141" s="1" t="s">
        <v>1688</v>
      </c>
      <c r="V141" s="1" t="s">
        <v>1388</v>
      </c>
      <c r="W141" s="1" t="s">
        <v>1388</v>
      </c>
    </row>
    <row r="142" spans="1:23" x14ac:dyDescent="0.25">
      <c r="A142" s="1" t="s">
        <v>48</v>
      </c>
      <c r="B142" s="1" t="s">
        <v>798</v>
      </c>
      <c r="C142" s="1" t="s">
        <v>50</v>
      </c>
      <c r="D142" s="1" t="s">
        <v>799</v>
      </c>
      <c r="E142" s="1" t="s">
        <v>800</v>
      </c>
      <c r="F142" s="22" t="s">
        <v>5259</v>
      </c>
      <c r="G142" s="1" t="s">
        <v>5</v>
      </c>
      <c r="H142" s="1" t="s">
        <v>20</v>
      </c>
      <c r="I142" s="1" t="s">
        <v>25</v>
      </c>
      <c r="J142" s="1" t="s">
        <v>9</v>
      </c>
      <c r="K142" s="1" t="s">
        <v>16</v>
      </c>
      <c r="L142" s="1" t="s">
        <v>16</v>
      </c>
      <c r="M142" s="1" t="s">
        <v>53</v>
      </c>
      <c r="N142" s="14" t="s">
        <v>5226</v>
      </c>
      <c r="O142" s="1" t="s">
        <v>6037</v>
      </c>
      <c r="P142" s="1" t="s">
        <v>801</v>
      </c>
      <c r="Q142" s="1" t="s">
        <v>5395</v>
      </c>
      <c r="R142" s="1" t="s">
        <v>802</v>
      </c>
      <c r="S142" s="8">
        <v>45691</v>
      </c>
      <c r="T142" s="1">
        <v>3</v>
      </c>
      <c r="U142" s="1" t="s">
        <v>803</v>
      </c>
      <c r="V142" s="1" t="s">
        <v>804</v>
      </c>
      <c r="W142" s="1" t="s">
        <v>804</v>
      </c>
    </row>
    <row r="143" spans="1:23" x14ac:dyDescent="0.25">
      <c r="A143" s="1" t="s">
        <v>48</v>
      </c>
      <c r="B143" s="1" t="s">
        <v>805</v>
      </c>
      <c r="C143" s="1" t="s">
        <v>50</v>
      </c>
      <c r="D143" s="1" t="s">
        <v>806</v>
      </c>
      <c r="E143" s="1" t="s">
        <v>807</v>
      </c>
      <c r="F143" s="22" t="s">
        <v>6085</v>
      </c>
      <c r="G143" s="1" t="s">
        <v>5</v>
      </c>
      <c r="H143" s="1" t="s">
        <v>22</v>
      </c>
      <c r="I143" s="1" t="s">
        <v>25</v>
      </c>
      <c r="J143" s="1" t="s">
        <v>9</v>
      </c>
      <c r="K143" s="1" t="s">
        <v>13</v>
      </c>
      <c r="L143" s="1" t="s">
        <v>13</v>
      </c>
      <c r="M143" s="1" t="s">
        <v>53</v>
      </c>
      <c r="N143" s="11" t="s">
        <v>188</v>
      </c>
      <c r="O143" s="1" t="s">
        <v>6037</v>
      </c>
      <c r="P143" s="1" t="s">
        <v>139</v>
      </c>
      <c r="Q143" s="1" t="s">
        <v>5396</v>
      </c>
      <c r="R143" s="1" t="s">
        <v>808</v>
      </c>
      <c r="S143" s="8">
        <v>45685</v>
      </c>
      <c r="T143" s="1">
        <v>3</v>
      </c>
      <c r="U143" s="1" t="s">
        <v>809</v>
      </c>
      <c r="V143" s="1" t="s">
        <v>810</v>
      </c>
      <c r="W143" s="1" t="s">
        <v>810</v>
      </c>
    </row>
    <row r="144" spans="1:23" x14ac:dyDescent="0.25">
      <c r="A144" s="1" t="s">
        <v>48</v>
      </c>
      <c r="B144" s="7" t="s">
        <v>811</v>
      </c>
      <c r="C144" s="1" t="s">
        <v>50</v>
      </c>
      <c r="D144" s="7" t="s">
        <v>643</v>
      </c>
      <c r="E144" s="1" t="s">
        <v>644</v>
      </c>
      <c r="F144" s="22" t="s">
        <v>3</v>
      </c>
      <c r="G144" s="7" t="s">
        <v>6</v>
      </c>
      <c r="H144" s="1" t="s">
        <v>20</v>
      </c>
      <c r="I144" s="1" t="s">
        <v>25</v>
      </c>
      <c r="J144" s="1" t="s">
        <v>9</v>
      </c>
      <c r="K144" s="7" t="s">
        <v>19</v>
      </c>
      <c r="L144" s="7" t="s">
        <v>19</v>
      </c>
      <c r="M144" s="1" t="s">
        <v>53</v>
      </c>
      <c r="N144" s="11" t="s">
        <v>188</v>
      </c>
      <c r="O144" s="1" t="s">
        <v>6037</v>
      </c>
      <c r="P144" s="7" t="s">
        <v>60</v>
      </c>
      <c r="Q144" s="7" t="s">
        <v>5364</v>
      </c>
      <c r="R144" s="7" t="s">
        <v>812</v>
      </c>
      <c r="S144" s="23">
        <v>46027</v>
      </c>
      <c r="T144" s="7">
        <v>1</v>
      </c>
      <c r="U144" s="7" t="s">
        <v>646</v>
      </c>
      <c r="V144" s="7" t="s">
        <v>1388</v>
      </c>
      <c r="W144" s="7" t="s">
        <v>1388</v>
      </c>
    </row>
    <row r="145" spans="1:23" x14ac:dyDescent="0.25">
      <c r="A145" s="1" t="s">
        <v>48</v>
      </c>
      <c r="B145" s="1" t="s">
        <v>813</v>
      </c>
      <c r="C145" s="1" t="s">
        <v>50</v>
      </c>
      <c r="D145" s="1" t="s">
        <v>814</v>
      </c>
      <c r="E145" s="1" t="s">
        <v>815</v>
      </c>
      <c r="F145" s="22" t="s">
        <v>6085</v>
      </c>
      <c r="G145" s="1" t="s">
        <v>6</v>
      </c>
      <c r="H145" s="1" t="s">
        <v>24</v>
      </c>
      <c r="I145" s="1" t="s">
        <v>25</v>
      </c>
      <c r="J145" s="1" t="s">
        <v>9</v>
      </c>
      <c r="K145" s="1" t="s">
        <v>10</v>
      </c>
      <c r="L145" s="1" t="s">
        <v>16</v>
      </c>
      <c r="M145" s="1" t="s">
        <v>53</v>
      </c>
      <c r="N145" s="11" t="s">
        <v>188</v>
      </c>
      <c r="O145" s="1" t="s">
        <v>6037</v>
      </c>
      <c r="P145" s="1" t="s">
        <v>126</v>
      </c>
      <c r="Q145" s="18" t="s">
        <v>5397</v>
      </c>
      <c r="R145" s="1" t="s">
        <v>816</v>
      </c>
      <c r="S145" s="8">
        <v>46034</v>
      </c>
      <c r="T145" s="1">
        <v>2</v>
      </c>
      <c r="U145" s="1" t="s">
        <v>817</v>
      </c>
      <c r="V145" s="1" t="s">
        <v>817</v>
      </c>
      <c r="W145" s="1" t="s">
        <v>1388</v>
      </c>
    </row>
    <row r="146" spans="1:23" x14ac:dyDescent="0.25">
      <c r="A146" s="1" t="s">
        <v>48</v>
      </c>
      <c r="B146" s="1" t="s">
        <v>818</v>
      </c>
      <c r="C146" s="1" t="s">
        <v>50</v>
      </c>
      <c r="D146" s="1" t="s">
        <v>819</v>
      </c>
      <c r="E146" s="1" t="s">
        <v>820</v>
      </c>
      <c r="F146" s="22" t="s">
        <v>5259</v>
      </c>
      <c r="G146" s="1" t="s">
        <v>6</v>
      </c>
      <c r="H146" s="1" t="s">
        <v>20</v>
      </c>
      <c r="I146" s="1" t="s">
        <v>26</v>
      </c>
      <c r="J146" s="1" t="s">
        <v>9</v>
      </c>
      <c r="K146" s="1" t="s">
        <v>11</v>
      </c>
      <c r="L146" s="1" t="s">
        <v>11</v>
      </c>
      <c r="M146" s="1" t="s">
        <v>53</v>
      </c>
      <c r="N146" s="14" t="s">
        <v>1702</v>
      </c>
      <c r="O146" s="1" t="s">
        <v>6037</v>
      </c>
      <c r="P146" s="1" t="s">
        <v>821</v>
      </c>
      <c r="Q146" s="1" t="s">
        <v>5398</v>
      </c>
      <c r="R146" s="7" t="s">
        <v>822</v>
      </c>
      <c r="S146" s="8">
        <v>45838</v>
      </c>
      <c r="T146" s="1">
        <v>1</v>
      </c>
      <c r="U146" s="1" t="s">
        <v>823</v>
      </c>
      <c r="V146" s="1" t="s">
        <v>1388</v>
      </c>
      <c r="W146" s="1" t="s">
        <v>1388</v>
      </c>
    </row>
    <row r="147" spans="1:23" x14ac:dyDescent="0.25">
      <c r="A147" s="1" t="s">
        <v>48</v>
      </c>
      <c r="B147" s="1" t="s">
        <v>824</v>
      </c>
      <c r="C147" s="1" t="s">
        <v>50</v>
      </c>
      <c r="D147" s="1" t="s">
        <v>825</v>
      </c>
      <c r="E147" s="1" t="s">
        <v>826</v>
      </c>
      <c r="F147" s="22" t="s">
        <v>3</v>
      </c>
      <c r="G147" s="1" t="s">
        <v>5</v>
      </c>
      <c r="H147" s="1" t="s">
        <v>20</v>
      </c>
      <c r="I147" s="1" t="s">
        <v>26</v>
      </c>
      <c r="J147" s="1" t="s">
        <v>9</v>
      </c>
      <c r="K147" s="1" t="s">
        <v>11</v>
      </c>
      <c r="L147" s="1" t="s">
        <v>11</v>
      </c>
      <c r="M147" s="1" t="s">
        <v>53</v>
      </c>
      <c r="N147" s="1" t="s">
        <v>1015</v>
      </c>
      <c r="O147" s="1" t="s">
        <v>6235</v>
      </c>
      <c r="P147" s="1" t="s">
        <v>827</v>
      </c>
      <c r="Q147" s="1" t="s">
        <v>5380</v>
      </c>
      <c r="R147" s="7" t="s">
        <v>828</v>
      </c>
      <c r="S147" s="8">
        <v>45071</v>
      </c>
      <c r="T147" s="1">
        <v>1</v>
      </c>
      <c r="U147" s="1" t="s">
        <v>170</v>
      </c>
      <c r="V147" s="1" t="s">
        <v>1388</v>
      </c>
      <c r="W147" s="1" t="s">
        <v>1388</v>
      </c>
    </row>
    <row r="148" spans="1:23" x14ac:dyDescent="0.25">
      <c r="A148" s="1" t="s">
        <v>48</v>
      </c>
      <c r="B148" s="1" t="s">
        <v>829</v>
      </c>
      <c r="C148" s="1" t="s">
        <v>50</v>
      </c>
      <c r="D148" s="1" t="s">
        <v>830</v>
      </c>
      <c r="E148" s="1" t="s">
        <v>831</v>
      </c>
      <c r="F148" s="22" t="s">
        <v>5259</v>
      </c>
      <c r="G148" s="1" t="s">
        <v>6</v>
      </c>
      <c r="H148" s="1" t="s">
        <v>20</v>
      </c>
      <c r="I148" s="1" t="s">
        <v>25</v>
      </c>
      <c r="J148" s="1" t="s">
        <v>9</v>
      </c>
      <c r="K148" s="1" t="s">
        <v>11</v>
      </c>
      <c r="L148" s="1" t="s">
        <v>11</v>
      </c>
      <c r="M148" s="1" t="s">
        <v>53</v>
      </c>
      <c r="N148" s="14" t="s">
        <v>1702</v>
      </c>
      <c r="O148" s="1" t="s">
        <v>6037</v>
      </c>
      <c r="P148" s="1" t="s">
        <v>60</v>
      </c>
      <c r="Q148" s="1" t="s">
        <v>5399</v>
      </c>
      <c r="R148" s="7" t="s">
        <v>832</v>
      </c>
      <c r="S148" s="8">
        <v>46069</v>
      </c>
      <c r="T148" s="1">
        <v>2</v>
      </c>
      <c r="U148" s="1" t="s">
        <v>833</v>
      </c>
      <c r="V148" s="1" t="s">
        <v>834</v>
      </c>
      <c r="W148" s="1" t="s">
        <v>1388</v>
      </c>
    </row>
    <row r="149" spans="1:23" x14ac:dyDescent="0.25">
      <c r="A149" s="1" t="s">
        <v>48</v>
      </c>
      <c r="B149" s="1" t="s">
        <v>835</v>
      </c>
      <c r="C149" s="1" t="s">
        <v>50</v>
      </c>
      <c r="D149" s="1" t="s">
        <v>836</v>
      </c>
      <c r="E149" s="1" t="s">
        <v>837</v>
      </c>
      <c r="F149" s="22" t="s">
        <v>5259</v>
      </c>
      <c r="G149" s="1" t="s">
        <v>6</v>
      </c>
      <c r="H149" s="1" t="s">
        <v>20</v>
      </c>
      <c r="I149" s="1" t="s">
        <v>26</v>
      </c>
      <c r="J149" s="1" t="s">
        <v>9</v>
      </c>
      <c r="K149" s="1" t="s">
        <v>16</v>
      </c>
      <c r="L149" s="1" t="s">
        <v>16</v>
      </c>
      <c r="M149" s="1" t="s">
        <v>53</v>
      </c>
      <c r="N149" s="14" t="s">
        <v>5226</v>
      </c>
      <c r="O149" s="1" t="s">
        <v>6037</v>
      </c>
      <c r="P149" s="1" t="s">
        <v>162</v>
      </c>
      <c r="Q149" s="1" t="s">
        <v>5400</v>
      </c>
      <c r="R149" s="1" t="s">
        <v>838</v>
      </c>
      <c r="S149" s="8">
        <v>45698</v>
      </c>
      <c r="T149" s="1">
        <v>2</v>
      </c>
      <c r="U149" s="1" t="s">
        <v>116</v>
      </c>
      <c r="V149" s="1" t="s">
        <v>730</v>
      </c>
      <c r="W149" s="1" t="s">
        <v>1388</v>
      </c>
    </row>
    <row r="150" spans="1:23" x14ac:dyDescent="0.25">
      <c r="A150" s="1" t="s">
        <v>48</v>
      </c>
      <c r="B150" s="1" t="s">
        <v>839</v>
      </c>
      <c r="C150" s="1" t="s">
        <v>50</v>
      </c>
      <c r="D150" s="1" t="s">
        <v>840</v>
      </c>
      <c r="E150" s="1" t="s">
        <v>841</v>
      </c>
      <c r="F150" s="22" t="s">
        <v>6085</v>
      </c>
      <c r="G150" s="1" t="s">
        <v>5</v>
      </c>
      <c r="H150" s="1" t="s">
        <v>20</v>
      </c>
      <c r="I150" s="1" t="s">
        <v>26</v>
      </c>
      <c r="J150" s="1" t="s">
        <v>9</v>
      </c>
      <c r="K150" s="1" t="s">
        <v>10</v>
      </c>
      <c r="L150" s="1" t="s">
        <v>10</v>
      </c>
      <c r="M150" s="1" t="s">
        <v>53</v>
      </c>
      <c r="N150" s="11" t="s">
        <v>188</v>
      </c>
      <c r="O150" s="1" t="s">
        <v>6037</v>
      </c>
      <c r="P150" s="1" t="s">
        <v>66</v>
      </c>
      <c r="Q150" s="18" t="s">
        <v>5401</v>
      </c>
      <c r="R150" s="1" t="s">
        <v>842</v>
      </c>
      <c r="S150" s="8">
        <v>46055</v>
      </c>
      <c r="T150" s="1">
        <v>3</v>
      </c>
      <c r="U150" s="1" t="s">
        <v>432</v>
      </c>
      <c r="V150" s="1" t="s">
        <v>843</v>
      </c>
      <c r="W150" s="1" t="s">
        <v>843</v>
      </c>
    </row>
    <row r="151" spans="1:23" x14ac:dyDescent="0.25">
      <c r="A151" s="1" t="s">
        <v>48</v>
      </c>
      <c r="B151" s="1" t="s">
        <v>844</v>
      </c>
      <c r="C151" s="1" t="s">
        <v>50</v>
      </c>
      <c r="D151" s="1" t="s">
        <v>845</v>
      </c>
      <c r="E151" s="1" t="s">
        <v>846</v>
      </c>
      <c r="F151" s="22" t="s">
        <v>5259</v>
      </c>
      <c r="G151" s="1" t="s">
        <v>5</v>
      </c>
      <c r="H151" s="1" t="s">
        <v>20</v>
      </c>
      <c r="I151" s="1" t="s">
        <v>26</v>
      </c>
      <c r="J151" s="1" t="s">
        <v>9</v>
      </c>
      <c r="K151" s="1" t="s">
        <v>14</v>
      </c>
      <c r="L151" s="1" t="s">
        <v>14</v>
      </c>
      <c r="M151" s="1" t="s">
        <v>53</v>
      </c>
      <c r="N151" s="14" t="s">
        <v>5226</v>
      </c>
      <c r="O151" s="1" t="s">
        <v>6037</v>
      </c>
      <c r="P151" s="1" t="s">
        <v>66</v>
      </c>
      <c r="Q151" s="1" t="s">
        <v>4501</v>
      </c>
      <c r="R151" s="1" t="s">
        <v>847</v>
      </c>
      <c r="S151" s="8">
        <v>46027</v>
      </c>
      <c r="T151" s="1">
        <v>2</v>
      </c>
      <c r="U151" s="1" t="s">
        <v>848</v>
      </c>
      <c r="V151" s="1" t="s">
        <v>848</v>
      </c>
      <c r="W151" s="1" t="s">
        <v>1388</v>
      </c>
    </row>
    <row r="152" spans="1:23" x14ac:dyDescent="0.25">
      <c r="A152" s="1" t="s">
        <v>48</v>
      </c>
      <c r="B152" s="1" t="s">
        <v>849</v>
      </c>
      <c r="C152" s="1" t="s">
        <v>50</v>
      </c>
      <c r="D152" s="1" t="s">
        <v>850</v>
      </c>
      <c r="E152" s="1" t="s">
        <v>851</v>
      </c>
      <c r="F152" s="22" t="s">
        <v>3</v>
      </c>
      <c r="G152" s="1" t="s">
        <v>5</v>
      </c>
      <c r="H152" s="1" t="s">
        <v>20</v>
      </c>
      <c r="I152" s="1" t="s">
        <v>26</v>
      </c>
      <c r="J152" s="1" t="s">
        <v>9</v>
      </c>
      <c r="K152" s="1" t="s">
        <v>11</v>
      </c>
      <c r="L152" s="1" t="s">
        <v>11</v>
      </c>
      <c r="M152" s="1" t="s">
        <v>53</v>
      </c>
      <c r="N152" s="1" t="s">
        <v>1015</v>
      </c>
      <c r="O152" s="1" t="s">
        <v>6235</v>
      </c>
      <c r="P152" s="1" t="s">
        <v>66</v>
      </c>
      <c r="Q152" s="1" t="s">
        <v>4786</v>
      </c>
      <c r="R152" s="7" t="s">
        <v>852</v>
      </c>
      <c r="S152" s="8">
        <v>46034</v>
      </c>
      <c r="T152" s="1">
        <v>3</v>
      </c>
      <c r="U152" s="1" t="s">
        <v>853</v>
      </c>
      <c r="V152" s="1" t="s">
        <v>854</v>
      </c>
      <c r="W152" s="1" t="s">
        <v>854</v>
      </c>
    </row>
    <row r="153" spans="1:23" x14ac:dyDescent="0.25">
      <c r="A153" s="1" t="s">
        <v>48</v>
      </c>
      <c r="B153" s="1" t="s">
        <v>855</v>
      </c>
      <c r="C153" s="1" t="s">
        <v>50</v>
      </c>
      <c r="D153" s="1" t="s">
        <v>856</v>
      </c>
      <c r="E153" s="1" t="s">
        <v>857</v>
      </c>
      <c r="F153" s="22" t="s">
        <v>3</v>
      </c>
      <c r="G153" s="1" t="s">
        <v>6</v>
      </c>
      <c r="H153" s="1" t="s">
        <v>20</v>
      </c>
      <c r="I153" s="1" t="s">
        <v>26</v>
      </c>
      <c r="J153" s="1" t="s">
        <v>9</v>
      </c>
      <c r="K153" s="1" t="s">
        <v>10</v>
      </c>
      <c r="L153" s="1" t="s">
        <v>10</v>
      </c>
      <c r="M153" s="1" t="s">
        <v>53</v>
      </c>
      <c r="N153" s="11" t="s">
        <v>188</v>
      </c>
      <c r="O153" s="1" t="s">
        <v>6037</v>
      </c>
      <c r="P153" s="1" t="s">
        <v>126</v>
      </c>
      <c r="Q153" s="1" t="s">
        <v>5402</v>
      </c>
      <c r="R153" s="7" t="s">
        <v>858</v>
      </c>
      <c r="S153" s="8">
        <v>45677</v>
      </c>
      <c r="T153" s="1">
        <v>2</v>
      </c>
      <c r="U153" s="1" t="s">
        <v>170</v>
      </c>
      <c r="V153" s="1" t="s">
        <v>859</v>
      </c>
      <c r="W153" s="1" t="s">
        <v>1388</v>
      </c>
    </row>
    <row r="154" spans="1:23" x14ac:dyDescent="0.25">
      <c r="A154" s="1" t="s">
        <v>48</v>
      </c>
      <c r="B154" s="1" t="s">
        <v>860</v>
      </c>
      <c r="C154" s="1" t="s">
        <v>50</v>
      </c>
      <c r="D154" s="1" t="s">
        <v>861</v>
      </c>
      <c r="E154" s="1" t="s">
        <v>862</v>
      </c>
      <c r="F154" s="22" t="s">
        <v>3</v>
      </c>
      <c r="G154" s="1" t="s">
        <v>5</v>
      </c>
      <c r="H154" s="1" t="s">
        <v>20</v>
      </c>
      <c r="I154" s="1" t="s">
        <v>26</v>
      </c>
      <c r="J154" s="1" t="s">
        <v>9</v>
      </c>
      <c r="K154" s="1" t="s">
        <v>11</v>
      </c>
      <c r="L154" s="1" t="s">
        <v>11</v>
      </c>
      <c r="M154" s="1" t="s">
        <v>53</v>
      </c>
      <c r="N154" s="1" t="s">
        <v>1015</v>
      </c>
      <c r="O154" s="1" t="s">
        <v>6235</v>
      </c>
      <c r="P154" s="1" t="s">
        <v>199</v>
      </c>
      <c r="Q154" s="1" t="s">
        <v>5403</v>
      </c>
      <c r="R154" s="7" t="s">
        <v>863</v>
      </c>
      <c r="S154" s="8">
        <v>46052</v>
      </c>
      <c r="T154" s="1">
        <v>3</v>
      </c>
      <c r="U154" s="1" t="s">
        <v>864</v>
      </c>
      <c r="V154" s="1" t="s">
        <v>864</v>
      </c>
      <c r="W154" s="1" t="s">
        <v>864</v>
      </c>
    </row>
    <row r="155" spans="1:23" x14ac:dyDescent="0.25">
      <c r="A155" s="1" t="s">
        <v>48</v>
      </c>
      <c r="B155" s="1" t="s">
        <v>865</v>
      </c>
      <c r="C155" s="1" t="s">
        <v>50</v>
      </c>
      <c r="D155" s="1" t="s">
        <v>866</v>
      </c>
      <c r="E155" s="1" t="s">
        <v>867</v>
      </c>
      <c r="F155" s="22" t="s">
        <v>6085</v>
      </c>
      <c r="G155" s="1" t="s">
        <v>6</v>
      </c>
      <c r="H155" s="1" t="s">
        <v>20</v>
      </c>
      <c r="I155" s="1" t="s">
        <v>26</v>
      </c>
      <c r="J155" s="1" t="s">
        <v>9</v>
      </c>
      <c r="K155" s="1" t="s">
        <v>14</v>
      </c>
      <c r="L155" s="1" t="s">
        <v>14</v>
      </c>
      <c r="M155" s="1" t="s">
        <v>53</v>
      </c>
      <c r="N155" s="11" t="s">
        <v>188</v>
      </c>
      <c r="O155" s="1" t="s">
        <v>6235</v>
      </c>
      <c r="P155" s="1" t="s">
        <v>126</v>
      </c>
      <c r="Q155" s="1" t="s">
        <v>5404</v>
      </c>
      <c r="R155" s="1" t="s">
        <v>868</v>
      </c>
      <c r="S155" s="8">
        <v>45684</v>
      </c>
      <c r="T155" s="1">
        <v>1</v>
      </c>
      <c r="U155" s="1" t="s">
        <v>869</v>
      </c>
      <c r="V155" s="1" t="s">
        <v>1388</v>
      </c>
      <c r="W155" s="1" t="s">
        <v>1388</v>
      </c>
    </row>
    <row r="156" spans="1:23" x14ac:dyDescent="0.25">
      <c r="A156" s="1" t="s">
        <v>48</v>
      </c>
      <c r="B156" s="1" t="s">
        <v>1021</v>
      </c>
      <c r="C156" s="1" t="s">
        <v>50</v>
      </c>
      <c r="D156" s="1" t="s">
        <v>1084</v>
      </c>
      <c r="E156" s="1" t="s">
        <v>1085</v>
      </c>
      <c r="F156" s="22" t="s">
        <v>3</v>
      </c>
      <c r="G156" s="1" t="s">
        <v>5</v>
      </c>
      <c r="H156" s="1" t="s">
        <v>20</v>
      </c>
      <c r="I156" s="1" t="s">
        <v>25</v>
      </c>
      <c r="J156" s="1" t="s">
        <v>9</v>
      </c>
      <c r="K156" s="1" t="s">
        <v>11</v>
      </c>
      <c r="L156" s="1" t="s">
        <v>11</v>
      </c>
      <c r="M156" s="1" t="s">
        <v>53</v>
      </c>
      <c r="N156" s="11" t="s">
        <v>188</v>
      </c>
      <c r="O156" s="1" t="s">
        <v>6037</v>
      </c>
      <c r="P156" s="1" t="s">
        <v>66</v>
      </c>
      <c r="Q156" s="1" t="s">
        <v>5405</v>
      </c>
      <c r="R156" s="7" t="s">
        <v>1400</v>
      </c>
      <c r="S156" s="8">
        <v>45698</v>
      </c>
      <c r="T156" s="1">
        <v>3</v>
      </c>
      <c r="U156" s="1" t="s">
        <v>1401</v>
      </c>
      <c r="V156" s="1" t="s">
        <v>1402</v>
      </c>
      <c r="W156" s="1" t="s">
        <v>1402</v>
      </c>
    </row>
    <row r="157" spans="1:23" x14ac:dyDescent="0.25">
      <c r="A157" s="1" t="s">
        <v>48</v>
      </c>
      <c r="B157" s="1" t="s">
        <v>870</v>
      </c>
      <c r="C157" s="1" t="s">
        <v>50</v>
      </c>
      <c r="D157" s="1" t="s">
        <v>871</v>
      </c>
      <c r="E157" s="1" t="s">
        <v>872</v>
      </c>
      <c r="F157" s="22" t="s">
        <v>6085</v>
      </c>
      <c r="G157" s="1" t="s">
        <v>6</v>
      </c>
      <c r="H157" s="1" t="s">
        <v>22</v>
      </c>
      <c r="I157" s="1" t="s">
        <v>25</v>
      </c>
      <c r="J157" s="1" t="s">
        <v>9</v>
      </c>
      <c r="K157" s="1" t="s">
        <v>16</v>
      </c>
      <c r="L157" s="1" t="s">
        <v>16</v>
      </c>
      <c r="M157" s="1" t="s">
        <v>53</v>
      </c>
      <c r="N157" s="11" t="s">
        <v>188</v>
      </c>
      <c r="O157" s="1" t="s">
        <v>6037</v>
      </c>
      <c r="P157" s="1" t="s">
        <v>126</v>
      </c>
      <c r="Q157" s="1" t="s">
        <v>5406</v>
      </c>
      <c r="R157" s="1" t="s">
        <v>873</v>
      </c>
      <c r="S157" s="8">
        <v>46062</v>
      </c>
      <c r="T157" s="1">
        <v>2</v>
      </c>
      <c r="U157" s="1" t="s">
        <v>874</v>
      </c>
      <c r="V157" s="1" t="s">
        <v>874</v>
      </c>
      <c r="W157" s="1" t="s">
        <v>1388</v>
      </c>
    </row>
    <row r="158" spans="1:23" x14ac:dyDescent="0.25">
      <c r="A158" s="1" t="s">
        <v>48</v>
      </c>
      <c r="B158" s="1" t="s">
        <v>875</v>
      </c>
      <c r="C158" s="1" t="s">
        <v>50</v>
      </c>
      <c r="D158" s="1" t="s">
        <v>876</v>
      </c>
      <c r="E158" s="1" t="s">
        <v>877</v>
      </c>
      <c r="F158" s="22" t="s">
        <v>3</v>
      </c>
      <c r="G158" s="1" t="s">
        <v>5</v>
      </c>
      <c r="H158" s="1" t="s">
        <v>20</v>
      </c>
      <c r="I158" s="1" t="s">
        <v>25</v>
      </c>
      <c r="J158" s="1" t="s">
        <v>9</v>
      </c>
      <c r="K158" s="1" t="s">
        <v>11</v>
      </c>
      <c r="L158" s="1" t="s">
        <v>11</v>
      </c>
      <c r="M158" s="1" t="s">
        <v>53</v>
      </c>
      <c r="N158" s="11" t="s">
        <v>188</v>
      </c>
      <c r="O158" s="1" t="s">
        <v>6037</v>
      </c>
      <c r="P158" s="1" t="s">
        <v>878</v>
      </c>
      <c r="Q158" s="1" t="s">
        <v>5407</v>
      </c>
      <c r="R158" s="7" t="s">
        <v>879</v>
      </c>
      <c r="S158" s="8">
        <v>46069</v>
      </c>
      <c r="T158" s="1">
        <v>3</v>
      </c>
      <c r="U158" s="1" t="s">
        <v>880</v>
      </c>
      <c r="V158" s="1" t="s">
        <v>881</v>
      </c>
      <c r="W158" s="1" t="s">
        <v>882</v>
      </c>
    </row>
    <row r="159" spans="1:23" x14ac:dyDescent="0.25">
      <c r="A159" s="1" t="s">
        <v>48</v>
      </c>
      <c r="B159" s="1" t="s">
        <v>1022</v>
      </c>
      <c r="C159" s="1" t="s">
        <v>50</v>
      </c>
      <c r="D159" s="1" t="s">
        <v>1086</v>
      </c>
      <c r="E159" s="1" t="s">
        <v>1087</v>
      </c>
      <c r="F159" s="22" t="s">
        <v>6085</v>
      </c>
      <c r="G159" s="1" t="s">
        <v>6</v>
      </c>
      <c r="H159" s="1" t="s">
        <v>20</v>
      </c>
      <c r="I159" s="1" t="s">
        <v>26</v>
      </c>
      <c r="J159" s="1" t="s">
        <v>9</v>
      </c>
      <c r="K159" s="1" t="s">
        <v>16</v>
      </c>
      <c r="L159" s="1" t="s">
        <v>16</v>
      </c>
      <c r="M159" s="1" t="s">
        <v>53</v>
      </c>
      <c r="N159" s="11" t="s">
        <v>6032</v>
      </c>
      <c r="O159" s="1" t="s">
        <v>6037</v>
      </c>
      <c r="P159" s="1" t="s">
        <v>175</v>
      </c>
      <c r="Q159" s="1" t="s">
        <v>6</v>
      </c>
      <c r="R159" s="1" t="s">
        <v>1403</v>
      </c>
      <c r="S159" s="8">
        <v>45661</v>
      </c>
      <c r="T159" s="1">
        <v>2</v>
      </c>
      <c r="U159" s="1" t="s">
        <v>1404</v>
      </c>
      <c r="V159" s="1" t="s">
        <v>1405</v>
      </c>
      <c r="W159" s="1" t="s">
        <v>1388</v>
      </c>
    </row>
    <row r="160" spans="1:23" x14ac:dyDescent="0.25">
      <c r="A160" s="1" t="s">
        <v>48</v>
      </c>
      <c r="B160" s="1" t="s">
        <v>883</v>
      </c>
      <c r="C160" s="1" t="s">
        <v>50</v>
      </c>
      <c r="D160" s="1" t="s">
        <v>884</v>
      </c>
      <c r="E160" s="1" t="s">
        <v>885</v>
      </c>
      <c r="F160" s="22" t="s">
        <v>3</v>
      </c>
      <c r="G160" s="1" t="s">
        <v>6</v>
      </c>
      <c r="H160" s="1" t="s">
        <v>20</v>
      </c>
      <c r="I160" s="1" t="s">
        <v>26</v>
      </c>
      <c r="J160" s="1" t="s">
        <v>9</v>
      </c>
      <c r="K160" s="1" t="s">
        <v>12</v>
      </c>
      <c r="L160" s="1" t="s">
        <v>12</v>
      </c>
      <c r="M160" s="1" t="s">
        <v>53</v>
      </c>
      <c r="N160" s="1" t="s">
        <v>5224</v>
      </c>
      <c r="O160" s="1" t="s">
        <v>6235</v>
      </c>
      <c r="P160" s="1" t="s">
        <v>886</v>
      </c>
      <c r="Q160" s="1" t="s">
        <v>5408</v>
      </c>
      <c r="R160" s="7" t="s">
        <v>887</v>
      </c>
      <c r="S160" s="8">
        <v>46023</v>
      </c>
      <c r="T160" s="1">
        <v>2</v>
      </c>
      <c r="U160" s="1" t="s">
        <v>888</v>
      </c>
      <c r="V160" s="1" t="s">
        <v>888</v>
      </c>
      <c r="W160" s="1" t="s">
        <v>1388</v>
      </c>
    </row>
    <row r="161" spans="1:23" x14ac:dyDescent="0.25">
      <c r="A161" s="1" t="s">
        <v>48</v>
      </c>
      <c r="B161" s="1" t="s">
        <v>1023</v>
      </c>
      <c r="C161" s="1" t="s">
        <v>50</v>
      </c>
      <c r="D161" s="1" t="s">
        <v>1088</v>
      </c>
      <c r="E161" s="1" t="s">
        <v>1089</v>
      </c>
      <c r="F161" s="22" t="s">
        <v>6085</v>
      </c>
      <c r="G161" s="1" t="s">
        <v>5</v>
      </c>
      <c r="H161" s="1" t="s">
        <v>20</v>
      </c>
      <c r="I161" s="1" t="s">
        <v>26</v>
      </c>
      <c r="J161" s="1" t="s">
        <v>9</v>
      </c>
      <c r="K161" s="1" t="s">
        <v>16</v>
      </c>
      <c r="L161" s="1" t="s">
        <v>16</v>
      </c>
      <c r="M161" s="1" t="s">
        <v>53</v>
      </c>
      <c r="N161" s="11" t="s">
        <v>188</v>
      </c>
      <c r="O161" s="1" t="s">
        <v>6037</v>
      </c>
      <c r="P161" s="1" t="s">
        <v>107</v>
      </c>
      <c r="Q161" s="1" t="s">
        <v>5409</v>
      </c>
      <c r="R161" s="1" t="s">
        <v>1406</v>
      </c>
      <c r="S161" s="8">
        <v>46037</v>
      </c>
      <c r="T161" s="1">
        <v>3</v>
      </c>
      <c r="U161" s="1" t="s">
        <v>1407</v>
      </c>
      <c r="V161" s="1" t="s">
        <v>1407</v>
      </c>
      <c r="W161" s="1" t="s">
        <v>1407</v>
      </c>
    </row>
    <row r="162" spans="1:23" x14ac:dyDescent="0.25">
      <c r="A162" s="1" t="s">
        <v>48</v>
      </c>
      <c r="B162" s="1" t="s">
        <v>889</v>
      </c>
      <c r="C162" s="1" t="s">
        <v>50</v>
      </c>
      <c r="D162" s="1" t="s">
        <v>890</v>
      </c>
      <c r="E162" s="1" t="s">
        <v>891</v>
      </c>
      <c r="F162" s="22" t="s">
        <v>6085</v>
      </c>
      <c r="G162" s="1" t="s">
        <v>7</v>
      </c>
      <c r="H162" s="1" t="s">
        <v>24</v>
      </c>
      <c r="I162" s="1" t="s">
        <v>26</v>
      </c>
      <c r="J162" s="1" t="s">
        <v>9</v>
      </c>
      <c r="K162" s="1" t="s">
        <v>14</v>
      </c>
      <c r="L162" s="1" t="s">
        <v>14</v>
      </c>
      <c r="M162" s="1" t="s">
        <v>53</v>
      </c>
      <c r="N162" s="11" t="s">
        <v>188</v>
      </c>
      <c r="O162" s="1" t="s">
        <v>6037</v>
      </c>
      <c r="P162" s="1" t="s">
        <v>247</v>
      </c>
      <c r="Q162" s="1" t="s">
        <v>5410</v>
      </c>
      <c r="R162" s="1" t="s">
        <v>892</v>
      </c>
      <c r="S162" s="8">
        <v>46054</v>
      </c>
      <c r="T162" s="1">
        <v>1</v>
      </c>
      <c r="U162" s="1" t="s">
        <v>893</v>
      </c>
      <c r="V162" s="1" t="s">
        <v>1388</v>
      </c>
      <c r="W162" s="1" t="s">
        <v>1388</v>
      </c>
    </row>
    <row r="163" spans="1:23" x14ac:dyDescent="0.25">
      <c r="A163" s="1" t="s">
        <v>48</v>
      </c>
      <c r="B163" s="1" t="s">
        <v>894</v>
      </c>
      <c r="C163" s="1" t="s">
        <v>50</v>
      </c>
      <c r="D163" s="1" t="s">
        <v>895</v>
      </c>
      <c r="E163" s="1" t="s">
        <v>896</v>
      </c>
      <c r="F163" s="22" t="s">
        <v>5259</v>
      </c>
      <c r="G163" s="1" t="s">
        <v>6</v>
      </c>
      <c r="H163" s="1" t="s">
        <v>20</v>
      </c>
      <c r="I163" s="1" t="s">
        <v>25</v>
      </c>
      <c r="J163" s="1" t="s">
        <v>8</v>
      </c>
      <c r="K163" s="1" t="s">
        <v>11</v>
      </c>
      <c r="L163" s="1" t="s">
        <v>17</v>
      </c>
      <c r="M163" s="1" t="s">
        <v>53</v>
      </c>
      <c r="N163" s="14" t="s">
        <v>1664</v>
      </c>
      <c r="O163" s="1" t="s">
        <v>6037</v>
      </c>
      <c r="P163" s="1" t="s">
        <v>897</v>
      </c>
      <c r="Q163" s="1" t="s">
        <v>5411</v>
      </c>
      <c r="R163" s="1" t="s">
        <v>898</v>
      </c>
      <c r="S163" s="9">
        <v>45914</v>
      </c>
      <c r="T163" s="1">
        <v>2</v>
      </c>
      <c r="U163" s="1" t="s">
        <v>899</v>
      </c>
      <c r="V163" s="1" t="s">
        <v>900</v>
      </c>
      <c r="W163" s="1" t="s">
        <v>1388</v>
      </c>
    </row>
    <row r="164" spans="1:23" x14ac:dyDescent="0.25">
      <c r="A164" s="1" t="s">
        <v>48</v>
      </c>
      <c r="B164" s="1" t="s">
        <v>901</v>
      </c>
      <c r="C164" s="1" t="s">
        <v>50</v>
      </c>
      <c r="D164" s="1" t="s">
        <v>902</v>
      </c>
      <c r="E164" s="1" t="s">
        <v>903</v>
      </c>
      <c r="F164" s="22" t="s">
        <v>6085</v>
      </c>
      <c r="G164" s="1" t="s">
        <v>5</v>
      </c>
      <c r="H164" s="1" t="s">
        <v>24</v>
      </c>
      <c r="I164" s="1" t="s">
        <v>25</v>
      </c>
      <c r="J164" s="1" t="s">
        <v>9</v>
      </c>
      <c r="K164" s="1" t="s">
        <v>13</v>
      </c>
      <c r="L164" s="1" t="s">
        <v>16</v>
      </c>
      <c r="M164" s="1" t="s">
        <v>53</v>
      </c>
      <c r="N164" s="11" t="s">
        <v>188</v>
      </c>
      <c r="O164" s="1" t="s">
        <v>6037</v>
      </c>
      <c r="P164" s="1" t="s">
        <v>247</v>
      </c>
      <c r="Q164" s="1" t="s">
        <v>5412</v>
      </c>
      <c r="R164" s="1" t="s">
        <v>904</v>
      </c>
      <c r="S164" s="8">
        <v>46083</v>
      </c>
      <c r="T164" s="1">
        <v>3</v>
      </c>
      <c r="U164" s="1" t="s">
        <v>905</v>
      </c>
      <c r="V164" s="1" t="s">
        <v>906</v>
      </c>
      <c r="W164" s="1" t="s">
        <v>907</v>
      </c>
    </row>
    <row r="165" spans="1:23" x14ac:dyDescent="0.25">
      <c r="A165" s="1" t="s">
        <v>48</v>
      </c>
      <c r="B165" s="1" t="s">
        <v>908</v>
      </c>
      <c r="C165" s="1" t="s">
        <v>50</v>
      </c>
      <c r="D165" s="1" t="s">
        <v>909</v>
      </c>
      <c r="E165" s="1" t="s">
        <v>910</v>
      </c>
      <c r="F165" s="22" t="s">
        <v>3</v>
      </c>
      <c r="G165" s="1" t="s">
        <v>6</v>
      </c>
      <c r="H165" s="1" t="s">
        <v>24</v>
      </c>
      <c r="I165" s="1" t="s">
        <v>25</v>
      </c>
      <c r="J165" s="1" t="s">
        <v>8</v>
      </c>
      <c r="K165" s="1" t="s">
        <v>11</v>
      </c>
      <c r="L165" s="1" t="s">
        <v>11</v>
      </c>
      <c r="M165" s="1" t="s">
        <v>53</v>
      </c>
      <c r="N165" s="11" t="s">
        <v>188</v>
      </c>
      <c r="O165" s="1" t="s">
        <v>6235</v>
      </c>
      <c r="P165" s="1" t="s">
        <v>911</v>
      </c>
      <c r="Q165" s="1" t="s">
        <v>5413</v>
      </c>
      <c r="R165" s="7" t="s">
        <v>912</v>
      </c>
      <c r="S165" s="8">
        <v>46023</v>
      </c>
      <c r="T165" s="1">
        <v>1</v>
      </c>
      <c r="U165" s="1" t="s">
        <v>913</v>
      </c>
      <c r="V165" s="1" t="s">
        <v>1388</v>
      </c>
      <c r="W165" s="1" t="s">
        <v>1388</v>
      </c>
    </row>
    <row r="166" spans="1:23" x14ac:dyDescent="0.25">
      <c r="A166" s="1" t="s">
        <v>48</v>
      </c>
      <c r="B166" s="1" t="s">
        <v>914</v>
      </c>
      <c r="C166" s="1" t="s">
        <v>50</v>
      </c>
      <c r="D166" s="1" t="s">
        <v>915</v>
      </c>
      <c r="E166" s="1" t="s">
        <v>916</v>
      </c>
      <c r="F166" s="22" t="s">
        <v>3</v>
      </c>
      <c r="G166" s="1" t="s">
        <v>5</v>
      </c>
      <c r="H166" s="1" t="s">
        <v>20</v>
      </c>
      <c r="I166" s="1" t="s">
        <v>25</v>
      </c>
      <c r="J166" s="1" t="s">
        <v>9</v>
      </c>
      <c r="K166" s="1" t="s">
        <v>11</v>
      </c>
      <c r="L166" s="1" t="s">
        <v>11</v>
      </c>
      <c r="M166" s="1" t="s">
        <v>53</v>
      </c>
      <c r="N166" s="1" t="s">
        <v>1015</v>
      </c>
      <c r="O166" s="1" t="s">
        <v>6235</v>
      </c>
      <c r="P166" s="1" t="s">
        <v>60</v>
      </c>
      <c r="Q166" s="1" t="s">
        <v>5414</v>
      </c>
      <c r="R166" s="7" t="s">
        <v>917</v>
      </c>
      <c r="S166" s="8">
        <v>45839</v>
      </c>
      <c r="T166" s="1">
        <v>3</v>
      </c>
      <c r="U166" s="1" t="s">
        <v>918</v>
      </c>
      <c r="V166" s="1" t="s">
        <v>919</v>
      </c>
      <c r="W166" s="1" t="s">
        <v>920</v>
      </c>
    </row>
    <row r="167" spans="1:23" x14ac:dyDescent="0.25">
      <c r="A167" s="1" t="s">
        <v>48</v>
      </c>
      <c r="B167" s="1" t="s">
        <v>1220</v>
      </c>
      <c r="C167" s="1" t="s">
        <v>50</v>
      </c>
      <c r="D167" s="1" t="s">
        <v>1313</v>
      </c>
      <c r="E167" s="1" t="s">
        <v>1314</v>
      </c>
      <c r="F167" s="22" t="s">
        <v>6085</v>
      </c>
      <c r="G167" s="1" t="s">
        <v>6</v>
      </c>
      <c r="H167" s="1" t="s">
        <v>20</v>
      </c>
      <c r="I167" s="1" t="s">
        <v>26</v>
      </c>
      <c r="J167" s="1" t="s">
        <v>9</v>
      </c>
      <c r="K167" s="1" t="s">
        <v>12</v>
      </c>
      <c r="L167" s="1" t="s">
        <v>17</v>
      </c>
      <c r="M167" s="1" t="s">
        <v>53</v>
      </c>
      <c r="N167" s="11" t="s">
        <v>188</v>
      </c>
      <c r="O167" s="1" t="s">
        <v>6037</v>
      </c>
      <c r="P167" s="1" t="s">
        <v>66</v>
      </c>
      <c r="Q167" s="1" t="s">
        <v>5415</v>
      </c>
      <c r="R167" s="1" t="s">
        <v>1586</v>
      </c>
      <c r="S167" s="8">
        <v>45698</v>
      </c>
      <c r="T167" s="1">
        <v>2</v>
      </c>
      <c r="U167" s="1" t="s">
        <v>1696</v>
      </c>
      <c r="V167" s="1" t="s">
        <v>1697</v>
      </c>
      <c r="W167" s="1" t="s">
        <v>1388</v>
      </c>
    </row>
    <row r="168" spans="1:23" x14ac:dyDescent="0.25">
      <c r="A168" s="1" t="s">
        <v>48</v>
      </c>
      <c r="B168" s="1" t="s">
        <v>921</v>
      </c>
      <c r="C168" s="1" t="s">
        <v>50</v>
      </c>
      <c r="D168" s="1" t="s">
        <v>922</v>
      </c>
      <c r="E168" s="1" t="s">
        <v>923</v>
      </c>
      <c r="F168" s="22" t="s">
        <v>6085</v>
      </c>
      <c r="G168" s="1" t="s">
        <v>6</v>
      </c>
      <c r="H168" s="1" t="s">
        <v>20</v>
      </c>
      <c r="I168" s="1" t="s">
        <v>26</v>
      </c>
      <c r="J168" s="1" t="s">
        <v>9</v>
      </c>
      <c r="K168" s="1" t="s">
        <v>11</v>
      </c>
      <c r="L168" s="1" t="s">
        <v>11</v>
      </c>
      <c r="M168" s="1" t="s">
        <v>53</v>
      </c>
      <c r="N168" s="11" t="s">
        <v>188</v>
      </c>
      <c r="O168" s="1" t="s">
        <v>6037</v>
      </c>
      <c r="P168" s="1" t="s">
        <v>924</v>
      </c>
      <c r="Q168" s="1" t="s">
        <v>5416</v>
      </c>
      <c r="R168" s="1" t="s">
        <v>925</v>
      </c>
      <c r="S168" s="8">
        <v>46051</v>
      </c>
      <c r="T168" s="1">
        <v>1</v>
      </c>
      <c r="U168" s="1" t="s">
        <v>209</v>
      </c>
      <c r="V168" s="1" t="s">
        <v>1388</v>
      </c>
      <c r="W168" s="1" t="s">
        <v>1388</v>
      </c>
    </row>
    <row r="169" spans="1:23" x14ac:dyDescent="0.25">
      <c r="A169" s="1" t="s">
        <v>48</v>
      </c>
      <c r="B169" s="1" t="s">
        <v>926</v>
      </c>
      <c r="C169" s="1" t="s">
        <v>50</v>
      </c>
      <c r="D169" s="1" t="s">
        <v>927</v>
      </c>
      <c r="E169" s="1" t="s">
        <v>928</v>
      </c>
      <c r="F169" s="22" t="s">
        <v>6085</v>
      </c>
      <c r="G169" s="1" t="s">
        <v>5</v>
      </c>
      <c r="H169" s="1" t="s">
        <v>22</v>
      </c>
      <c r="I169" s="1" t="s">
        <v>25</v>
      </c>
      <c r="J169" s="1" t="s">
        <v>9</v>
      </c>
      <c r="K169" s="1" t="s">
        <v>16</v>
      </c>
      <c r="L169" s="1" t="s">
        <v>16</v>
      </c>
      <c r="M169" s="1" t="s">
        <v>53</v>
      </c>
      <c r="N169" s="11" t="s">
        <v>188</v>
      </c>
      <c r="O169" s="1" t="s">
        <v>6037</v>
      </c>
      <c r="P169" s="1" t="s">
        <v>306</v>
      </c>
      <c r="Q169" s="1" t="s">
        <v>4225</v>
      </c>
      <c r="R169" s="1" t="s">
        <v>929</v>
      </c>
      <c r="S169" s="8">
        <v>46078</v>
      </c>
      <c r="T169" s="1">
        <v>2</v>
      </c>
      <c r="U169" s="1" t="s">
        <v>930</v>
      </c>
      <c r="V169" s="1" t="s">
        <v>930</v>
      </c>
      <c r="W169" s="1" t="s">
        <v>1388</v>
      </c>
    </row>
    <row r="170" spans="1:23" x14ac:dyDescent="0.25">
      <c r="A170" s="1" t="s">
        <v>48</v>
      </c>
      <c r="B170" s="1" t="s">
        <v>931</v>
      </c>
      <c r="C170" s="1" t="s">
        <v>50</v>
      </c>
      <c r="D170" s="1" t="s">
        <v>932</v>
      </c>
      <c r="E170" s="1" t="s">
        <v>933</v>
      </c>
      <c r="F170" s="22" t="s">
        <v>6085</v>
      </c>
      <c r="G170" s="1" t="s">
        <v>6</v>
      </c>
      <c r="H170" s="1" t="s">
        <v>21</v>
      </c>
      <c r="I170" s="1" t="s">
        <v>25</v>
      </c>
      <c r="J170" s="1" t="s">
        <v>9</v>
      </c>
      <c r="K170" s="1" t="s">
        <v>14</v>
      </c>
      <c r="L170" s="1" t="s">
        <v>14</v>
      </c>
      <c r="M170" s="1" t="s">
        <v>53</v>
      </c>
      <c r="N170" s="11" t="s">
        <v>188</v>
      </c>
      <c r="O170" s="1" t="s">
        <v>6235</v>
      </c>
      <c r="P170" s="1" t="s">
        <v>60</v>
      </c>
      <c r="Q170" s="1" t="s">
        <v>5417</v>
      </c>
      <c r="R170" s="1" t="s">
        <v>934</v>
      </c>
      <c r="S170" s="8">
        <v>45689</v>
      </c>
      <c r="T170" s="1">
        <v>1</v>
      </c>
      <c r="U170" s="1" t="s">
        <v>935</v>
      </c>
      <c r="V170" s="1" t="s">
        <v>1388</v>
      </c>
      <c r="W170" s="1" t="s">
        <v>1388</v>
      </c>
    </row>
    <row r="171" spans="1:23" x14ac:dyDescent="0.25">
      <c r="A171" s="1" t="s">
        <v>48</v>
      </c>
      <c r="B171" s="1" t="s">
        <v>1024</v>
      </c>
      <c r="C171" s="1" t="s">
        <v>50</v>
      </c>
      <c r="D171" s="1" t="s">
        <v>1090</v>
      </c>
      <c r="E171" s="1" t="s">
        <v>1091</v>
      </c>
      <c r="F171" s="22" t="s">
        <v>6085</v>
      </c>
      <c r="G171" s="1" t="s">
        <v>5</v>
      </c>
      <c r="H171" s="1" t="s">
        <v>20</v>
      </c>
      <c r="I171" s="1" t="s">
        <v>25</v>
      </c>
      <c r="J171" s="1" t="s">
        <v>9</v>
      </c>
      <c r="K171" s="1" t="s">
        <v>11</v>
      </c>
      <c r="L171" s="1" t="s">
        <v>19</v>
      </c>
      <c r="M171" s="1" t="s">
        <v>53</v>
      </c>
      <c r="N171" s="11" t="s">
        <v>188</v>
      </c>
      <c r="O171" s="1" t="s">
        <v>6235</v>
      </c>
      <c r="P171" s="1" t="s">
        <v>66</v>
      </c>
      <c r="Q171" s="1" t="s">
        <v>5418</v>
      </c>
      <c r="R171" s="1" t="s">
        <v>1408</v>
      </c>
      <c r="S171" s="8">
        <v>45686</v>
      </c>
      <c r="T171" s="1">
        <v>3</v>
      </c>
      <c r="U171" s="1" t="s">
        <v>1409</v>
      </c>
      <c r="V171" s="1" t="s">
        <v>1410</v>
      </c>
      <c r="W171" s="1" t="s">
        <v>1411</v>
      </c>
    </row>
    <row r="172" spans="1:23" x14ac:dyDescent="0.25">
      <c r="A172" s="1" t="s">
        <v>48</v>
      </c>
      <c r="B172" s="1" t="s">
        <v>936</v>
      </c>
      <c r="C172" s="1" t="s">
        <v>50</v>
      </c>
      <c r="D172" s="1" t="s">
        <v>937</v>
      </c>
      <c r="E172" s="1" t="s">
        <v>938</v>
      </c>
      <c r="F172" s="22" t="s">
        <v>3</v>
      </c>
      <c r="G172" s="1" t="s">
        <v>6</v>
      </c>
      <c r="H172" s="1" t="s">
        <v>23</v>
      </c>
      <c r="I172" s="1" t="s">
        <v>26</v>
      </c>
      <c r="J172" s="1" t="s">
        <v>9</v>
      </c>
      <c r="K172" s="1" t="s">
        <v>12</v>
      </c>
      <c r="L172" s="1" t="s">
        <v>12</v>
      </c>
      <c r="M172" s="1" t="s">
        <v>53</v>
      </c>
      <c r="N172" s="11" t="s">
        <v>188</v>
      </c>
      <c r="O172" s="1" t="s">
        <v>6037</v>
      </c>
      <c r="P172" s="1" t="s">
        <v>60</v>
      </c>
      <c r="Q172" s="1" t="s">
        <v>5419</v>
      </c>
      <c r="R172" s="7" t="s">
        <v>939</v>
      </c>
      <c r="S172" s="8">
        <v>46027</v>
      </c>
      <c r="T172" s="1">
        <v>1</v>
      </c>
      <c r="U172" s="1" t="s">
        <v>940</v>
      </c>
      <c r="V172" s="1" t="s">
        <v>1388</v>
      </c>
      <c r="W172" s="1" t="s">
        <v>1388</v>
      </c>
    </row>
    <row r="173" spans="1:23" x14ac:dyDescent="0.25">
      <c r="A173" s="1" t="s">
        <v>48</v>
      </c>
      <c r="B173" s="1" t="s">
        <v>941</v>
      </c>
      <c r="C173" s="1" t="s">
        <v>50</v>
      </c>
      <c r="D173" s="1" t="s">
        <v>942</v>
      </c>
      <c r="E173" s="1" t="s">
        <v>943</v>
      </c>
      <c r="F173" s="22" t="s">
        <v>6085</v>
      </c>
      <c r="G173" s="1" t="s">
        <v>6</v>
      </c>
      <c r="H173" s="1" t="s">
        <v>20</v>
      </c>
      <c r="I173" s="1" t="s">
        <v>25</v>
      </c>
      <c r="J173" s="1" t="s">
        <v>9</v>
      </c>
      <c r="K173" s="1" t="s">
        <v>13</v>
      </c>
      <c r="L173" s="1" t="s">
        <v>13</v>
      </c>
      <c r="M173" s="1" t="s">
        <v>53</v>
      </c>
      <c r="N173" s="11" t="s">
        <v>188</v>
      </c>
      <c r="O173" s="1" t="s">
        <v>6235</v>
      </c>
      <c r="P173" s="1" t="s">
        <v>126</v>
      </c>
      <c r="Q173" s="1" t="s">
        <v>5420</v>
      </c>
      <c r="R173" s="1" t="s">
        <v>944</v>
      </c>
      <c r="S173" s="8">
        <v>45705</v>
      </c>
      <c r="T173" s="1">
        <v>2</v>
      </c>
      <c r="U173" s="1" t="s">
        <v>945</v>
      </c>
      <c r="V173" s="1" t="s">
        <v>946</v>
      </c>
      <c r="W173" s="1" t="s">
        <v>1388</v>
      </c>
    </row>
    <row r="174" spans="1:23" x14ac:dyDescent="0.25">
      <c r="A174" s="1" t="s">
        <v>48</v>
      </c>
      <c r="B174" s="1" t="s">
        <v>947</v>
      </c>
      <c r="C174" s="1" t="s">
        <v>50</v>
      </c>
      <c r="D174" s="1" t="s">
        <v>948</v>
      </c>
      <c r="E174" s="1" t="s">
        <v>949</v>
      </c>
      <c r="F174" s="22" t="s">
        <v>6085</v>
      </c>
      <c r="G174" s="1" t="s">
        <v>5</v>
      </c>
      <c r="H174" s="1" t="s">
        <v>20</v>
      </c>
      <c r="I174" s="1" t="s">
        <v>26</v>
      </c>
      <c r="J174" s="1" t="s">
        <v>9</v>
      </c>
      <c r="K174" s="1" t="s">
        <v>12</v>
      </c>
      <c r="L174" s="1" t="s">
        <v>16</v>
      </c>
      <c r="M174" s="1" t="s">
        <v>53</v>
      </c>
      <c r="N174" s="11" t="s">
        <v>188</v>
      </c>
      <c r="O174" s="1" t="s">
        <v>6037</v>
      </c>
      <c r="P174" s="1" t="s">
        <v>199</v>
      </c>
      <c r="Q174" s="1" t="s">
        <v>5421</v>
      </c>
      <c r="R174" s="1" t="s">
        <v>950</v>
      </c>
      <c r="S174" s="8">
        <v>46054</v>
      </c>
      <c r="T174" s="1">
        <v>3</v>
      </c>
      <c r="U174" s="1" t="s">
        <v>951</v>
      </c>
      <c r="V174" s="1" t="s">
        <v>952</v>
      </c>
      <c r="W174" s="1" t="s">
        <v>763</v>
      </c>
    </row>
    <row r="175" spans="1:23" x14ac:dyDescent="0.25">
      <c r="A175" s="1" t="s">
        <v>48</v>
      </c>
      <c r="B175" s="1" t="s">
        <v>953</v>
      </c>
      <c r="C175" s="1" t="s">
        <v>50</v>
      </c>
      <c r="D175" s="1" t="s">
        <v>954</v>
      </c>
      <c r="E175" s="1" t="s">
        <v>955</v>
      </c>
      <c r="F175" s="22" t="s">
        <v>5259</v>
      </c>
      <c r="G175" s="1" t="s">
        <v>6</v>
      </c>
      <c r="H175" s="1" t="s">
        <v>20</v>
      </c>
      <c r="I175" s="1" t="s">
        <v>26</v>
      </c>
      <c r="J175" s="1" t="s">
        <v>9</v>
      </c>
      <c r="K175" s="1" t="s">
        <v>16</v>
      </c>
      <c r="L175" s="1" t="s">
        <v>16</v>
      </c>
      <c r="M175" s="1" t="s">
        <v>53</v>
      </c>
      <c r="N175" s="14" t="s">
        <v>5226</v>
      </c>
      <c r="O175" s="1" t="s">
        <v>6037</v>
      </c>
      <c r="P175" s="1" t="s">
        <v>60</v>
      </c>
      <c r="Q175" s="1" t="s">
        <v>5422</v>
      </c>
      <c r="R175" s="1" t="s">
        <v>956</v>
      </c>
      <c r="S175" s="8">
        <v>46041</v>
      </c>
      <c r="T175" s="1">
        <v>1</v>
      </c>
      <c r="U175" s="1" t="s">
        <v>957</v>
      </c>
      <c r="V175" s="1" t="s">
        <v>1388</v>
      </c>
      <c r="W175" s="1" t="s">
        <v>1388</v>
      </c>
    </row>
    <row r="176" spans="1:23" x14ac:dyDescent="0.25">
      <c r="A176" s="1" t="s">
        <v>48</v>
      </c>
      <c r="B176" s="1" t="s">
        <v>958</v>
      </c>
      <c r="C176" s="1" t="s">
        <v>50</v>
      </c>
      <c r="D176" s="1" t="s">
        <v>959</v>
      </c>
      <c r="E176" s="1" t="s">
        <v>960</v>
      </c>
      <c r="F176" s="22" t="s">
        <v>3</v>
      </c>
      <c r="G176" s="1" t="s">
        <v>6</v>
      </c>
      <c r="H176" s="1" t="s">
        <v>20</v>
      </c>
      <c r="I176" s="1" t="s">
        <v>25</v>
      </c>
      <c r="J176" s="1" t="s">
        <v>9</v>
      </c>
      <c r="K176" s="1" t="s">
        <v>11</v>
      </c>
      <c r="L176" s="1" t="s">
        <v>11</v>
      </c>
      <c r="M176" s="1" t="s">
        <v>53</v>
      </c>
      <c r="N176" s="1" t="s">
        <v>5224</v>
      </c>
      <c r="O176" s="1" t="s">
        <v>6235</v>
      </c>
      <c r="P176" s="1" t="s">
        <v>66</v>
      </c>
      <c r="Q176" s="1" t="s">
        <v>5423</v>
      </c>
      <c r="R176" s="7" t="s">
        <v>961</v>
      </c>
      <c r="S176" s="8">
        <v>46023</v>
      </c>
      <c r="T176" s="1">
        <v>1</v>
      </c>
      <c r="U176" s="1" t="s">
        <v>962</v>
      </c>
      <c r="V176" s="1" t="s">
        <v>1388</v>
      </c>
      <c r="W176" s="1" t="s">
        <v>1388</v>
      </c>
    </row>
    <row r="177" spans="1:23" x14ac:dyDescent="0.25">
      <c r="A177" s="1" t="s">
        <v>48</v>
      </c>
      <c r="B177" s="1" t="s">
        <v>963</v>
      </c>
      <c r="C177" s="1" t="s">
        <v>50</v>
      </c>
      <c r="D177" s="1" t="s">
        <v>964</v>
      </c>
      <c r="E177" s="1" t="s">
        <v>965</v>
      </c>
      <c r="F177" s="22" t="s">
        <v>3</v>
      </c>
      <c r="G177" s="1" t="s">
        <v>6</v>
      </c>
      <c r="H177" s="1" t="s">
        <v>20</v>
      </c>
      <c r="I177" s="1" t="s">
        <v>26</v>
      </c>
      <c r="J177" s="1" t="s">
        <v>9</v>
      </c>
      <c r="K177" s="1" t="s">
        <v>12</v>
      </c>
      <c r="L177" s="1" t="s">
        <v>12</v>
      </c>
      <c r="M177" s="1" t="s">
        <v>53</v>
      </c>
      <c r="N177" s="1" t="s">
        <v>1830</v>
      </c>
      <c r="O177" s="1" t="s">
        <v>6037</v>
      </c>
      <c r="P177" s="1" t="s">
        <v>480</v>
      </c>
      <c r="Q177" s="1" t="s">
        <v>5424</v>
      </c>
      <c r="R177" s="7" t="s">
        <v>966</v>
      </c>
      <c r="S177" s="8">
        <v>46041</v>
      </c>
      <c r="T177" s="1">
        <v>2</v>
      </c>
      <c r="U177" s="1" t="s">
        <v>967</v>
      </c>
      <c r="V177" s="1" t="s">
        <v>967</v>
      </c>
      <c r="W177" s="1" t="s">
        <v>1388</v>
      </c>
    </row>
    <row r="178" spans="1:23" x14ac:dyDescent="0.25">
      <c r="A178" s="1" t="s">
        <v>48</v>
      </c>
      <c r="B178" s="1" t="s">
        <v>1218</v>
      </c>
      <c r="C178" s="1" t="s">
        <v>50</v>
      </c>
      <c r="D178" s="1" t="s">
        <v>1309</v>
      </c>
      <c r="E178" s="1" t="s">
        <v>1310</v>
      </c>
      <c r="F178" s="22" t="s">
        <v>6085</v>
      </c>
      <c r="G178" s="1" t="s">
        <v>5</v>
      </c>
      <c r="H178" s="1" t="s">
        <v>21</v>
      </c>
      <c r="I178" s="1" t="s">
        <v>25</v>
      </c>
      <c r="J178" s="1" t="s">
        <v>9</v>
      </c>
      <c r="K178" s="1" t="s">
        <v>14</v>
      </c>
      <c r="L178" s="1" t="s">
        <v>14</v>
      </c>
      <c r="M178" s="1" t="s">
        <v>53</v>
      </c>
      <c r="N178" s="11" t="s">
        <v>188</v>
      </c>
      <c r="O178" s="1" t="s">
        <v>6037</v>
      </c>
      <c r="P178" s="1" t="s">
        <v>126</v>
      </c>
      <c r="Q178" s="1" t="s">
        <v>5425</v>
      </c>
      <c r="R178" s="1" t="s">
        <v>1581</v>
      </c>
      <c r="S178" s="8">
        <v>45691</v>
      </c>
      <c r="T178" s="1">
        <v>3</v>
      </c>
      <c r="U178" s="1" t="s">
        <v>1582</v>
      </c>
      <c r="V178" s="1" t="s">
        <v>1583</v>
      </c>
      <c r="W178" s="1" t="s">
        <v>1584</v>
      </c>
    </row>
    <row r="179" spans="1:23" x14ac:dyDescent="0.25">
      <c r="A179" s="1" t="s">
        <v>48</v>
      </c>
      <c r="B179" s="1" t="s">
        <v>968</v>
      </c>
      <c r="C179" s="1" t="s">
        <v>50</v>
      </c>
      <c r="D179" s="1" t="s">
        <v>969</v>
      </c>
      <c r="E179" s="1" t="s">
        <v>970</v>
      </c>
      <c r="F179" s="22" t="s">
        <v>6085</v>
      </c>
      <c r="G179" s="1" t="s">
        <v>6</v>
      </c>
      <c r="H179" s="1" t="s">
        <v>20</v>
      </c>
      <c r="I179" s="1" t="s">
        <v>26</v>
      </c>
      <c r="J179" s="1" t="s">
        <v>8</v>
      </c>
      <c r="K179" s="1" t="s">
        <v>12</v>
      </c>
      <c r="L179" s="1" t="s">
        <v>17</v>
      </c>
      <c r="M179" s="1" t="s">
        <v>53</v>
      </c>
      <c r="N179" s="11" t="s">
        <v>188</v>
      </c>
      <c r="O179" s="1" t="s">
        <v>6037</v>
      </c>
      <c r="P179" s="1" t="s">
        <v>971</v>
      </c>
      <c r="Q179" s="1" t="s">
        <v>5426</v>
      </c>
      <c r="R179" s="1" t="s">
        <v>972</v>
      </c>
      <c r="S179" s="8">
        <v>46296</v>
      </c>
      <c r="T179" s="1">
        <v>1</v>
      </c>
      <c r="U179" s="1" t="s">
        <v>973</v>
      </c>
      <c r="V179" s="1" t="s">
        <v>1388</v>
      </c>
      <c r="W179" s="1" t="s">
        <v>1388</v>
      </c>
    </row>
    <row r="180" spans="1:23" x14ac:dyDescent="0.25">
      <c r="A180" s="1" t="s">
        <v>48</v>
      </c>
      <c r="B180" s="1" t="s">
        <v>974</v>
      </c>
      <c r="C180" s="1" t="s">
        <v>50</v>
      </c>
      <c r="D180" s="1" t="s">
        <v>975</v>
      </c>
      <c r="E180" s="1" t="s">
        <v>976</v>
      </c>
      <c r="F180" s="22" t="s">
        <v>3</v>
      </c>
      <c r="G180" s="1" t="s">
        <v>5</v>
      </c>
      <c r="H180" s="1" t="s">
        <v>22</v>
      </c>
      <c r="I180" s="1" t="s">
        <v>25</v>
      </c>
      <c r="J180" s="1" t="s">
        <v>9</v>
      </c>
      <c r="K180" s="1" t="s">
        <v>19</v>
      </c>
      <c r="L180" s="1" t="s">
        <v>19</v>
      </c>
      <c r="M180" s="1" t="s">
        <v>53</v>
      </c>
      <c r="N180" s="11" t="s">
        <v>188</v>
      </c>
      <c r="O180" s="1" t="s">
        <v>6037</v>
      </c>
      <c r="P180" s="1" t="s">
        <v>60</v>
      </c>
      <c r="Q180" s="1" t="s">
        <v>5427</v>
      </c>
      <c r="R180" s="7" t="s">
        <v>977</v>
      </c>
      <c r="S180" s="8">
        <v>46042</v>
      </c>
      <c r="T180" s="1">
        <v>3</v>
      </c>
      <c r="U180" s="1" t="s">
        <v>978</v>
      </c>
      <c r="V180" s="1" t="s">
        <v>978</v>
      </c>
      <c r="W180" s="1" t="s">
        <v>978</v>
      </c>
    </row>
    <row r="181" spans="1:23" x14ac:dyDescent="0.25">
      <c r="A181" s="1" t="s">
        <v>48</v>
      </c>
      <c r="B181" s="1" t="s">
        <v>1025</v>
      </c>
      <c r="C181" s="1" t="s">
        <v>50</v>
      </c>
      <c r="D181" s="1" t="s">
        <v>1092</v>
      </c>
      <c r="E181" s="1" t="s">
        <v>1093</v>
      </c>
      <c r="F181" s="22" t="s">
        <v>3</v>
      </c>
      <c r="G181" s="1" t="s">
        <v>6</v>
      </c>
      <c r="H181" s="1" t="s">
        <v>21</v>
      </c>
      <c r="I181" s="1" t="s">
        <v>25</v>
      </c>
      <c r="J181" s="1" t="s">
        <v>9</v>
      </c>
      <c r="K181" s="1" t="s">
        <v>13</v>
      </c>
      <c r="L181" s="1" t="s">
        <v>13</v>
      </c>
      <c r="M181" s="1" t="s">
        <v>53</v>
      </c>
      <c r="N181" s="1" t="s">
        <v>1013</v>
      </c>
      <c r="O181" s="1" t="s">
        <v>6037</v>
      </c>
      <c r="P181" s="1" t="s">
        <v>126</v>
      </c>
      <c r="Q181" s="1" t="s">
        <v>5428</v>
      </c>
      <c r="R181" s="7" t="s">
        <v>1412</v>
      </c>
      <c r="S181" s="8">
        <v>45670</v>
      </c>
      <c r="T181" s="1">
        <v>1</v>
      </c>
      <c r="U181" s="1" t="s">
        <v>1413</v>
      </c>
      <c r="V181" s="1" t="s">
        <v>1388</v>
      </c>
      <c r="W181" s="1" t="s">
        <v>1388</v>
      </c>
    </row>
    <row r="182" spans="1:23" x14ac:dyDescent="0.25">
      <c r="A182" s="1" t="s">
        <v>48</v>
      </c>
      <c r="B182" s="1" t="s">
        <v>979</v>
      </c>
      <c r="C182" s="1" t="s">
        <v>50</v>
      </c>
      <c r="D182" s="1" t="s">
        <v>980</v>
      </c>
      <c r="E182" s="1" t="s">
        <v>981</v>
      </c>
      <c r="F182" s="22" t="s">
        <v>6085</v>
      </c>
      <c r="G182" s="1" t="s">
        <v>6</v>
      </c>
      <c r="H182" s="1" t="s">
        <v>20</v>
      </c>
      <c r="I182" s="1" t="s">
        <v>26</v>
      </c>
      <c r="J182" s="1" t="s">
        <v>9</v>
      </c>
      <c r="K182" s="1" t="s">
        <v>15</v>
      </c>
      <c r="L182" s="1" t="s">
        <v>15</v>
      </c>
      <c r="M182" s="1" t="s">
        <v>53</v>
      </c>
      <c r="N182" s="11" t="s">
        <v>188</v>
      </c>
      <c r="O182" s="1" t="s">
        <v>6037</v>
      </c>
      <c r="P182" s="1" t="s">
        <v>982</v>
      </c>
      <c r="Q182" s="1" t="s">
        <v>5429</v>
      </c>
      <c r="R182" s="1" t="s">
        <v>983</v>
      </c>
      <c r="S182" s="8">
        <v>46023</v>
      </c>
      <c r="T182" s="1">
        <v>1</v>
      </c>
      <c r="U182" s="1" t="s">
        <v>763</v>
      </c>
      <c r="V182" s="1" t="s">
        <v>1689</v>
      </c>
      <c r="W182" s="1" t="s">
        <v>1388</v>
      </c>
    </row>
    <row r="183" spans="1:23" x14ac:dyDescent="0.25">
      <c r="A183" s="2" t="s">
        <v>48</v>
      </c>
      <c r="B183" s="2" t="s">
        <v>985</v>
      </c>
      <c r="C183" s="2" t="s">
        <v>50</v>
      </c>
      <c r="D183" s="2" t="s">
        <v>172</v>
      </c>
      <c r="E183" s="2" t="s">
        <v>173</v>
      </c>
      <c r="F183" s="22" t="s">
        <v>3</v>
      </c>
      <c r="G183" s="1" t="s">
        <v>6</v>
      </c>
      <c r="H183" s="1" t="s">
        <v>20</v>
      </c>
      <c r="I183" s="1" t="s">
        <v>26</v>
      </c>
      <c r="J183" s="1" t="s">
        <v>9</v>
      </c>
      <c r="K183" s="1" t="s">
        <v>13</v>
      </c>
      <c r="L183" s="1" t="s">
        <v>13</v>
      </c>
      <c r="M183" s="1" t="s">
        <v>53</v>
      </c>
      <c r="N183" s="1" t="s">
        <v>1664</v>
      </c>
      <c r="O183" s="1" t="s">
        <v>6235</v>
      </c>
      <c r="P183" s="1" t="s">
        <v>593</v>
      </c>
      <c r="Q183" s="1" t="s">
        <v>5430</v>
      </c>
      <c r="R183" s="1" t="s">
        <v>986</v>
      </c>
      <c r="S183" s="8">
        <v>45855</v>
      </c>
      <c r="T183" s="1">
        <v>2</v>
      </c>
      <c r="U183" s="1" t="s">
        <v>987</v>
      </c>
      <c r="V183" s="1" t="s">
        <v>512</v>
      </c>
      <c r="W183" s="1" t="s">
        <v>1388</v>
      </c>
    </row>
    <row r="184" spans="1:23" x14ac:dyDescent="0.25">
      <c r="A184" s="1" t="s">
        <v>48</v>
      </c>
      <c r="B184" s="1" t="s">
        <v>1210</v>
      </c>
      <c r="C184" s="1" t="s">
        <v>50</v>
      </c>
      <c r="D184" s="1" t="s">
        <v>1293</v>
      </c>
      <c r="E184" s="1" t="s">
        <v>1294</v>
      </c>
      <c r="F184" s="22" t="s">
        <v>6085</v>
      </c>
      <c r="G184" s="1" t="s">
        <v>6</v>
      </c>
      <c r="H184" s="1" t="s">
        <v>20</v>
      </c>
      <c r="I184" s="1" t="s">
        <v>26</v>
      </c>
      <c r="J184" s="1" t="s">
        <v>9</v>
      </c>
      <c r="K184" s="1" t="s">
        <v>15</v>
      </c>
      <c r="L184" s="1" t="s">
        <v>15</v>
      </c>
      <c r="M184" s="1" t="s">
        <v>53</v>
      </c>
      <c r="N184" s="11" t="s">
        <v>188</v>
      </c>
      <c r="O184" s="1" t="s">
        <v>6037</v>
      </c>
      <c r="P184" s="1" t="s">
        <v>1565</v>
      </c>
      <c r="Q184" s="1" t="s">
        <v>5431</v>
      </c>
      <c r="R184" s="1" t="s">
        <v>1566</v>
      </c>
      <c r="S184" s="8">
        <v>46174</v>
      </c>
      <c r="T184" s="1">
        <v>1</v>
      </c>
      <c r="U184" s="1" t="s">
        <v>810</v>
      </c>
      <c r="V184" s="1" t="s">
        <v>1388</v>
      </c>
      <c r="W184" s="1" t="s">
        <v>1388</v>
      </c>
    </row>
    <row r="185" spans="1:23" x14ac:dyDescent="0.25">
      <c r="A185" s="1" t="s">
        <v>48</v>
      </c>
      <c r="B185" s="1" t="s">
        <v>988</v>
      </c>
      <c r="C185" s="1" t="s">
        <v>50</v>
      </c>
      <c r="D185" s="1" t="s">
        <v>989</v>
      </c>
      <c r="E185" s="1" t="s">
        <v>990</v>
      </c>
      <c r="F185" s="22" t="s">
        <v>5259</v>
      </c>
      <c r="G185" s="1" t="s">
        <v>6</v>
      </c>
      <c r="H185" s="1" t="s">
        <v>20</v>
      </c>
      <c r="I185" s="1" t="s">
        <v>25</v>
      </c>
      <c r="J185" s="1" t="s">
        <v>9</v>
      </c>
      <c r="K185" s="1" t="s">
        <v>11</v>
      </c>
      <c r="L185" s="1" t="s">
        <v>11</v>
      </c>
      <c r="M185" s="1" t="s">
        <v>53</v>
      </c>
      <c r="N185" s="14" t="s">
        <v>1702</v>
      </c>
      <c r="O185" s="1" t="s">
        <v>6037</v>
      </c>
      <c r="P185" s="1" t="s">
        <v>991</v>
      </c>
      <c r="Q185" s="1" t="s">
        <v>5432</v>
      </c>
      <c r="R185" s="7" t="s">
        <v>992</v>
      </c>
      <c r="S185" s="8">
        <v>46052</v>
      </c>
      <c r="T185" s="1">
        <v>2</v>
      </c>
      <c r="U185" s="1" t="s">
        <v>993</v>
      </c>
      <c r="V185" s="1" t="s">
        <v>195</v>
      </c>
      <c r="W185" s="1" t="s">
        <v>1388</v>
      </c>
    </row>
    <row r="186" spans="1:23" x14ac:dyDescent="0.25">
      <c r="A186" s="1" t="s">
        <v>48</v>
      </c>
      <c r="B186" s="1" t="s">
        <v>994</v>
      </c>
      <c r="C186" s="1" t="s">
        <v>50</v>
      </c>
      <c r="D186" s="1" t="s">
        <v>995</v>
      </c>
      <c r="E186" s="1" t="s">
        <v>996</v>
      </c>
      <c r="F186" s="22" t="s">
        <v>6085</v>
      </c>
      <c r="G186" s="1" t="s">
        <v>5</v>
      </c>
      <c r="H186" s="1" t="s">
        <v>20</v>
      </c>
      <c r="I186" s="1" t="s">
        <v>26</v>
      </c>
      <c r="J186" s="1" t="s">
        <v>9</v>
      </c>
      <c r="K186" s="1" t="s">
        <v>13</v>
      </c>
      <c r="L186" s="1" t="s">
        <v>13</v>
      </c>
      <c r="M186" s="1" t="s">
        <v>53</v>
      </c>
      <c r="N186" s="11" t="s">
        <v>188</v>
      </c>
      <c r="O186" s="2" t="s">
        <v>6235</v>
      </c>
      <c r="P186" s="1" t="s">
        <v>247</v>
      </c>
      <c r="Q186" s="1" t="s">
        <v>5433</v>
      </c>
      <c r="R186" s="1" t="s">
        <v>997</v>
      </c>
      <c r="S186" s="8">
        <v>46023</v>
      </c>
      <c r="T186" s="1">
        <v>3</v>
      </c>
      <c r="U186" s="1" t="s">
        <v>998</v>
      </c>
      <c r="V186" s="1" t="s">
        <v>999</v>
      </c>
      <c r="W186" s="1" t="s">
        <v>999</v>
      </c>
    </row>
    <row r="187" spans="1:23" x14ac:dyDescent="0.25">
      <c r="A187" s="1" t="s">
        <v>48</v>
      </c>
      <c r="B187" s="1" t="s">
        <v>1000</v>
      </c>
      <c r="C187" s="1" t="s">
        <v>50</v>
      </c>
      <c r="D187" s="1" t="s">
        <v>1001</v>
      </c>
      <c r="E187" s="1" t="s">
        <v>1002</v>
      </c>
      <c r="F187" s="22" t="s">
        <v>6085</v>
      </c>
      <c r="G187" s="1" t="s">
        <v>6</v>
      </c>
      <c r="H187" s="1" t="s">
        <v>20</v>
      </c>
      <c r="I187" s="1" t="s">
        <v>25</v>
      </c>
      <c r="J187" s="1" t="s">
        <v>9</v>
      </c>
      <c r="K187" s="1" t="s">
        <v>11</v>
      </c>
      <c r="L187" s="1" t="s">
        <v>11</v>
      </c>
      <c r="M187" s="1" t="s">
        <v>53</v>
      </c>
      <c r="N187" s="11" t="s">
        <v>188</v>
      </c>
      <c r="O187" s="1" t="s">
        <v>6037</v>
      </c>
      <c r="P187" s="1" t="s">
        <v>656</v>
      </c>
      <c r="Q187" s="1" t="s">
        <v>5434</v>
      </c>
      <c r="R187" s="1" t="s">
        <v>1003</v>
      </c>
      <c r="S187" s="8">
        <v>46055</v>
      </c>
      <c r="T187" s="1">
        <v>2</v>
      </c>
      <c r="U187" s="1" t="s">
        <v>1004</v>
      </c>
      <c r="V187" s="1" t="s">
        <v>1004</v>
      </c>
      <c r="W187" s="1" t="s">
        <v>1388</v>
      </c>
    </row>
    <row r="188" spans="1:23" x14ac:dyDescent="0.25">
      <c r="A188" s="1" t="s">
        <v>48</v>
      </c>
      <c r="B188" s="1" t="s">
        <v>1005</v>
      </c>
      <c r="C188" s="1" t="s">
        <v>50</v>
      </c>
      <c r="D188" s="1" t="s">
        <v>1006</v>
      </c>
      <c r="E188" s="1" t="s">
        <v>1007</v>
      </c>
      <c r="F188" s="22" t="s">
        <v>5259</v>
      </c>
      <c r="G188" s="1" t="s">
        <v>6</v>
      </c>
      <c r="H188" s="1" t="s">
        <v>20</v>
      </c>
      <c r="I188" s="1" t="s">
        <v>26</v>
      </c>
      <c r="J188" s="1" t="s">
        <v>8</v>
      </c>
      <c r="K188" s="1" t="s">
        <v>15</v>
      </c>
      <c r="L188" s="1" t="s">
        <v>15</v>
      </c>
      <c r="M188" s="1" t="s">
        <v>53</v>
      </c>
      <c r="N188" s="14" t="s">
        <v>1664</v>
      </c>
      <c r="O188" s="1" t="s">
        <v>6037</v>
      </c>
      <c r="P188" s="1" t="s">
        <v>1008</v>
      </c>
      <c r="Q188" s="1" t="s">
        <v>5359</v>
      </c>
      <c r="R188" s="1" t="s">
        <v>1009</v>
      </c>
      <c r="S188" s="9">
        <v>45962</v>
      </c>
      <c r="T188" s="1">
        <v>1</v>
      </c>
      <c r="U188" s="1" t="s">
        <v>1010</v>
      </c>
      <c r="V188" s="1" t="s">
        <v>1388</v>
      </c>
      <c r="W188" s="1" t="s">
        <v>1388</v>
      </c>
    </row>
    <row r="189" spans="1:23" x14ac:dyDescent="0.25">
      <c r="A189" s="1" t="s">
        <v>48</v>
      </c>
      <c r="B189" s="1" t="s">
        <v>1026</v>
      </c>
      <c r="C189" s="1" t="s">
        <v>50</v>
      </c>
      <c r="D189" s="1" t="s">
        <v>1094</v>
      </c>
      <c r="E189" s="1" t="s">
        <v>1095</v>
      </c>
      <c r="F189" s="22" t="s">
        <v>5259</v>
      </c>
      <c r="G189" s="1" t="s">
        <v>6</v>
      </c>
      <c r="H189" s="1" t="s">
        <v>20</v>
      </c>
      <c r="I189" s="1" t="s">
        <v>25</v>
      </c>
      <c r="J189" s="1" t="s">
        <v>9</v>
      </c>
      <c r="K189" s="1" t="s">
        <v>11</v>
      </c>
      <c r="L189" s="1" t="s">
        <v>11</v>
      </c>
      <c r="M189" s="1" t="s">
        <v>53</v>
      </c>
      <c r="N189" s="14" t="s">
        <v>1702</v>
      </c>
      <c r="O189" s="1" t="s">
        <v>6037</v>
      </c>
      <c r="P189" s="1" t="s">
        <v>60</v>
      </c>
      <c r="Q189" s="1" t="s">
        <v>5435</v>
      </c>
      <c r="R189" s="7" t="s">
        <v>1414</v>
      </c>
      <c r="S189" s="8">
        <v>46113</v>
      </c>
      <c r="T189" s="1">
        <v>2</v>
      </c>
      <c r="U189" s="1" t="s">
        <v>1415</v>
      </c>
      <c r="V189" s="1" t="s">
        <v>1416</v>
      </c>
      <c r="W189" s="1" t="s">
        <v>1388</v>
      </c>
    </row>
    <row r="190" spans="1:23" x14ac:dyDescent="0.25">
      <c r="A190" s="1" t="s">
        <v>48</v>
      </c>
      <c r="B190" s="1" t="s">
        <v>1027</v>
      </c>
      <c r="C190" s="1" t="s">
        <v>50</v>
      </c>
      <c r="D190" s="1" t="s">
        <v>1096</v>
      </c>
      <c r="E190" s="1" t="s">
        <v>1097</v>
      </c>
      <c r="F190" s="22" t="s">
        <v>5259</v>
      </c>
      <c r="G190" s="1" t="s">
        <v>6</v>
      </c>
      <c r="H190" s="1" t="s">
        <v>24</v>
      </c>
      <c r="I190" s="1" t="s">
        <v>25</v>
      </c>
      <c r="J190" s="1" t="s">
        <v>8</v>
      </c>
      <c r="K190" s="1" t="s">
        <v>14</v>
      </c>
      <c r="L190" s="1" t="s">
        <v>14</v>
      </c>
      <c r="M190" s="1" t="s">
        <v>53</v>
      </c>
      <c r="N190" s="14" t="s">
        <v>1664</v>
      </c>
      <c r="O190" s="1" t="s">
        <v>6037</v>
      </c>
      <c r="P190" s="1" t="s">
        <v>1417</v>
      </c>
      <c r="Q190" s="1" t="s">
        <v>6</v>
      </c>
      <c r="R190" s="1" t="s">
        <v>1418</v>
      </c>
      <c r="S190" s="9">
        <v>45901</v>
      </c>
      <c r="T190" s="1">
        <v>2</v>
      </c>
      <c r="U190" s="1" t="s">
        <v>1419</v>
      </c>
      <c r="V190" s="1" t="s">
        <v>1419</v>
      </c>
      <c r="W190" s="1" t="s">
        <v>1419</v>
      </c>
    </row>
    <row r="191" spans="1:23" x14ac:dyDescent="0.25">
      <c r="A191" s="2" t="s">
        <v>48</v>
      </c>
      <c r="B191" s="1" t="s">
        <v>1028</v>
      </c>
      <c r="C191" s="2" t="s">
        <v>50</v>
      </c>
      <c r="D191" s="1" t="s">
        <v>1098</v>
      </c>
      <c r="E191" s="2" t="s">
        <v>1099</v>
      </c>
      <c r="F191" s="22" t="s">
        <v>6085</v>
      </c>
      <c r="G191" s="1" t="s">
        <v>6</v>
      </c>
      <c r="H191" s="1" t="s">
        <v>20</v>
      </c>
      <c r="I191" s="1" t="s">
        <v>25</v>
      </c>
      <c r="J191" s="1" t="s">
        <v>9</v>
      </c>
      <c r="K191" s="1" t="s">
        <v>11</v>
      </c>
      <c r="L191" s="1" t="s">
        <v>11</v>
      </c>
      <c r="M191" s="1" t="s">
        <v>53</v>
      </c>
      <c r="N191" s="11" t="s">
        <v>188</v>
      </c>
      <c r="O191" s="1" t="s">
        <v>6037</v>
      </c>
      <c r="P191" s="1" t="s">
        <v>66</v>
      </c>
      <c r="Q191" s="1" t="s">
        <v>5434</v>
      </c>
      <c r="R191" s="1" t="s">
        <v>1420</v>
      </c>
      <c r="S191" s="9">
        <v>46023</v>
      </c>
      <c r="T191" s="2">
        <v>1</v>
      </c>
      <c r="U191" s="2" t="s">
        <v>1421</v>
      </c>
      <c r="V191" s="2" t="s">
        <v>1388</v>
      </c>
      <c r="W191" s="2" t="s">
        <v>1388</v>
      </c>
    </row>
    <row r="192" spans="1:23" x14ac:dyDescent="0.25">
      <c r="A192" s="1" t="s">
        <v>48</v>
      </c>
      <c r="B192" s="1" t="s">
        <v>1029</v>
      </c>
      <c r="C192" s="1" t="s">
        <v>50</v>
      </c>
      <c r="D192" s="1" t="s">
        <v>1100</v>
      </c>
      <c r="E192" s="1" t="s">
        <v>1101</v>
      </c>
      <c r="F192" s="22" t="s">
        <v>5259</v>
      </c>
      <c r="G192" s="1" t="s">
        <v>6</v>
      </c>
      <c r="H192" s="1" t="s">
        <v>21</v>
      </c>
      <c r="I192" s="1" t="s">
        <v>26</v>
      </c>
      <c r="J192" s="1" t="s">
        <v>9</v>
      </c>
      <c r="K192" s="1" t="s">
        <v>11</v>
      </c>
      <c r="L192" s="1" t="s">
        <v>11</v>
      </c>
      <c r="M192" s="1" t="s">
        <v>53</v>
      </c>
      <c r="N192" s="14" t="s">
        <v>5226</v>
      </c>
      <c r="O192" s="1" t="s">
        <v>6037</v>
      </c>
      <c r="P192" s="1" t="s">
        <v>1422</v>
      </c>
      <c r="Q192" s="1" t="s">
        <v>5436</v>
      </c>
      <c r="R192" s="1" t="s">
        <v>1423</v>
      </c>
      <c r="S192" s="8">
        <v>45873</v>
      </c>
      <c r="T192" s="1">
        <v>2</v>
      </c>
      <c r="U192" s="1" t="s">
        <v>1424</v>
      </c>
      <c r="V192" s="1" t="s">
        <v>1425</v>
      </c>
      <c r="W192" s="1" t="s">
        <v>1388</v>
      </c>
    </row>
    <row r="193" spans="1:23" x14ac:dyDescent="0.25">
      <c r="A193" s="1" t="s">
        <v>48</v>
      </c>
      <c r="B193" s="1" t="s">
        <v>1030</v>
      </c>
      <c r="C193" s="1" t="s">
        <v>50</v>
      </c>
      <c r="D193" s="1" t="s">
        <v>1102</v>
      </c>
      <c r="E193" s="1" t="s">
        <v>1103</v>
      </c>
      <c r="F193" s="22" t="s">
        <v>3</v>
      </c>
      <c r="G193" s="1" t="s">
        <v>6</v>
      </c>
      <c r="H193" s="1" t="s">
        <v>20</v>
      </c>
      <c r="I193" s="1" t="s">
        <v>26</v>
      </c>
      <c r="J193" s="1" t="s">
        <v>9</v>
      </c>
      <c r="K193" s="1" t="s">
        <v>13</v>
      </c>
      <c r="L193" s="1" t="s">
        <v>13</v>
      </c>
      <c r="M193" s="1" t="s">
        <v>53</v>
      </c>
      <c r="N193" s="1" t="s">
        <v>1664</v>
      </c>
      <c r="O193" s="1" t="s">
        <v>6235</v>
      </c>
      <c r="P193" s="1" t="s">
        <v>1426</v>
      </c>
      <c r="Q193" s="1" t="s">
        <v>5437</v>
      </c>
      <c r="R193" s="1" t="s">
        <v>1427</v>
      </c>
      <c r="S193" s="8">
        <v>45292</v>
      </c>
      <c r="T193" s="1">
        <v>2</v>
      </c>
      <c r="U193" s="1" t="s">
        <v>984</v>
      </c>
      <c r="V193" s="1" t="s">
        <v>1428</v>
      </c>
      <c r="W193" s="1" t="s">
        <v>1388</v>
      </c>
    </row>
    <row r="194" spans="1:23" x14ac:dyDescent="0.25">
      <c r="A194" s="1" t="s">
        <v>48</v>
      </c>
      <c r="B194" s="1" t="s">
        <v>1031</v>
      </c>
      <c r="C194" s="1" t="s">
        <v>50</v>
      </c>
      <c r="D194" s="1" t="s">
        <v>1104</v>
      </c>
      <c r="E194" s="1" t="s">
        <v>1105</v>
      </c>
      <c r="F194" s="22" t="s">
        <v>3</v>
      </c>
      <c r="G194" s="1" t="s">
        <v>1383</v>
      </c>
      <c r="H194" s="1" t="s">
        <v>24</v>
      </c>
      <c r="I194" s="1" t="s">
        <v>26</v>
      </c>
      <c r="J194" s="1" t="s">
        <v>8</v>
      </c>
      <c r="K194" s="1" t="s">
        <v>15</v>
      </c>
      <c r="L194" s="1" t="s">
        <v>15</v>
      </c>
      <c r="M194" s="1" t="s">
        <v>53</v>
      </c>
      <c r="N194" s="11" t="s">
        <v>188</v>
      </c>
      <c r="O194" s="1" t="s">
        <v>6037</v>
      </c>
      <c r="P194" s="1" t="s">
        <v>1429</v>
      </c>
      <c r="Q194" s="1" t="s">
        <v>5438</v>
      </c>
      <c r="R194" s="7" t="s">
        <v>1430</v>
      </c>
      <c r="S194" s="8">
        <v>46023</v>
      </c>
      <c r="T194" s="1">
        <v>1</v>
      </c>
      <c r="U194" s="1" t="s">
        <v>1431</v>
      </c>
      <c r="V194" s="1" t="s">
        <v>1388</v>
      </c>
      <c r="W194" s="1" t="s">
        <v>1388</v>
      </c>
    </row>
    <row r="195" spans="1:23" x14ac:dyDescent="0.25">
      <c r="A195" s="1" t="s">
        <v>48</v>
      </c>
      <c r="B195" s="1" t="s">
        <v>1196</v>
      </c>
      <c r="C195" s="1" t="s">
        <v>50</v>
      </c>
      <c r="D195" s="1" t="s">
        <v>1265</v>
      </c>
      <c r="E195" s="1" t="s">
        <v>1266</v>
      </c>
      <c r="F195" s="22" t="s">
        <v>5259</v>
      </c>
      <c r="G195" s="1" t="s">
        <v>5</v>
      </c>
      <c r="H195" s="1" t="s">
        <v>20</v>
      </c>
      <c r="I195" s="1" t="s">
        <v>26</v>
      </c>
      <c r="J195" s="1" t="s">
        <v>9</v>
      </c>
      <c r="K195" s="1" t="s">
        <v>15</v>
      </c>
      <c r="L195" s="1" t="s">
        <v>15</v>
      </c>
      <c r="M195" s="1" t="s">
        <v>53</v>
      </c>
      <c r="N195" s="14" t="s">
        <v>5226</v>
      </c>
      <c r="O195" s="1" t="s">
        <v>6037</v>
      </c>
      <c r="P195" s="1" t="s">
        <v>656</v>
      </c>
      <c r="Q195" s="1" t="s">
        <v>5439</v>
      </c>
      <c r="R195" s="1" t="s">
        <v>1526</v>
      </c>
      <c r="S195" s="8">
        <v>45679</v>
      </c>
      <c r="T195" s="1">
        <v>2</v>
      </c>
      <c r="U195" s="1" t="s">
        <v>170</v>
      </c>
      <c r="V195" s="1" t="s">
        <v>170</v>
      </c>
      <c r="W195" s="1" t="s">
        <v>1388</v>
      </c>
    </row>
    <row r="196" spans="1:23" x14ac:dyDescent="0.25">
      <c r="A196" s="1" t="s">
        <v>48</v>
      </c>
      <c r="B196" s="1" t="s">
        <v>1032</v>
      </c>
      <c r="C196" s="1" t="s">
        <v>50</v>
      </c>
      <c r="D196" s="1" t="s">
        <v>1106</v>
      </c>
      <c r="E196" s="1" t="s">
        <v>1107</v>
      </c>
      <c r="F196" s="22" t="s">
        <v>3</v>
      </c>
      <c r="G196" s="1" t="s">
        <v>5</v>
      </c>
      <c r="H196" s="1" t="s">
        <v>20</v>
      </c>
      <c r="I196" s="1" t="s">
        <v>26</v>
      </c>
      <c r="J196" s="1" t="s">
        <v>9</v>
      </c>
      <c r="K196" s="1" t="s">
        <v>14</v>
      </c>
      <c r="L196" s="1" t="s">
        <v>14</v>
      </c>
      <c r="M196" s="1" t="s">
        <v>53</v>
      </c>
      <c r="N196" s="11" t="s">
        <v>188</v>
      </c>
      <c r="O196" s="1" t="s">
        <v>6037</v>
      </c>
      <c r="P196" s="1" t="s">
        <v>593</v>
      </c>
      <c r="Q196" s="1" t="s">
        <v>5440</v>
      </c>
      <c r="R196" s="7" t="s">
        <v>1432</v>
      </c>
      <c r="S196" s="8">
        <v>45026</v>
      </c>
      <c r="T196" s="1">
        <v>3</v>
      </c>
      <c r="U196" s="1" t="s">
        <v>1433</v>
      </c>
      <c r="V196" s="1" t="s">
        <v>1433</v>
      </c>
      <c r="W196" s="1" t="s">
        <v>1434</v>
      </c>
    </row>
    <row r="197" spans="1:23" x14ac:dyDescent="0.25">
      <c r="A197" s="1" t="s">
        <v>48</v>
      </c>
      <c r="B197" s="1" t="s">
        <v>1214</v>
      </c>
      <c r="C197" s="1" t="s">
        <v>50</v>
      </c>
      <c r="D197" s="1" t="s">
        <v>1301</v>
      </c>
      <c r="E197" s="1" t="s">
        <v>1302</v>
      </c>
      <c r="F197" s="22" t="s">
        <v>6085</v>
      </c>
      <c r="G197" s="1" t="s">
        <v>5</v>
      </c>
      <c r="H197" s="1" t="s">
        <v>20</v>
      </c>
      <c r="I197" s="1" t="s">
        <v>26</v>
      </c>
      <c r="J197" s="1" t="s">
        <v>9</v>
      </c>
      <c r="K197" s="1" t="s">
        <v>14</v>
      </c>
      <c r="L197" s="1" t="s">
        <v>14</v>
      </c>
      <c r="M197" s="1" t="s">
        <v>53</v>
      </c>
      <c r="N197" s="1" t="s">
        <v>5238</v>
      </c>
      <c r="O197" s="1" t="s">
        <v>6235</v>
      </c>
      <c r="P197" s="1" t="s">
        <v>126</v>
      </c>
      <c r="Q197" s="1" t="s">
        <v>5441</v>
      </c>
      <c r="R197" s="1" t="s">
        <v>1572</v>
      </c>
      <c r="S197" s="8">
        <v>45334</v>
      </c>
      <c r="T197" s="1">
        <v>2</v>
      </c>
      <c r="U197" s="1" t="s">
        <v>1573</v>
      </c>
      <c r="V197" s="1" t="s">
        <v>1574</v>
      </c>
      <c r="W197" s="1" t="s">
        <v>1388</v>
      </c>
    </row>
    <row r="198" spans="1:23" x14ac:dyDescent="0.25">
      <c r="A198" s="1" t="s">
        <v>48</v>
      </c>
      <c r="B198" s="1" t="s">
        <v>1033</v>
      </c>
      <c r="C198" s="1" t="s">
        <v>50</v>
      </c>
      <c r="D198" s="1" t="s">
        <v>1108</v>
      </c>
      <c r="E198" s="1" t="s">
        <v>1109</v>
      </c>
      <c r="F198" s="22" t="s">
        <v>3</v>
      </c>
      <c r="G198" s="1" t="s">
        <v>6</v>
      </c>
      <c r="H198" s="1" t="s">
        <v>20</v>
      </c>
      <c r="I198" s="1" t="s">
        <v>25</v>
      </c>
      <c r="J198" s="1" t="s">
        <v>9</v>
      </c>
      <c r="K198" s="1" t="s">
        <v>11</v>
      </c>
      <c r="L198" s="1" t="s">
        <v>11</v>
      </c>
      <c r="M198" s="1" t="s">
        <v>53</v>
      </c>
      <c r="N198" s="2" t="s">
        <v>5255</v>
      </c>
      <c r="O198" s="1" t="s">
        <v>6235</v>
      </c>
      <c r="P198" s="1" t="s">
        <v>1422</v>
      </c>
      <c r="Q198" s="1" t="s">
        <v>5442</v>
      </c>
      <c r="R198" s="7" t="s">
        <v>1435</v>
      </c>
      <c r="S198" s="8">
        <v>45870</v>
      </c>
      <c r="T198" s="1">
        <v>1</v>
      </c>
      <c r="U198" s="1" t="s">
        <v>1436</v>
      </c>
      <c r="V198" s="1" t="s">
        <v>1388</v>
      </c>
      <c r="W198" s="1" t="s">
        <v>1388</v>
      </c>
    </row>
    <row r="199" spans="1:23" x14ac:dyDescent="0.25">
      <c r="A199" s="1" t="s">
        <v>48</v>
      </c>
      <c r="B199" s="1" t="s">
        <v>1034</v>
      </c>
      <c r="C199" s="1" t="s">
        <v>50</v>
      </c>
      <c r="D199" s="1" t="s">
        <v>1110</v>
      </c>
      <c r="E199" s="1" t="s">
        <v>1111</v>
      </c>
      <c r="F199" s="22" t="s">
        <v>6085</v>
      </c>
      <c r="G199" s="1" t="s">
        <v>5</v>
      </c>
      <c r="H199" s="1" t="s">
        <v>20</v>
      </c>
      <c r="I199" s="1" t="s">
        <v>26</v>
      </c>
      <c r="J199" s="1" t="s">
        <v>9</v>
      </c>
      <c r="K199" s="1" t="s">
        <v>10</v>
      </c>
      <c r="L199" s="1" t="s">
        <v>10</v>
      </c>
      <c r="M199" s="1" t="s">
        <v>53</v>
      </c>
      <c r="N199" s="11" t="s">
        <v>188</v>
      </c>
      <c r="O199" s="1" t="s">
        <v>6037</v>
      </c>
      <c r="P199" s="1" t="s">
        <v>1437</v>
      </c>
      <c r="Q199" s="19" t="s">
        <v>5443</v>
      </c>
      <c r="R199" s="1" t="s">
        <v>1438</v>
      </c>
      <c r="S199" s="8">
        <v>46055</v>
      </c>
      <c r="T199" s="1">
        <v>3</v>
      </c>
      <c r="U199" s="1" t="s">
        <v>158</v>
      </c>
      <c r="V199" s="1" t="s">
        <v>158</v>
      </c>
      <c r="W199" s="1" t="s">
        <v>158</v>
      </c>
    </row>
    <row r="200" spans="1:23" x14ac:dyDescent="0.25">
      <c r="A200" s="1" t="s">
        <v>48</v>
      </c>
      <c r="B200" s="1" t="s">
        <v>1035</v>
      </c>
      <c r="C200" s="1" t="s">
        <v>50</v>
      </c>
      <c r="D200" s="1" t="s">
        <v>1112</v>
      </c>
      <c r="E200" s="1" t="s">
        <v>1113</v>
      </c>
      <c r="F200" s="22" t="s">
        <v>6085</v>
      </c>
      <c r="G200" s="1" t="s">
        <v>5</v>
      </c>
      <c r="H200" s="1" t="s">
        <v>22</v>
      </c>
      <c r="I200" s="1" t="s">
        <v>25</v>
      </c>
      <c r="J200" s="1" t="s">
        <v>9</v>
      </c>
      <c r="K200" s="1" t="s">
        <v>15</v>
      </c>
      <c r="L200" s="1" t="s">
        <v>15</v>
      </c>
      <c r="M200" s="1" t="s">
        <v>53</v>
      </c>
      <c r="N200" s="1" t="s">
        <v>1190</v>
      </c>
      <c r="O200" s="1" t="s">
        <v>6235</v>
      </c>
      <c r="P200" s="1" t="s">
        <v>593</v>
      </c>
      <c r="Q200" s="1" t="s">
        <v>5380</v>
      </c>
      <c r="R200" s="1" t="s">
        <v>1439</v>
      </c>
      <c r="S200" s="8">
        <v>45839</v>
      </c>
      <c r="T200" s="1">
        <v>3</v>
      </c>
      <c r="U200" s="1" t="s">
        <v>1440</v>
      </c>
      <c r="V200" s="1" t="s">
        <v>744</v>
      </c>
      <c r="W200" s="1" t="s">
        <v>744</v>
      </c>
    </row>
    <row r="201" spans="1:23" x14ac:dyDescent="0.25">
      <c r="A201" s="1" t="s">
        <v>48</v>
      </c>
      <c r="B201" s="1" t="s">
        <v>1036</v>
      </c>
      <c r="C201" s="1" t="s">
        <v>50</v>
      </c>
      <c r="D201" s="1" t="s">
        <v>1114</v>
      </c>
      <c r="E201" s="1" t="s">
        <v>1115</v>
      </c>
      <c r="F201" s="22" t="s">
        <v>6085</v>
      </c>
      <c r="G201" s="1" t="s">
        <v>6</v>
      </c>
      <c r="H201" s="1" t="s">
        <v>24</v>
      </c>
      <c r="I201" s="1" t="s">
        <v>26</v>
      </c>
      <c r="J201" s="1" t="s">
        <v>9</v>
      </c>
      <c r="K201" s="1" t="s">
        <v>16</v>
      </c>
      <c r="L201" s="1" t="s">
        <v>16</v>
      </c>
      <c r="M201" s="1" t="s">
        <v>53</v>
      </c>
      <c r="N201" s="11" t="s">
        <v>188</v>
      </c>
      <c r="O201" s="1" t="s">
        <v>6037</v>
      </c>
      <c r="P201" s="1" t="s">
        <v>247</v>
      </c>
      <c r="Q201" s="1" t="s">
        <v>5444</v>
      </c>
      <c r="R201" s="1" t="s">
        <v>1441</v>
      </c>
      <c r="S201" s="8">
        <v>45658</v>
      </c>
      <c r="T201" s="1">
        <v>1</v>
      </c>
      <c r="U201" s="1" t="s">
        <v>410</v>
      </c>
      <c r="V201" s="1" t="s">
        <v>1388</v>
      </c>
      <c r="W201" s="1" t="s">
        <v>1388</v>
      </c>
    </row>
    <row r="202" spans="1:23" x14ac:dyDescent="0.25">
      <c r="A202" s="1" t="s">
        <v>48</v>
      </c>
      <c r="B202" s="1" t="s">
        <v>1037</v>
      </c>
      <c r="C202" s="1" t="s">
        <v>50</v>
      </c>
      <c r="D202" s="1" t="s">
        <v>1116</v>
      </c>
      <c r="E202" s="1" t="s">
        <v>1117</v>
      </c>
      <c r="F202" s="22" t="s">
        <v>5259</v>
      </c>
      <c r="G202" s="1" t="s">
        <v>5</v>
      </c>
      <c r="H202" s="1" t="s">
        <v>20</v>
      </c>
      <c r="I202" s="1" t="s">
        <v>26</v>
      </c>
      <c r="J202" s="1" t="s">
        <v>9</v>
      </c>
      <c r="K202" s="1" t="s">
        <v>11</v>
      </c>
      <c r="L202" s="1" t="s">
        <v>11</v>
      </c>
      <c r="M202" s="1" t="s">
        <v>53</v>
      </c>
      <c r="N202" s="14" t="s">
        <v>5226</v>
      </c>
      <c r="O202" s="1" t="s">
        <v>6037</v>
      </c>
      <c r="P202" s="1" t="s">
        <v>247</v>
      </c>
      <c r="Q202" s="1" t="s">
        <v>5445</v>
      </c>
      <c r="R202" s="1" t="s">
        <v>1442</v>
      </c>
      <c r="S202" s="8">
        <v>45748</v>
      </c>
      <c r="T202" s="1">
        <v>3</v>
      </c>
      <c r="U202" s="1" t="s">
        <v>1443</v>
      </c>
      <c r="V202" s="1" t="s">
        <v>1443</v>
      </c>
      <c r="W202" s="1" t="s">
        <v>1443</v>
      </c>
    </row>
    <row r="203" spans="1:23" x14ac:dyDescent="0.25">
      <c r="A203" s="1" t="s">
        <v>48</v>
      </c>
      <c r="B203" s="1" t="s">
        <v>1038</v>
      </c>
      <c r="C203" s="1" t="s">
        <v>50</v>
      </c>
      <c r="D203" s="1" t="s">
        <v>1118</v>
      </c>
      <c r="E203" s="1" t="s">
        <v>1119</v>
      </c>
      <c r="F203" s="22" t="s">
        <v>5259</v>
      </c>
      <c r="G203" s="1" t="s">
        <v>5</v>
      </c>
      <c r="H203" s="1" t="s">
        <v>20</v>
      </c>
      <c r="I203" s="1" t="s">
        <v>26</v>
      </c>
      <c r="J203" s="1" t="s">
        <v>9</v>
      </c>
      <c r="K203" s="1" t="s">
        <v>11</v>
      </c>
      <c r="L203" s="1" t="s">
        <v>11</v>
      </c>
      <c r="M203" s="1" t="s">
        <v>53</v>
      </c>
      <c r="N203" s="14" t="s">
        <v>5226</v>
      </c>
      <c r="O203" s="1" t="s">
        <v>6037</v>
      </c>
      <c r="P203" s="1" t="s">
        <v>1444</v>
      </c>
      <c r="Q203" s="1" t="s">
        <v>5446</v>
      </c>
      <c r="R203" s="1" t="s">
        <v>1445</v>
      </c>
      <c r="S203" s="8">
        <v>45870</v>
      </c>
      <c r="T203" s="1">
        <v>3</v>
      </c>
      <c r="U203" s="1" t="s">
        <v>1446</v>
      </c>
      <c r="V203" s="1" t="s">
        <v>1446</v>
      </c>
      <c r="W203" s="1" t="s">
        <v>1447</v>
      </c>
    </row>
    <row r="204" spans="1:23" x14ac:dyDescent="0.25">
      <c r="A204" s="1" t="s">
        <v>48</v>
      </c>
      <c r="B204" s="1" t="s">
        <v>1039</v>
      </c>
      <c r="C204" s="1" t="s">
        <v>50</v>
      </c>
      <c r="D204" s="1" t="s">
        <v>1120</v>
      </c>
      <c r="E204" s="1" t="s">
        <v>1121</v>
      </c>
      <c r="F204" s="22" t="s">
        <v>3</v>
      </c>
      <c r="G204" s="1" t="s">
        <v>6</v>
      </c>
      <c r="H204" s="1" t="s">
        <v>20</v>
      </c>
      <c r="I204" s="1" t="s">
        <v>25</v>
      </c>
      <c r="J204" s="1" t="s">
        <v>9</v>
      </c>
      <c r="K204" s="1" t="s">
        <v>13</v>
      </c>
      <c r="L204" s="1" t="s">
        <v>13</v>
      </c>
      <c r="M204" s="1" t="s">
        <v>53</v>
      </c>
      <c r="N204" s="1" t="s">
        <v>1190</v>
      </c>
      <c r="O204" s="1" t="s">
        <v>6235</v>
      </c>
      <c r="P204" s="1" t="s">
        <v>247</v>
      </c>
      <c r="Q204" s="1" t="s">
        <v>5447</v>
      </c>
      <c r="R204" s="7" t="s">
        <v>1448</v>
      </c>
      <c r="S204" s="8">
        <v>45714</v>
      </c>
      <c r="T204" s="1">
        <v>2</v>
      </c>
      <c r="U204" s="1" t="s">
        <v>1449</v>
      </c>
      <c r="V204" s="1" t="s">
        <v>1449</v>
      </c>
      <c r="W204" s="1" t="s">
        <v>1388</v>
      </c>
    </row>
    <row r="205" spans="1:23" x14ac:dyDescent="0.25">
      <c r="A205" s="1" t="s">
        <v>48</v>
      </c>
      <c r="B205" s="1" t="s">
        <v>1040</v>
      </c>
      <c r="C205" s="1" t="s">
        <v>50</v>
      </c>
      <c r="D205" s="1" t="s">
        <v>1122</v>
      </c>
      <c r="E205" s="1" t="s">
        <v>1123</v>
      </c>
      <c r="F205" s="22" t="s">
        <v>3</v>
      </c>
      <c r="G205" s="1" t="s">
        <v>6</v>
      </c>
      <c r="H205" s="1" t="s">
        <v>20</v>
      </c>
      <c r="I205" s="1" t="s">
        <v>26</v>
      </c>
      <c r="J205" s="1" t="s">
        <v>9</v>
      </c>
      <c r="K205" s="1" t="s">
        <v>13</v>
      </c>
      <c r="L205" s="1" t="s">
        <v>13</v>
      </c>
      <c r="M205" s="1" t="s">
        <v>53</v>
      </c>
      <c r="N205" s="1" t="s">
        <v>1828</v>
      </c>
      <c r="O205" s="1" t="s">
        <v>6235</v>
      </c>
      <c r="P205" s="1" t="s">
        <v>126</v>
      </c>
      <c r="Q205" s="1" t="s">
        <v>5448</v>
      </c>
      <c r="R205" s="7" t="s">
        <v>1450</v>
      </c>
      <c r="S205" s="8">
        <v>46055</v>
      </c>
      <c r="T205" s="1">
        <v>3</v>
      </c>
      <c r="U205" s="1" t="s">
        <v>1451</v>
      </c>
      <c r="V205" s="1" t="s">
        <v>1451</v>
      </c>
      <c r="W205" s="1" t="s">
        <v>1451</v>
      </c>
    </row>
    <row r="206" spans="1:23" x14ac:dyDescent="0.25">
      <c r="A206" s="1" t="s">
        <v>48</v>
      </c>
      <c r="B206" s="1" t="s">
        <v>1041</v>
      </c>
      <c r="C206" s="1" t="s">
        <v>50</v>
      </c>
      <c r="D206" s="1" t="s">
        <v>1124</v>
      </c>
      <c r="E206" s="1" t="s">
        <v>1125</v>
      </c>
      <c r="F206" s="22" t="s">
        <v>5259</v>
      </c>
      <c r="G206" s="1" t="s">
        <v>1383</v>
      </c>
      <c r="H206" s="1" t="s">
        <v>20</v>
      </c>
      <c r="I206" s="1" t="s">
        <v>25</v>
      </c>
      <c r="J206" s="1" t="s">
        <v>9</v>
      </c>
      <c r="K206" s="1" t="s">
        <v>14</v>
      </c>
      <c r="L206" s="1" t="s">
        <v>14</v>
      </c>
      <c r="M206" s="1" t="s">
        <v>53</v>
      </c>
      <c r="N206" s="1" t="s">
        <v>6237</v>
      </c>
      <c r="O206" s="1" t="s">
        <v>6037</v>
      </c>
      <c r="P206" s="1" t="e">
        <v>#N/A</v>
      </c>
      <c r="Q206" s="1" t="e">
        <v>#N/A</v>
      </c>
      <c r="R206" s="1" t="e">
        <v>#N/A</v>
      </c>
      <c r="S206" s="1" t="e">
        <v>#N/A</v>
      </c>
      <c r="T206" s="1" t="e">
        <v>#N/A</v>
      </c>
      <c r="U206" s="1" t="e">
        <v>#N/A</v>
      </c>
      <c r="V206" s="1" t="e">
        <v>#N/A</v>
      </c>
      <c r="W206" s="1" t="e">
        <v>#N/A</v>
      </c>
    </row>
    <row r="207" spans="1:23" x14ac:dyDescent="0.25">
      <c r="A207" s="1" t="s">
        <v>48</v>
      </c>
      <c r="B207" s="1" t="s">
        <v>1042</v>
      </c>
      <c r="C207" s="1" t="s">
        <v>50</v>
      </c>
      <c r="D207" s="1" t="s">
        <v>1126</v>
      </c>
      <c r="E207" s="1" t="s">
        <v>1127</v>
      </c>
      <c r="F207" s="22" t="s">
        <v>6085</v>
      </c>
      <c r="G207" s="1" t="s">
        <v>7</v>
      </c>
      <c r="H207" s="1" t="s">
        <v>20</v>
      </c>
      <c r="I207" s="1" t="s">
        <v>26</v>
      </c>
      <c r="J207" s="1" t="s">
        <v>9</v>
      </c>
      <c r="K207" s="1" t="s">
        <v>10</v>
      </c>
      <c r="L207" s="1" t="s">
        <v>10</v>
      </c>
      <c r="M207" s="1" t="s">
        <v>53</v>
      </c>
      <c r="N207" s="11" t="s">
        <v>188</v>
      </c>
      <c r="O207" s="1" t="s">
        <v>6037</v>
      </c>
      <c r="P207" s="1" t="s">
        <v>60</v>
      </c>
      <c r="Q207" s="17" t="s">
        <v>4143</v>
      </c>
      <c r="R207" s="1" t="s">
        <v>1452</v>
      </c>
      <c r="S207" s="8">
        <v>46034</v>
      </c>
      <c r="T207" s="1">
        <v>2</v>
      </c>
      <c r="U207" s="1" t="s">
        <v>1453</v>
      </c>
      <c r="V207" s="1" t="s">
        <v>1453</v>
      </c>
      <c r="W207" s="1" t="s">
        <v>1388</v>
      </c>
    </row>
    <row r="208" spans="1:23" x14ac:dyDescent="0.25">
      <c r="A208" s="1" t="s">
        <v>48</v>
      </c>
      <c r="B208" s="1" t="s">
        <v>1043</v>
      </c>
      <c r="C208" s="1" t="s">
        <v>50</v>
      </c>
      <c r="D208" s="1" t="s">
        <v>1128</v>
      </c>
      <c r="E208" s="1" t="s">
        <v>1129</v>
      </c>
      <c r="F208" s="22" t="s">
        <v>3</v>
      </c>
      <c r="G208" s="1" t="s">
        <v>5</v>
      </c>
      <c r="H208" s="1" t="s">
        <v>20</v>
      </c>
      <c r="I208" s="1" t="s">
        <v>25</v>
      </c>
      <c r="J208" s="1" t="s">
        <v>9</v>
      </c>
      <c r="K208" s="1" t="s">
        <v>12</v>
      </c>
      <c r="L208" s="1" t="s">
        <v>12</v>
      </c>
      <c r="M208" s="1" t="s">
        <v>53</v>
      </c>
      <c r="N208" s="11" t="s">
        <v>188</v>
      </c>
      <c r="O208" s="1" t="s">
        <v>6037</v>
      </c>
      <c r="P208" s="1" t="s">
        <v>593</v>
      </c>
      <c r="Q208" s="1" t="s">
        <v>5449</v>
      </c>
      <c r="R208" s="7" t="s">
        <v>1690</v>
      </c>
      <c r="S208" s="8">
        <v>45698</v>
      </c>
      <c r="T208" s="1">
        <v>2</v>
      </c>
      <c r="U208" s="1" t="s">
        <v>1691</v>
      </c>
      <c r="V208" s="1" t="s">
        <v>1691</v>
      </c>
      <c r="W208" s="1" t="s">
        <v>1388</v>
      </c>
    </row>
    <row r="209" spans="1:23" x14ac:dyDescent="0.25">
      <c r="A209" s="1" t="s">
        <v>48</v>
      </c>
      <c r="B209" s="1" t="s">
        <v>1044</v>
      </c>
      <c r="C209" s="1" t="s">
        <v>50</v>
      </c>
      <c r="D209" s="1" t="s">
        <v>1130</v>
      </c>
      <c r="E209" s="1" t="s">
        <v>1131</v>
      </c>
      <c r="F209" s="22" t="s">
        <v>3</v>
      </c>
      <c r="G209" s="1" t="s">
        <v>6</v>
      </c>
      <c r="H209" s="1" t="s">
        <v>20</v>
      </c>
      <c r="I209" s="1" t="s">
        <v>26</v>
      </c>
      <c r="J209" s="1" t="s">
        <v>9</v>
      </c>
      <c r="K209" s="1" t="s">
        <v>12</v>
      </c>
      <c r="L209" s="1" t="s">
        <v>12</v>
      </c>
      <c r="M209" s="1" t="s">
        <v>53</v>
      </c>
      <c r="N209" s="11" t="s">
        <v>188</v>
      </c>
      <c r="O209" s="1" t="s">
        <v>6037</v>
      </c>
      <c r="P209" s="1" t="s">
        <v>247</v>
      </c>
      <c r="Q209" s="1" t="s">
        <v>5450</v>
      </c>
      <c r="R209" s="7" t="s">
        <v>1454</v>
      </c>
      <c r="S209" s="8">
        <v>45763</v>
      </c>
      <c r="T209" s="1">
        <v>2</v>
      </c>
      <c r="U209" s="1" t="s">
        <v>308</v>
      </c>
      <c r="V209" s="1" t="s">
        <v>1455</v>
      </c>
      <c r="W209" s="1" t="s">
        <v>1388</v>
      </c>
    </row>
    <row r="210" spans="1:23" x14ac:dyDescent="0.25">
      <c r="A210" s="1" t="s">
        <v>48</v>
      </c>
      <c r="B210" s="1" t="s">
        <v>1045</v>
      </c>
      <c r="C210" s="1" t="s">
        <v>50</v>
      </c>
      <c r="D210" s="1" t="s">
        <v>1132</v>
      </c>
      <c r="E210" s="1" t="s">
        <v>1133</v>
      </c>
      <c r="F210" s="22" t="s">
        <v>5259</v>
      </c>
      <c r="G210" s="1" t="s">
        <v>6</v>
      </c>
      <c r="H210" s="1" t="s">
        <v>20</v>
      </c>
      <c r="I210" s="1" t="s">
        <v>26</v>
      </c>
      <c r="J210" s="1" t="s">
        <v>9</v>
      </c>
      <c r="K210" s="1" t="s">
        <v>15</v>
      </c>
      <c r="L210" s="1" t="s">
        <v>15</v>
      </c>
      <c r="M210" s="1" t="s">
        <v>53</v>
      </c>
      <c r="N210" s="14" t="s">
        <v>5226</v>
      </c>
      <c r="O210" s="1" t="s">
        <v>6037</v>
      </c>
      <c r="P210" s="1" t="s">
        <v>1456</v>
      </c>
      <c r="Q210" s="1" t="s">
        <v>5451</v>
      </c>
      <c r="R210" s="1" t="s">
        <v>1457</v>
      </c>
      <c r="S210" s="8">
        <v>45859</v>
      </c>
      <c r="T210" s="1">
        <v>1</v>
      </c>
      <c r="U210" s="1" t="s">
        <v>1458</v>
      </c>
      <c r="V210" s="1" t="s">
        <v>1388</v>
      </c>
      <c r="W210" s="1" t="s">
        <v>1388</v>
      </c>
    </row>
    <row r="211" spans="1:23" x14ac:dyDescent="0.25">
      <c r="A211" s="1" t="s">
        <v>48</v>
      </c>
      <c r="B211" s="1" t="s">
        <v>1046</v>
      </c>
      <c r="C211" s="1" t="s">
        <v>50</v>
      </c>
      <c r="D211" s="1" t="s">
        <v>1134</v>
      </c>
      <c r="E211" s="1" t="s">
        <v>1135</v>
      </c>
      <c r="F211" s="22" t="s">
        <v>6085</v>
      </c>
      <c r="G211" s="1" t="s">
        <v>6</v>
      </c>
      <c r="H211" s="1" t="s">
        <v>20</v>
      </c>
      <c r="I211" s="1" t="s">
        <v>26</v>
      </c>
      <c r="J211" s="1" t="s">
        <v>9</v>
      </c>
      <c r="K211" s="1" t="s">
        <v>11</v>
      </c>
      <c r="L211" s="1" t="s">
        <v>11</v>
      </c>
      <c r="M211" s="1" t="s">
        <v>53</v>
      </c>
      <c r="N211" s="11" t="s">
        <v>188</v>
      </c>
      <c r="O211" s="1" t="s">
        <v>6037</v>
      </c>
      <c r="P211" s="1" t="s">
        <v>1459</v>
      </c>
      <c r="Q211" s="1" t="s">
        <v>5452</v>
      </c>
      <c r="R211" s="1" t="s">
        <v>1460</v>
      </c>
      <c r="S211" s="8">
        <v>45689</v>
      </c>
      <c r="T211" s="1">
        <v>1</v>
      </c>
      <c r="U211" s="1" t="s">
        <v>1461</v>
      </c>
      <c r="V211" s="1" t="s">
        <v>1388</v>
      </c>
      <c r="W211" s="1" t="s">
        <v>1388</v>
      </c>
    </row>
    <row r="212" spans="1:23" x14ac:dyDescent="0.25">
      <c r="A212" s="1" t="s">
        <v>48</v>
      </c>
      <c r="B212" s="1" t="s">
        <v>1047</v>
      </c>
      <c r="C212" s="1" t="s">
        <v>50</v>
      </c>
      <c r="D212" s="1" t="s">
        <v>1136</v>
      </c>
      <c r="E212" s="1" t="s">
        <v>1137</v>
      </c>
      <c r="F212" s="22" t="s">
        <v>3</v>
      </c>
      <c r="G212" s="1" t="s">
        <v>6</v>
      </c>
      <c r="H212" s="1" t="s">
        <v>20</v>
      </c>
      <c r="I212" s="1" t="s">
        <v>25</v>
      </c>
      <c r="J212" s="1" t="s">
        <v>9</v>
      </c>
      <c r="K212" s="1" t="s">
        <v>11</v>
      </c>
      <c r="L212" s="1" t="s">
        <v>17</v>
      </c>
      <c r="M212" s="1" t="s">
        <v>53</v>
      </c>
      <c r="N212" s="11" t="s">
        <v>188</v>
      </c>
      <c r="O212" s="1" t="s">
        <v>6037</v>
      </c>
      <c r="P212" s="1" t="s">
        <v>247</v>
      </c>
      <c r="Q212" s="1" t="s">
        <v>5453</v>
      </c>
      <c r="R212" s="7" t="s">
        <v>1462</v>
      </c>
      <c r="S212" s="8">
        <v>45670</v>
      </c>
      <c r="T212" s="1">
        <v>1</v>
      </c>
      <c r="U212" s="1" t="s">
        <v>1463</v>
      </c>
      <c r="V212" s="1" t="s">
        <v>1388</v>
      </c>
      <c r="W212" s="1" t="s">
        <v>1388</v>
      </c>
    </row>
    <row r="213" spans="1:23" x14ac:dyDescent="0.25">
      <c r="A213" s="1" t="s">
        <v>48</v>
      </c>
      <c r="B213" s="1" t="s">
        <v>1048</v>
      </c>
      <c r="C213" s="1" t="s">
        <v>50</v>
      </c>
      <c r="D213" s="1" t="s">
        <v>1138</v>
      </c>
      <c r="E213" s="1" t="s">
        <v>1139</v>
      </c>
      <c r="F213" s="22" t="s">
        <v>3</v>
      </c>
      <c r="G213" s="1" t="s">
        <v>6</v>
      </c>
      <c r="H213" s="1" t="s">
        <v>20</v>
      </c>
      <c r="I213" s="1" t="s">
        <v>25</v>
      </c>
      <c r="J213" s="1" t="s">
        <v>9</v>
      </c>
      <c r="K213" s="1" t="s">
        <v>14</v>
      </c>
      <c r="L213" s="1" t="s">
        <v>17</v>
      </c>
      <c r="M213" s="1" t="s">
        <v>53</v>
      </c>
      <c r="N213" s="1" t="s">
        <v>1190</v>
      </c>
      <c r="O213" s="1" t="s">
        <v>6235</v>
      </c>
      <c r="P213" s="1" t="s">
        <v>267</v>
      </c>
      <c r="Q213" s="1" t="s">
        <v>6</v>
      </c>
      <c r="R213" s="7" t="s">
        <v>1464</v>
      </c>
      <c r="S213" s="8">
        <v>46055</v>
      </c>
      <c r="T213" s="1">
        <v>2</v>
      </c>
      <c r="U213" s="1" t="s">
        <v>1461</v>
      </c>
      <c r="V213" s="1" t="s">
        <v>730</v>
      </c>
      <c r="W213" s="1" t="s">
        <v>1388</v>
      </c>
    </row>
    <row r="214" spans="1:23" x14ac:dyDescent="0.25">
      <c r="A214" s="1" t="s">
        <v>48</v>
      </c>
      <c r="B214" s="1" t="s">
        <v>1049</v>
      </c>
      <c r="C214" s="1" t="s">
        <v>50</v>
      </c>
      <c r="D214" s="1" t="s">
        <v>1140</v>
      </c>
      <c r="E214" s="1" t="s">
        <v>1141</v>
      </c>
      <c r="F214" s="22" t="s">
        <v>5259</v>
      </c>
      <c r="G214" s="1" t="s">
        <v>6</v>
      </c>
      <c r="H214" s="1" t="s">
        <v>20</v>
      </c>
      <c r="I214" s="1" t="s">
        <v>25</v>
      </c>
      <c r="J214" s="1" t="s">
        <v>9</v>
      </c>
      <c r="K214" s="1" t="s">
        <v>11</v>
      </c>
      <c r="L214" s="1" t="s">
        <v>11</v>
      </c>
      <c r="M214" s="1" t="s">
        <v>53</v>
      </c>
      <c r="N214" s="14" t="s">
        <v>1702</v>
      </c>
      <c r="O214" s="1" t="s">
        <v>6037</v>
      </c>
      <c r="P214" s="1" t="s">
        <v>1465</v>
      </c>
      <c r="Q214" s="1" t="s">
        <v>5454</v>
      </c>
      <c r="R214" s="7" t="s">
        <v>822</v>
      </c>
      <c r="S214" s="8">
        <v>45658</v>
      </c>
      <c r="T214" s="1">
        <v>1</v>
      </c>
      <c r="U214" s="1" t="s">
        <v>1466</v>
      </c>
      <c r="V214" s="1" t="s">
        <v>1388</v>
      </c>
      <c r="W214" s="1" t="s">
        <v>1388</v>
      </c>
    </row>
    <row r="215" spans="1:23" x14ac:dyDescent="0.25">
      <c r="A215" s="1" t="s">
        <v>48</v>
      </c>
      <c r="B215" s="1" t="s">
        <v>1199</v>
      </c>
      <c r="C215" s="1" t="s">
        <v>50</v>
      </c>
      <c r="D215" s="1" t="s">
        <v>1271</v>
      </c>
      <c r="E215" s="1" t="s">
        <v>1272</v>
      </c>
      <c r="F215" s="22" t="s">
        <v>6085</v>
      </c>
      <c r="G215" s="1" t="s">
        <v>5</v>
      </c>
      <c r="H215" s="1" t="s">
        <v>20</v>
      </c>
      <c r="I215" s="1" t="s">
        <v>26</v>
      </c>
      <c r="J215" s="1" t="s">
        <v>9</v>
      </c>
      <c r="K215" s="1" t="s">
        <v>18</v>
      </c>
      <c r="L215" s="1" t="s">
        <v>14</v>
      </c>
      <c r="M215" s="1" t="s">
        <v>53</v>
      </c>
      <c r="N215" s="11" t="s">
        <v>188</v>
      </c>
      <c r="O215" s="1" t="s">
        <v>6037</v>
      </c>
      <c r="P215" s="1" t="s">
        <v>593</v>
      </c>
      <c r="Q215" s="1" t="s">
        <v>5455</v>
      </c>
      <c r="R215" s="20" t="s">
        <v>1532</v>
      </c>
      <c r="S215" s="8">
        <v>45839</v>
      </c>
      <c r="T215" s="1">
        <v>3</v>
      </c>
      <c r="U215" s="1" t="s">
        <v>208</v>
      </c>
      <c r="V215" s="1" t="s">
        <v>208</v>
      </c>
      <c r="W215" s="1" t="s">
        <v>208</v>
      </c>
    </row>
    <row r="216" spans="1:23" x14ac:dyDescent="0.25">
      <c r="A216" s="1" t="s">
        <v>48</v>
      </c>
      <c r="B216" s="1" t="s">
        <v>1050</v>
      </c>
      <c r="C216" s="1" t="s">
        <v>50</v>
      </c>
      <c r="D216" s="1" t="s">
        <v>1142</v>
      </c>
      <c r="E216" s="1" t="s">
        <v>1143</v>
      </c>
      <c r="F216" s="22" t="s">
        <v>3</v>
      </c>
      <c r="G216" s="1" t="s">
        <v>6</v>
      </c>
      <c r="H216" s="1" t="s">
        <v>20</v>
      </c>
      <c r="I216" s="1" t="s">
        <v>26</v>
      </c>
      <c r="J216" s="1" t="s">
        <v>9</v>
      </c>
      <c r="K216" s="1" t="s">
        <v>14</v>
      </c>
      <c r="L216" s="1" t="s">
        <v>14</v>
      </c>
      <c r="M216" s="1" t="s">
        <v>53</v>
      </c>
      <c r="N216" s="11" t="s">
        <v>188</v>
      </c>
      <c r="O216" s="1" t="s">
        <v>6037</v>
      </c>
      <c r="P216" s="1" t="s">
        <v>581</v>
      </c>
      <c r="Q216" s="1" t="s">
        <v>5456</v>
      </c>
      <c r="R216" s="7" t="s">
        <v>1467</v>
      </c>
      <c r="S216" s="8">
        <v>46035</v>
      </c>
      <c r="T216" s="1">
        <v>1</v>
      </c>
      <c r="U216" s="1" t="s">
        <v>1468</v>
      </c>
      <c r="V216" s="1" t="s">
        <v>1388</v>
      </c>
      <c r="W216" s="1" t="s">
        <v>1388</v>
      </c>
    </row>
    <row r="217" spans="1:23" x14ac:dyDescent="0.25">
      <c r="A217" s="1" t="s">
        <v>48</v>
      </c>
      <c r="B217" s="1" t="s">
        <v>1051</v>
      </c>
      <c r="C217" s="1" t="s">
        <v>50</v>
      </c>
      <c r="D217" s="1" t="s">
        <v>1144</v>
      </c>
      <c r="E217" s="1" t="s">
        <v>1145</v>
      </c>
      <c r="F217" s="22" t="s">
        <v>3</v>
      </c>
      <c r="G217" s="1" t="s">
        <v>6</v>
      </c>
      <c r="H217" s="1" t="s">
        <v>20</v>
      </c>
      <c r="I217" s="1" t="s">
        <v>26</v>
      </c>
      <c r="J217" s="1" t="s">
        <v>9</v>
      </c>
      <c r="K217" s="1" t="s">
        <v>12</v>
      </c>
      <c r="L217" s="1" t="s">
        <v>12</v>
      </c>
      <c r="M217" s="1" t="s">
        <v>53</v>
      </c>
      <c r="N217" s="11" t="s">
        <v>188</v>
      </c>
      <c r="O217" s="1" t="s">
        <v>6037</v>
      </c>
      <c r="P217" s="1" t="s">
        <v>247</v>
      </c>
      <c r="Q217" s="1" t="s">
        <v>5457</v>
      </c>
      <c r="R217" s="7" t="s">
        <v>1469</v>
      </c>
      <c r="S217" s="8">
        <v>45658</v>
      </c>
      <c r="T217" s="1">
        <v>2</v>
      </c>
      <c r="U217" s="1" t="s">
        <v>1470</v>
      </c>
      <c r="V217" s="1" t="s">
        <v>1470</v>
      </c>
      <c r="W217" s="1" t="s">
        <v>1388</v>
      </c>
    </row>
    <row r="218" spans="1:23" x14ac:dyDescent="0.25">
      <c r="A218" s="1" t="s">
        <v>48</v>
      </c>
      <c r="B218" s="1" t="s">
        <v>1052</v>
      </c>
      <c r="C218" s="1" t="s">
        <v>50</v>
      </c>
      <c r="D218" s="1" t="s">
        <v>1146</v>
      </c>
      <c r="E218" s="1" t="s">
        <v>1147</v>
      </c>
      <c r="F218" s="22" t="s">
        <v>3</v>
      </c>
      <c r="G218" s="1" t="s">
        <v>5</v>
      </c>
      <c r="H218" s="1" t="s">
        <v>22</v>
      </c>
      <c r="I218" s="1" t="s">
        <v>26</v>
      </c>
      <c r="J218" s="1" t="s">
        <v>9</v>
      </c>
      <c r="K218" s="1" t="s">
        <v>11</v>
      </c>
      <c r="L218" s="1" t="s">
        <v>17</v>
      </c>
      <c r="M218" s="1" t="s">
        <v>53</v>
      </c>
      <c r="N218" s="11" t="s">
        <v>188</v>
      </c>
      <c r="O218" s="1" t="s">
        <v>6037</v>
      </c>
      <c r="P218" s="1" t="s">
        <v>66</v>
      </c>
      <c r="Q218" s="1" t="s">
        <v>5458</v>
      </c>
      <c r="R218" s="7" t="s">
        <v>1471</v>
      </c>
      <c r="S218" s="8">
        <v>45688</v>
      </c>
      <c r="T218" s="1">
        <v>2</v>
      </c>
      <c r="U218" s="1" t="s">
        <v>984</v>
      </c>
      <c r="V218" s="1" t="s">
        <v>201</v>
      </c>
      <c r="W218" s="1" t="s">
        <v>1388</v>
      </c>
    </row>
    <row r="219" spans="1:23" x14ac:dyDescent="0.25">
      <c r="A219" s="1" t="s">
        <v>48</v>
      </c>
      <c r="B219" s="1" t="s">
        <v>1053</v>
      </c>
      <c r="C219" s="1" t="s">
        <v>50</v>
      </c>
      <c r="D219" s="1" t="s">
        <v>1148</v>
      </c>
      <c r="E219" s="1" t="s">
        <v>1149</v>
      </c>
      <c r="F219" s="22" t="s">
        <v>3</v>
      </c>
      <c r="G219" s="1" t="s">
        <v>6</v>
      </c>
      <c r="H219" s="1" t="s">
        <v>20</v>
      </c>
      <c r="I219" s="1" t="s">
        <v>26</v>
      </c>
      <c r="J219" s="1" t="s">
        <v>9</v>
      </c>
      <c r="K219" s="1" t="s">
        <v>11</v>
      </c>
      <c r="L219" s="1" t="s">
        <v>11</v>
      </c>
      <c r="M219" s="1" t="s">
        <v>53</v>
      </c>
      <c r="N219" s="1" t="s">
        <v>174</v>
      </c>
      <c r="O219" s="1" t="s">
        <v>6235</v>
      </c>
      <c r="P219" s="1" t="s">
        <v>247</v>
      </c>
      <c r="Q219" s="1" t="s">
        <v>5459</v>
      </c>
      <c r="R219" s="7" t="s">
        <v>1472</v>
      </c>
      <c r="S219" s="8">
        <v>45701</v>
      </c>
      <c r="T219" s="1">
        <v>1</v>
      </c>
      <c r="U219" s="1" t="s">
        <v>1473</v>
      </c>
      <c r="V219" s="1" t="s">
        <v>1388</v>
      </c>
      <c r="W219" s="1" t="s">
        <v>1388</v>
      </c>
    </row>
    <row r="220" spans="1:23" x14ac:dyDescent="0.25">
      <c r="A220" s="1" t="s">
        <v>48</v>
      </c>
      <c r="B220" s="1" t="s">
        <v>1054</v>
      </c>
      <c r="C220" s="1" t="s">
        <v>50</v>
      </c>
      <c r="D220" s="1" t="s">
        <v>1150</v>
      </c>
      <c r="E220" s="1" t="s">
        <v>1151</v>
      </c>
      <c r="F220" s="22" t="s">
        <v>6085</v>
      </c>
      <c r="G220" s="1" t="s">
        <v>6</v>
      </c>
      <c r="H220" s="1" t="s">
        <v>20</v>
      </c>
      <c r="I220" s="1" t="s">
        <v>26</v>
      </c>
      <c r="J220" s="1" t="s">
        <v>9</v>
      </c>
      <c r="K220" s="1" t="s">
        <v>16</v>
      </c>
      <c r="L220" s="1" t="s">
        <v>16</v>
      </c>
      <c r="M220" s="1" t="s">
        <v>53</v>
      </c>
      <c r="N220" s="11" t="s">
        <v>188</v>
      </c>
      <c r="O220" s="1" t="s">
        <v>6037</v>
      </c>
      <c r="P220" s="1" t="s">
        <v>656</v>
      </c>
      <c r="Q220" s="1" t="s">
        <v>5460</v>
      </c>
      <c r="R220" s="1" t="s">
        <v>1474</v>
      </c>
      <c r="S220" s="8">
        <v>46023</v>
      </c>
      <c r="T220" s="1">
        <v>2</v>
      </c>
      <c r="U220" s="1" t="s">
        <v>1475</v>
      </c>
      <c r="V220" s="1" t="s">
        <v>1475</v>
      </c>
      <c r="W220" s="1" t="s">
        <v>1388</v>
      </c>
    </row>
    <row r="221" spans="1:23" x14ac:dyDescent="0.25">
      <c r="A221" s="1" t="s">
        <v>48</v>
      </c>
      <c r="B221" s="1" t="s">
        <v>1216</v>
      </c>
      <c r="C221" s="1" t="s">
        <v>50</v>
      </c>
      <c r="D221" s="1" t="s">
        <v>1305</v>
      </c>
      <c r="E221" s="1" t="s">
        <v>1306</v>
      </c>
      <c r="F221" s="22" t="s">
        <v>6085</v>
      </c>
      <c r="G221" s="1" t="s">
        <v>6</v>
      </c>
      <c r="H221" s="1" t="s">
        <v>20</v>
      </c>
      <c r="I221" s="1" t="s">
        <v>25</v>
      </c>
      <c r="J221" s="1" t="s">
        <v>9</v>
      </c>
      <c r="K221" s="1" t="s">
        <v>19</v>
      </c>
      <c r="L221" s="1" t="s">
        <v>19</v>
      </c>
      <c r="M221" s="1" t="s">
        <v>53</v>
      </c>
      <c r="N221" s="11" t="s">
        <v>188</v>
      </c>
      <c r="O221" s="1" t="s">
        <v>6235</v>
      </c>
      <c r="P221" s="1" t="s">
        <v>656</v>
      </c>
      <c r="Q221" s="1" t="s">
        <v>5461</v>
      </c>
      <c r="R221" s="1" t="s">
        <v>1577</v>
      </c>
      <c r="S221" s="8">
        <v>45691</v>
      </c>
      <c r="T221" s="1">
        <v>2</v>
      </c>
      <c r="U221" s="1" t="s">
        <v>614</v>
      </c>
      <c r="V221" s="1" t="s">
        <v>110</v>
      </c>
      <c r="W221" s="1" t="s">
        <v>1388</v>
      </c>
    </row>
    <row r="222" spans="1:23" x14ac:dyDescent="0.25">
      <c r="A222" s="1" t="s">
        <v>48</v>
      </c>
      <c r="B222" s="1" t="s">
        <v>1055</v>
      </c>
      <c r="C222" s="1" t="s">
        <v>50</v>
      </c>
      <c r="D222" s="1" t="s">
        <v>1152</v>
      </c>
      <c r="E222" s="1" t="s">
        <v>1153</v>
      </c>
      <c r="F222" s="22" t="s">
        <v>6085</v>
      </c>
      <c r="G222" s="1" t="s">
        <v>6</v>
      </c>
      <c r="H222" s="1" t="s">
        <v>20</v>
      </c>
      <c r="I222" s="1" t="s">
        <v>25</v>
      </c>
      <c r="J222" s="1" t="s">
        <v>9</v>
      </c>
      <c r="K222" s="1" t="s">
        <v>14</v>
      </c>
      <c r="L222" s="1" t="s">
        <v>14</v>
      </c>
      <c r="M222" s="1" t="s">
        <v>53</v>
      </c>
      <c r="N222" s="1" t="s">
        <v>1012</v>
      </c>
      <c r="O222" s="1" t="s">
        <v>6235</v>
      </c>
      <c r="P222" s="1" t="s">
        <v>1476</v>
      </c>
      <c r="Q222" s="1" t="s">
        <v>5462</v>
      </c>
      <c r="R222" s="1" t="s">
        <v>1477</v>
      </c>
      <c r="S222" s="8">
        <v>46035</v>
      </c>
      <c r="T222" s="1">
        <v>2</v>
      </c>
      <c r="U222" s="1" t="s">
        <v>1478</v>
      </c>
      <c r="V222" s="1" t="s">
        <v>201</v>
      </c>
      <c r="W222" s="1" t="s">
        <v>1388</v>
      </c>
    </row>
    <row r="223" spans="1:23" x14ac:dyDescent="0.25">
      <c r="A223" s="1" t="s">
        <v>48</v>
      </c>
      <c r="B223" s="1" t="s">
        <v>1056</v>
      </c>
      <c r="C223" s="1" t="s">
        <v>50</v>
      </c>
      <c r="D223" s="1" t="s">
        <v>1154</v>
      </c>
      <c r="E223" s="1" t="s">
        <v>1155</v>
      </c>
      <c r="F223" s="22" t="s">
        <v>5259</v>
      </c>
      <c r="G223" s="1" t="s">
        <v>5</v>
      </c>
      <c r="H223" s="1" t="s">
        <v>22</v>
      </c>
      <c r="I223" s="1" t="s">
        <v>25</v>
      </c>
      <c r="J223" s="1" t="s">
        <v>9</v>
      </c>
      <c r="K223" s="1" t="s">
        <v>14</v>
      </c>
      <c r="L223" s="1" t="s">
        <v>14</v>
      </c>
      <c r="M223" s="1" t="s">
        <v>53</v>
      </c>
      <c r="N223" s="14" t="s">
        <v>5226</v>
      </c>
      <c r="O223" s="1" t="s">
        <v>6037</v>
      </c>
      <c r="P223" s="1" t="s">
        <v>247</v>
      </c>
      <c r="Q223" s="1" t="s">
        <v>5380</v>
      </c>
      <c r="R223" s="1" t="s">
        <v>1479</v>
      </c>
      <c r="S223" s="8">
        <v>45323</v>
      </c>
      <c r="T223" s="1">
        <v>1</v>
      </c>
      <c r="U223" s="1" t="s">
        <v>1419</v>
      </c>
      <c r="V223" s="1" t="s">
        <v>1388</v>
      </c>
      <c r="W223" s="1" t="s">
        <v>1388</v>
      </c>
    </row>
    <row r="224" spans="1:23" x14ac:dyDescent="0.25">
      <c r="A224" s="1" t="s">
        <v>48</v>
      </c>
      <c r="B224" s="1" t="s">
        <v>1057</v>
      </c>
      <c r="C224" s="1" t="s">
        <v>50</v>
      </c>
      <c r="D224" s="1" t="s">
        <v>1156</v>
      </c>
      <c r="E224" s="1" t="s">
        <v>1157</v>
      </c>
      <c r="F224" s="22" t="s">
        <v>3</v>
      </c>
      <c r="G224" s="1" t="s">
        <v>6</v>
      </c>
      <c r="H224" s="1" t="s">
        <v>20</v>
      </c>
      <c r="I224" s="1" t="s">
        <v>25</v>
      </c>
      <c r="J224" s="1" t="s">
        <v>9</v>
      </c>
      <c r="K224" s="1" t="s">
        <v>11</v>
      </c>
      <c r="L224" s="1" t="s">
        <v>11</v>
      </c>
      <c r="M224" s="1" t="s">
        <v>53</v>
      </c>
      <c r="N224" s="1" t="s">
        <v>1190</v>
      </c>
      <c r="O224" s="1" t="s">
        <v>6235</v>
      </c>
      <c r="P224" s="1" t="s">
        <v>1456</v>
      </c>
      <c r="Q224" s="1" t="s">
        <v>5463</v>
      </c>
      <c r="R224" s="7" t="s">
        <v>1480</v>
      </c>
      <c r="S224" s="8">
        <v>46034</v>
      </c>
      <c r="T224" s="1">
        <v>1</v>
      </c>
      <c r="U224" s="1" t="s">
        <v>1481</v>
      </c>
      <c r="V224" s="1" t="s">
        <v>1388</v>
      </c>
      <c r="W224" s="1" t="s">
        <v>1388</v>
      </c>
    </row>
    <row r="225" spans="1:23" x14ac:dyDescent="0.25">
      <c r="A225" s="1" t="s">
        <v>48</v>
      </c>
      <c r="B225" s="1" t="s">
        <v>1058</v>
      </c>
      <c r="C225" s="1" t="s">
        <v>50</v>
      </c>
      <c r="D225" s="1" t="s">
        <v>1158</v>
      </c>
      <c r="E225" s="1" t="s">
        <v>1159</v>
      </c>
      <c r="F225" s="22" t="s">
        <v>3</v>
      </c>
      <c r="G225" s="1" t="s">
        <v>6</v>
      </c>
      <c r="H225" s="1" t="s">
        <v>20</v>
      </c>
      <c r="I225" s="1" t="s">
        <v>25</v>
      </c>
      <c r="J225" s="1" t="s">
        <v>9</v>
      </c>
      <c r="K225" s="1" t="s">
        <v>15</v>
      </c>
      <c r="L225" s="1" t="s">
        <v>15</v>
      </c>
      <c r="M225" s="1" t="s">
        <v>53</v>
      </c>
      <c r="N225" s="14" t="s">
        <v>1702</v>
      </c>
      <c r="O225" s="1" t="s">
        <v>6235</v>
      </c>
      <c r="P225" s="1" t="s">
        <v>1482</v>
      </c>
      <c r="Q225" s="1" t="s">
        <v>5464</v>
      </c>
      <c r="R225" s="7" t="s">
        <v>1483</v>
      </c>
      <c r="S225" s="8">
        <v>46028</v>
      </c>
      <c r="T225" s="1">
        <v>1</v>
      </c>
      <c r="U225" s="1" t="s">
        <v>1484</v>
      </c>
      <c r="V225" s="1" t="s">
        <v>1388</v>
      </c>
      <c r="W225" s="1" t="s">
        <v>1388</v>
      </c>
    </row>
    <row r="226" spans="1:23" x14ac:dyDescent="0.25">
      <c r="A226" s="1" t="s">
        <v>48</v>
      </c>
      <c r="B226" s="1" t="s">
        <v>1059</v>
      </c>
      <c r="C226" s="1" t="s">
        <v>50</v>
      </c>
      <c r="D226" s="1" t="s">
        <v>1160</v>
      </c>
      <c r="E226" s="1" t="s">
        <v>1161</v>
      </c>
      <c r="F226" s="22" t="s">
        <v>6085</v>
      </c>
      <c r="G226" s="1" t="s">
        <v>5</v>
      </c>
      <c r="H226" s="1" t="s">
        <v>22</v>
      </c>
      <c r="I226" s="1" t="s">
        <v>26</v>
      </c>
      <c r="J226" s="1" t="s">
        <v>9</v>
      </c>
      <c r="K226" s="1" t="s">
        <v>12</v>
      </c>
      <c r="L226" s="1" t="s">
        <v>12</v>
      </c>
      <c r="M226" s="1" t="s">
        <v>53</v>
      </c>
      <c r="N226" s="11" t="s">
        <v>188</v>
      </c>
      <c r="O226" s="1" t="s">
        <v>6037</v>
      </c>
      <c r="P226" s="1" t="s">
        <v>60</v>
      </c>
      <c r="Q226" s="1" t="s">
        <v>5465</v>
      </c>
      <c r="R226" s="1" t="s">
        <v>1485</v>
      </c>
      <c r="S226" s="8">
        <v>45689</v>
      </c>
      <c r="T226" s="1">
        <v>2</v>
      </c>
      <c r="U226" s="1" t="s">
        <v>1486</v>
      </c>
      <c r="V226" s="1" t="s">
        <v>1486</v>
      </c>
      <c r="W226" s="1" t="s">
        <v>1388</v>
      </c>
    </row>
    <row r="227" spans="1:23" x14ac:dyDescent="0.25">
      <c r="A227" s="1" t="s">
        <v>48</v>
      </c>
      <c r="B227" s="1" t="s">
        <v>1060</v>
      </c>
      <c r="C227" s="1" t="s">
        <v>50</v>
      </c>
      <c r="D227" s="1" t="s">
        <v>1162</v>
      </c>
      <c r="E227" s="1" t="s">
        <v>1163</v>
      </c>
      <c r="F227" s="22" t="s">
        <v>3</v>
      </c>
      <c r="G227" s="1" t="s">
        <v>6</v>
      </c>
      <c r="H227" s="1" t="s">
        <v>20</v>
      </c>
      <c r="I227" s="1" t="s">
        <v>25</v>
      </c>
      <c r="J227" s="1" t="s">
        <v>9</v>
      </c>
      <c r="K227" s="1" t="s">
        <v>11</v>
      </c>
      <c r="L227" s="1" t="s">
        <v>11</v>
      </c>
      <c r="M227" s="1" t="s">
        <v>53</v>
      </c>
      <c r="N227" s="1" t="s">
        <v>1014</v>
      </c>
      <c r="O227" s="1" t="s">
        <v>6037</v>
      </c>
      <c r="P227" s="1" t="s">
        <v>1487</v>
      </c>
      <c r="Q227" s="1" t="s">
        <v>5466</v>
      </c>
      <c r="R227" s="7" t="s">
        <v>1488</v>
      </c>
      <c r="S227" s="8">
        <v>44936</v>
      </c>
      <c r="T227" s="1">
        <v>2</v>
      </c>
      <c r="U227" s="1" t="s">
        <v>859</v>
      </c>
      <c r="V227" s="1" t="s">
        <v>1489</v>
      </c>
      <c r="W227" s="1" t="s">
        <v>1388</v>
      </c>
    </row>
    <row r="228" spans="1:23" x14ac:dyDescent="0.25">
      <c r="A228" s="1" t="s">
        <v>48</v>
      </c>
      <c r="B228" s="1" t="s">
        <v>1061</v>
      </c>
      <c r="C228" s="1" t="s">
        <v>50</v>
      </c>
      <c r="D228" s="1" t="s">
        <v>1164</v>
      </c>
      <c r="E228" s="1" t="s">
        <v>1165</v>
      </c>
      <c r="F228" s="22" t="s">
        <v>6085</v>
      </c>
      <c r="G228" s="1" t="s">
        <v>6</v>
      </c>
      <c r="H228" s="1" t="s">
        <v>21</v>
      </c>
      <c r="I228" s="1" t="s">
        <v>25</v>
      </c>
      <c r="J228" s="1" t="s">
        <v>9</v>
      </c>
      <c r="K228" s="1" t="s">
        <v>14</v>
      </c>
      <c r="L228" s="1" t="s">
        <v>14</v>
      </c>
      <c r="M228" s="1" t="s">
        <v>53</v>
      </c>
      <c r="N228" s="11" t="s">
        <v>188</v>
      </c>
      <c r="O228" s="1" t="s">
        <v>6037</v>
      </c>
      <c r="P228" s="1" t="s">
        <v>656</v>
      </c>
      <c r="Q228" s="1" t="s">
        <v>5306</v>
      </c>
      <c r="R228" s="1" t="s">
        <v>1490</v>
      </c>
      <c r="S228" s="8">
        <v>45838</v>
      </c>
      <c r="T228" s="1">
        <v>2</v>
      </c>
      <c r="U228" s="1" t="s">
        <v>1491</v>
      </c>
      <c r="V228" s="1" t="s">
        <v>1492</v>
      </c>
      <c r="W228" s="1" t="s">
        <v>1388</v>
      </c>
    </row>
    <row r="229" spans="1:23" x14ac:dyDescent="0.25">
      <c r="A229" s="1" t="s">
        <v>48</v>
      </c>
      <c r="B229" s="1" t="s">
        <v>1062</v>
      </c>
      <c r="C229" s="1" t="s">
        <v>50</v>
      </c>
      <c r="D229" s="1" t="s">
        <v>1166</v>
      </c>
      <c r="E229" s="1" t="s">
        <v>1167</v>
      </c>
      <c r="F229" s="22" t="s">
        <v>5259</v>
      </c>
      <c r="G229" s="1" t="s">
        <v>6</v>
      </c>
      <c r="H229" s="1" t="s">
        <v>20</v>
      </c>
      <c r="I229" s="1" t="s">
        <v>26</v>
      </c>
      <c r="J229" s="1" t="s">
        <v>9</v>
      </c>
      <c r="K229" s="1" t="s">
        <v>11</v>
      </c>
      <c r="L229" s="1" t="s">
        <v>11</v>
      </c>
      <c r="M229" s="1" t="s">
        <v>53</v>
      </c>
      <c r="N229" s="14" t="s">
        <v>1702</v>
      </c>
      <c r="O229" s="1" t="s">
        <v>6037</v>
      </c>
      <c r="P229" s="1" t="s">
        <v>126</v>
      </c>
      <c r="Q229" s="1" t="s">
        <v>5467</v>
      </c>
      <c r="R229" s="7" t="s">
        <v>1493</v>
      </c>
      <c r="S229" s="8">
        <v>46024</v>
      </c>
      <c r="T229" s="1">
        <v>2</v>
      </c>
      <c r="U229" s="1" t="s">
        <v>1494</v>
      </c>
      <c r="V229" s="1" t="s">
        <v>1494</v>
      </c>
      <c r="W229" s="1" t="s">
        <v>1388</v>
      </c>
    </row>
    <row r="230" spans="1:23" x14ac:dyDescent="0.25">
      <c r="A230" s="1" t="s">
        <v>48</v>
      </c>
      <c r="B230" s="1" t="s">
        <v>1211</v>
      </c>
      <c r="C230" s="1" t="s">
        <v>50</v>
      </c>
      <c r="D230" s="1" t="s">
        <v>1295</v>
      </c>
      <c r="E230" s="1" t="s">
        <v>1296</v>
      </c>
      <c r="F230" s="22" t="s">
        <v>6085</v>
      </c>
      <c r="G230" s="1" t="s">
        <v>5</v>
      </c>
      <c r="H230" s="1" t="s">
        <v>20</v>
      </c>
      <c r="I230" s="1" t="s">
        <v>26</v>
      </c>
      <c r="J230" s="1" t="s">
        <v>9</v>
      </c>
      <c r="K230" s="1" t="s">
        <v>13</v>
      </c>
      <c r="L230" s="1" t="s">
        <v>13</v>
      </c>
      <c r="M230" s="1" t="s">
        <v>53</v>
      </c>
      <c r="N230" s="1" t="s">
        <v>6033</v>
      </c>
      <c r="O230" s="1" t="s">
        <v>6235</v>
      </c>
      <c r="P230" s="1" t="s">
        <v>656</v>
      </c>
      <c r="Q230" s="1" t="s">
        <v>5468</v>
      </c>
      <c r="R230" s="1" t="s">
        <v>1567</v>
      </c>
      <c r="S230" s="8">
        <v>45383</v>
      </c>
      <c r="T230" s="1">
        <v>1</v>
      </c>
      <c r="U230" s="1" t="s">
        <v>280</v>
      </c>
      <c r="V230" s="1" t="s">
        <v>1388</v>
      </c>
      <c r="W230" s="1" t="s">
        <v>1388</v>
      </c>
    </row>
    <row r="231" spans="1:23" x14ac:dyDescent="0.25">
      <c r="A231" s="1" t="s">
        <v>48</v>
      </c>
      <c r="B231" s="1" t="s">
        <v>1063</v>
      </c>
      <c r="C231" s="1" t="s">
        <v>50</v>
      </c>
      <c r="D231" s="1" t="s">
        <v>1168</v>
      </c>
      <c r="E231" s="1" t="s">
        <v>1169</v>
      </c>
      <c r="F231" s="22" t="s">
        <v>3</v>
      </c>
      <c r="G231" s="1" t="s">
        <v>7</v>
      </c>
      <c r="H231" s="1" t="s">
        <v>20</v>
      </c>
      <c r="I231" s="1" t="s">
        <v>25</v>
      </c>
      <c r="J231" s="1" t="s">
        <v>9</v>
      </c>
      <c r="K231" s="1" t="s">
        <v>11</v>
      </c>
      <c r="L231" s="1" t="s">
        <v>11</v>
      </c>
      <c r="M231" s="1" t="s">
        <v>53</v>
      </c>
      <c r="N231" s="14" t="s">
        <v>5226</v>
      </c>
      <c r="O231" s="1" t="s">
        <v>6037</v>
      </c>
      <c r="P231" s="1" t="s">
        <v>1495</v>
      </c>
      <c r="Q231" s="1" t="s">
        <v>5469</v>
      </c>
      <c r="R231" s="1" t="s">
        <v>1692</v>
      </c>
      <c r="S231" s="8">
        <v>46069</v>
      </c>
      <c r="T231" s="1">
        <v>1</v>
      </c>
      <c r="U231" s="1" t="s">
        <v>1693</v>
      </c>
      <c r="V231" s="1" t="s">
        <v>1388</v>
      </c>
      <c r="W231" s="1" t="s">
        <v>1388</v>
      </c>
    </row>
    <row r="232" spans="1:23" x14ac:dyDescent="0.25">
      <c r="A232" s="1" t="s">
        <v>48</v>
      </c>
      <c r="B232" s="1" t="s">
        <v>1064</v>
      </c>
      <c r="C232" s="1" t="s">
        <v>50</v>
      </c>
      <c r="D232" s="1" t="s">
        <v>1170</v>
      </c>
      <c r="E232" s="1" t="s">
        <v>1171</v>
      </c>
      <c r="F232" s="22" t="s">
        <v>3</v>
      </c>
      <c r="G232" s="1" t="s">
        <v>6</v>
      </c>
      <c r="H232" s="1" t="s">
        <v>24</v>
      </c>
      <c r="I232" s="1" t="s">
        <v>25</v>
      </c>
      <c r="J232" s="1" t="s">
        <v>9</v>
      </c>
      <c r="K232" s="1" t="s">
        <v>13</v>
      </c>
      <c r="L232" s="1" t="s">
        <v>13</v>
      </c>
      <c r="M232" s="1" t="s">
        <v>53</v>
      </c>
      <c r="N232" s="11" t="s">
        <v>188</v>
      </c>
      <c r="O232" s="1" t="s">
        <v>6037</v>
      </c>
      <c r="P232" s="1" t="s">
        <v>1496</v>
      </c>
      <c r="Q232" s="1" t="s">
        <v>5470</v>
      </c>
      <c r="R232" s="7" t="s">
        <v>1497</v>
      </c>
      <c r="S232" s="8">
        <v>46067</v>
      </c>
      <c r="T232" s="1">
        <v>2</v>
      </c>
      <c r="U232" s="1" t="s">
        <v>1498</v>
      </c>
      <c r="V232" s="1" t="s">
        <v>411</v>
      </c>
      <c r="W232" s="1" t="s">
        <v>1388</v>
      </c>
    </row>
    <row r="233" spans="1:23" x14ac:dyDescent="0.25">
      <c r="A233" s="1" t="s">
        <v>48</v>
      </c>
      <c r="B233" s="1" t="s">
        <v>1065</v>
      </c>
      <c r="C233" s="1" t="s">
        <v>50</v>
      </c>
      <c r="D233" s="1" t="s">
        <v>1172</v>
      </c>
      <c r="E233" s="1" t="s">
        <v>1173</v>
      </c>
      <c r="F233" s="22" t="s">
        <v>3</v>
      </c>
      <c r="G233" s="1" t="s">
        <v>5</v>
      </c>
      <c r="H233" s="1" t="s">
        <v>20</v>
      </c>
      <c r="I233" s="1" t="s">
        <v>26</v>
      </c>
      <c r="J233" s="1" t="s">
        <v>9</v>
      </c>
      <c r="K233" s="1" t="s">
        <v>10</v>
      </c>
      <c r="L233" s="1" t="s">
        <v>10</v>
      </c>
      <c r="M233" s="1" t="s">
        <v>53</v>
      </c>
      <c r="N233" s="7" t="s">
        <v>6041</v>
      </c>
      <c r="O233" s="2" t="s">
        <v>6235</v>
      </c>
      <c r="P233" s="1" t="s">
        <v>924</v>
      </c>
      <c r="Q233" s="17" t="s">
        <v>5471</v>
      </c>
      <c r="R233" s="1" t="s">
        <v>1499</v>
      </c>
      <c r="S233" s="8">
        <v>46054</v>
      </c>
      <c r="T233" s="1">
        <v>3</v>
      </c>
      <c r="U233" s="1" t="s">
        <v>236</v>
      </c>
      <c r="V233" s="1" t="s">
        <v>236</v>
      </c>
      <c r="W233" s="1" t="s">
        <v>236</v>
      </c>
    </row>
    <row r="234" spans="1:23" x14ac:dyDescent="0.25">
      <c r="A234" s="1" t="s">
        <v>48</v>
      </c>
      <c r="B234" s="1" t="s">
        <v>1066</v>
      </c>
      <c r="C234" s="1" t="s">
        <v>50</v>
      </c>
      <c r="D234" s="1" t="s">
        <v>1174</v>
      </c>
      <c r="E234" s="1" t="s">
        <v>1175</v>
      </c>
      <c r="F234" s="22" t="s">
        <v>3</v>
      </c>
      <c r="G234" s="1" t="s">
        <v>5</v>
      </c>
      <c r="H234" s="1" t="s">
        <v>20</v>
      </c>
      <c r="I234" s="1" t="s">
        <v>25</v>
      </c>
      <c r="J234" s="1" t="s">
        <v>9</v>
      </c>
      <c r="K234" s="1" t="s">
        <v>11</v>
      </c>
      <c r="L234" s="1" t="s">
        <v>11</v>
      </c>
      <c r="M234" s="1" t="s">
        <v>53</v>
      </c>
      <c r="N234" s="11" t="s">
        <v>188</v>
      </c>
      <c r="O234" s="1" t="s">
        <v>6235</v>
      </c>
      <c r="P234" s="1" t="s">
        <v>1500</v>
      </c>
      <c r="Q234" s="1" t="s">
        <v>5472</v>
      </c>
      <c r="R234" s="7" t="s">
        <v>1501</v>
      </c>
      <c r="S234" s="8">
        <v>46037</v>
      </c>
      <c r="T234" s="1">
        <v>3</v>
      </c>
      <c r="U234" s="1" t="s">
        <v>128</v>
      </c>
      <c r="V234" s="1" t="s">
        <v>128</v>
      </c>
      <c r="W234" s="1" t="s">
        <v>128</v>
      </c>
    </row>
    <row r="235" spans="1:23" x14ac:dyDescent="0.25">
      <c r="A235" s="1" t="s">
        <v>48</v>
      </c>
      <c r="B235" s="1" t="s">
        <v>1067</v>
      </c>
      <c r="C235" s="1" t="s">
        <v>50</v>
      </c>
      <c r="D235" s="1" t="s">
        <v>1176</v>
      </c>
      <c r="E235" s="1" t="s">
        <v>1177</v>
      </c>
      <c r="F235" s="22" t="s">
        <v>6085</v>
      </c>
      <c r="G235" s="1" t="s">
        <v>6</v>
      </c>
      <c r="H235" s="1" t="s">
        <v>24</v>
      </c>
      <c r="I235" s="1" t="s">
        <v>26</v>
      </c>
      <c r="J235" s="1" t="s">
        <v>9</v>
      </c>
      <c r="K235" s="1" t="s">
        <v>16</v>
      </c>
      <c r="L235" s="1" t="s">
        <v>16</v>
      </c>
      <c r="M235" s="1" t="s">
        <v>53</v>
      </c>
      <c r="N235" s="11" t="s">
        <v>188</v>
      </c>
      <c r="O235" s="1" t="s">
        <v>6037</v>
      </c>
      <c r="P235" s="1" t="s">
        <v>60</v>
      </c>
      <c r="Q235" s="1" t="s">
        <v>5473</v>
      </c>
      <c r="R235" s="1" t="s">
        <v>1502</v>
      </c>
      <c r="S235" s="8">
        <v>46062</v>
      </c>
      <c r="T235" s="1">
        <v>2</v>
      </c>
      <c r="U235" s="1" t="s">
        <v>1503</v>
      </c>
      <c r="V235" s="1" t="s">
        <v>1503</v>
      </c>
      <c r="W235" s="1" t="s">
        <v>1388</v>
      </c>
    </row>
    <row r="236" spans="1:23" x14ac:dyDescent="0.25">
      <c r="A236" s="2" t="s">
        <v>48</v>
      </c>
      <c r="B236" s="2" t="s">
        <v>1209</v>
      </c>
      <c r="C236" s="2" t="s">
        <v>50</v>
      </c>
      <c r="D236" s="2" t="s">
        <v>1291</v>
      </c>
      <c r="E236" s="2" t="s">
        <v>1292</v>
      </c>
      <c r="F236" s="22" t="s">
        <v>3</v>
      </c>
      <c r="G236" s="1" t="s">
        <v>5</v>
      </c>
      <c r="H236" s="1" t="s">
        <v>20</v>
      </c>
      <c r="I236" s="1" t="s">
        <v>26</v>
      </c>
      <c r="J236" s="1" t="s">
        <v>9</v>
      </c>
      <c r="K236" s="1" t="s">
        <v>11</v>
      </c>
      <c r="L236" s="1" t="s">
        <v>11</v>
      </c>
      <c r="M236" s="2" t="s">
        <v>53</v>
      </c>
      <c r="N236" s="1" t="s">
        <v>1015</v>
      </c>
      <c r="O236" s="1" t="s">
        <v>6235</v>
      </c>
      <c r="P236" s="2" t="s">
        <v>66</v>
      </c>
      <c r="Q236" s="2" t="s">
        <v>5474</v>
      </c>
      <c r="R236" s="7" t="s">
        <v>1561</v>
      </c>
      <c r="S236" s="9">
        <v>46054</v>
      </c>
      <c r="T236" s="2">
        <v>3</v>
      </c>
      <c r="U236" s="2" t="s">
        <v>1562</v>
      </c>
      <c r="V236" s="2" t="s">
        <v>1563</v>
      </c>
      <c r="W236" s="2" t="s">
        <v>1564</v>
      </c>
    </row>
    <row r="237" spans="1:23" x14ac:dyDescent="0.25">
      <c r="A237" s="1" t="s">
        <v>48</v>
      </c>
      <c r="B237" s="1" t="s">
        <v>1068</v>
      </c>
      <c r="C237" s="1" t="s">
        <v>50</v>
      </c>
      <c r="D237" s="1" t="s">
        <v>1178</v>
      </c>
      <c r="E237" s="1" t="s">
        <v>1179</v>
      </c>
      <c r="F237" s="22" t="s">
        <v>6085</v>
      </c>
      <c r="G237" s="1" t="s">
        <v>6</v>
      </c>
      <c r="H237" s="1" t="s">
        <v>21</v>
      </c>
      <c r="I237" s="1" t="s">
        <v>25</v>
      </c>
      <c r="J237" s="1" t="s">
        <v>9</v>
      </c>
      <c r="K237" s="1" t="s">
        <v>14</v>
      </c>
      <c r="L237" s="1" t="s">
        <v>14</v>
      </c>
      <c r="M237" s="1" t="s">
        <v>53</v>
      </c>
      <c r="N237" s="11" t="s">
        <v>188</v>
      </c>
      <c r="O237" s="1" t="s">
        <v>6037</v>
      </c>
      <c r="P237" s="1" t="s">
        <v>593</v>
      </c>
      <c r="Q237" s="1" t="s">
        <v>5475</v>
      </c>
      <c r="R237" s="1" t="s">
        <v>1504</v>
      </c>
      <c r="S237" s="8">
        <v>45488</v>
      </c>
      <c r="T237" s="1">
        <v>1</v>
      </c>
      <c r="U237" s="1" t="s">
        <v>1505</v>
      </c>
      <c r="V237" s="1" t="s">
        <v>1388</v>
      </c>
      <c r="W237" s="1" t="s">
        <v>1388</v>
      </c>
    </row>
    <row r="238" spans="1:23" x14ac:dyDescent="0.25">
      <c r="A238" s="1" t="s">
        <v>48</v>
      </c>
      <c r="B238" s="1" t="s">
        <v>1069</v>
      </c>
      <c r="C238" s="1" t="s">
        <v>50</v>
      </c>
      <c r="D238" s="1" t="s">
        <v>1180</v>
      </c>
      <c r="E238" s="1" t="s">
        <v>1181</v>
      </c>
      <c r="F238" s="22" t="s">
        <v>6085</v>
      </c>
      <c r="G238" s="1" t="s">
        <v>6</v>
      </c>
      <c r="H238" s="1" t="s">
        <v>24</v>
      </c>
      <c r="I238" s="1" t="s">
        <v>25</v>
      </c>
      <c r="J238" s="1" t="s">
        <v>9</v>
      </c>
      <c r="K238" s="1" t="s">
        <v>13</v>
      </c>
      <c r="L238" s="1" t="s">
        <v>13</v>
      </c>
      <c r="M238" s="1" t="s">
        <v>53</v>
      </c>
      <c r="N238" s="11" t="s">
        <v>188</v>
      </c>
      <c r="O238" s="1" t="s">
        <v>6037</v>
      </c>
      <c r="P238" s="1" t="s">
        <v>1506</v>
      </c>
      <c r="Q238" s="1" t="s">
        <v>5476</v>
      </c>
      <c r="R238" s="1" t="s">
        <v>1507</v>
      </c>
      <c r="S238" s="8">
        <v>46055</v>
      </c>
      <c r="T238" s="1">
        <v>2</v>
      </c>
      <c r="U238" s="1" t="s">
        <v>1508</v>
      </c>
      <c r="V238" s="1" t="s">
        <v>1509</v>
      </c>
      <c r="W238" s="1" t="s">
        <v>1388</v>
      </c>
    </row>
    <row r="239" spans="1:23" x14ac:dyDescent="0.25">
      <c r="A239" s="1" t="s">
        <v>48</v>
      </c>
      <c r="B239" s="1" t="s">
        <v>1213</v>
      </c>
      <c r="C239" s="1" t="s">
        <v>50</v>
      </c>
      <c r="D239" s="1" t="s">
        <v>1299</v>
      </c>
      <c r="E239" s="1" t="s">
        <v>1300</v>
      </c>
      <c r="F239" s="22" t="s">
        <v>6085</v>
      </c>
      <c r="G239" s="1" t="s">
        <v>5</v>
      </c>
      <c r="H239" s="1" t="s">
        <v>20</v>
      </c>
      <c r="I239" s="1" t="s">
        <v>26</v>
      </c>
      <c r="J239" s="1" t="s">
        <v>9</v>
      </c>
      <c r="K239" s="1" t="s">
        <v>13</v>
      </c>
      <c r="L239" s="1" t="s">
        <v>16</v>
      </c>
      <c r="M239" s="1" t="s">
        <v>53</v>
      </c>
      <c r="N239" s="11" t="s">
        <v>188</v>
      </c>
      <c r="O239" s="1" t="s">
        <v>6037</v>
      </c>
      <c r="P239" s="1" t="s">
        <v>247</v>
      </c>
      <c r="Q239" s="1" t="s">
        <v>5477</v>
      </c>
      <c r="R239" s="1" t="s">
        <v>1570</v>
      </c>
      <c r="S239" s="8">
        <v>44818</v>
      </c>
      <c r="T239" s="1">
        <v>1</v>
      </c>
      <c r="U239" s="1" t="s">
        <v>1571</v>
      </c>
      <c r="V239" s="1" t="s">
        <v>1388</v>
      </c>
      <c r="W239" s="1" t="s">
        <v>1388</v>
      </c>
    </row>
    <row r="240" spans="1:23" x14ac:dyDescent="0.25">
      <c r="A240" s="2" t="s">
        <v>48</v>
      </c>
      <c r="B240" s="2" t="s">
        <v>1070</v>
      </c>
      <c r="C240" s="2" t="s">
        <v>50</v>
      </c>
      <c r="D240" s="2" t="s">
        <v>1182</v>
      </c>
      <c r="E240" s="2" t="s">
        <v>1183</v>
      </c>
      <c r="F240" s="22" t="s">
        <v>6085</v>
      </c>
      <c r="G240" s="1" t="s">
        <v>6</v>
      </c>
      <c r="H240" s="1" t="s">
        <v>20</v>
      </c>
      <c r="I240" s="1" t="s">
        <v>25</v>
      </c>
      <c r="J240" s="1" t="s">
        <v>9</v>
      </c>
      <c r="K240" s="1" t="s">
        <v>11</v>
      </c>
      <c r="L240" s="1" t="s">
        <v>11</v>
      </c>
      <c r="M240" s="2" t="s">
        <v>53</v>
      </c>
      <c r="N240" s="11" t="s">
        <v>188</v>
      </c>
      <c r="O240" s="1" t="s">
        <v>6235</v>
      </c>
      <c r="P240" s="2" t="s">
        <v>66</v>
      </c>
      <c r="Q240" s="2" t="s">
        <v>6036</v>
      </c>
      <c r="R240" s="1" t="s">
        <v>1510</v>
      </c>
      <c r="S240" s="9">
        <v>45899</v>
      </c>
      <c r="T240" s="2">
        <v>2</v>
      </c>
      <c r="U240" s="2" t="s">
        <v>128</v>
      </c>
      <c r="V240" s="2" t="s">
        <v>730</v>
      </c>
      <c r="W240" s="2" t="s">
        <v>1388</v>
      </c>
    </row>
    <row r="241" spans="1:23" x14ac:dyDescent="0.25">
      <c r="A241" s="1" t="s">
        <v>48</v>
      </c>
      <c r="B241" s="1" t="s">
        <v>1071</v>
      </c>
      <c r="C241" s="1" t="s">
        <v>50</v>
      </c>
      <c r="D241" s="1" t="s">
        <v>1184</v>
      </c>
      <c r="E241" s="1" t="s">
        <v>1185</v>
      </c>
      <c r="F241" s="22" t="s">
        <v>5259</v>
      </c>
      <c r="G241" s="1" t="s">
        <v>6</v>
      </c>
      <c r="H241" s="1" t="s">
        <v>20</v>
      </c>
      <c r="I241" s="1" t="s">
        <v>25</v>
      </c>
      <c r="J241" s="1" t="s">
        <v>9</v>
      </c>
      <c r="K241" s="1" t="s">
        <v>11</v>
      </c>
      <c r="L241" s="1" t="s">
        <v>11</v>
      </c>
      <c r="M241" s="1" t="s">
        <v>53</v>
      </c>
      <c r="N241" s="1" t="s">
        <v>6027</v>
      </c>
      <c r="O241" s="1" t="s">
        <v>6037</v>
      </c>
      <c r="P241" s="1" t="s">
        <v>162</v>
      </c>
      <c r="Q241" s="1" t="s">
        <v>5478</v>
      </c>
      <c r="R241" s="1" t="s">
        <v>1511</v>
      </c>
      <c r="S241" s="8">
        <v>45699</v>
      </c>
      <c r="T241" s="1">
        <v>2</v>
      </c>
      <c r="U241" s="1" t="s">
        <v>730</v>
      </c>
      <c r="V241" s="1" t="s">
        <v>730</v>
      </c>
      <c r="W241" s="1" t="s">
        <v>1388</v>
      </c>
    </row>
    <row r="242" spans="1:23" x14ac:dyDescent="0.25">
      <c r="A242" s="1" t="s">
        <v>48</v>
      </c>
      <c r="B242" s="1" t="s">
        <v>1072</v>
      </c>
      <c r="C242" s="1" t="s">
        <v>50</v>
      </c>
      <c r="D242" s="1" t="s">
        <v>1186</v>
      </c>
      <c r="E242" s="1" t="s">
        <v>1187</v>
      </c>
      <c r="F242" s="22" t="s">
        <v>5259</v>
      </c>
      <c r="G242" s="1" t="s">
        <v>6</v>
      </c>
      <c r="H242" s="1" t="s">
        <v>20</v>
      </c>
      <c r="I242" s="1" t="s">
        <v>25</v>
      </c>
      <c r="J242" s="1" t="s">
        <v>9</v>
      </c>
      <c r="K242" s="1" t="s">
        <v>16</v>
      </c>
      <c r="L242" s="1" t="s">
        <v>16</v>
      </c>
      <c r="M242" s="1" t="s">
        <v>53</v>
      </c>
      <c r="N242" s="14" t="s">
        <v>5226</v>
      </c>
      <c r="O242" s="1" t="s">
        <v>6037</v>
      </c>
      <c r="P242" s="1" t="s">
        <v>247</v>
      </c>
      <c r="Q242" s="1" t="s">
        <v>6</v>
      </c>
      <c r="R242" s="1" t="s">
        <v>1512</v>
      </c>
      <c r="S242" s="8">
        <v>45870</v>
      </c>
      <c r="T242" s="1">
        <v>1</v>
      </c>
      <c r="U242" s="1" t="s">
        <v>1513</v>
      </c>
      <c r="V242" s="1" t="s">
        <v>1388</v>
      </c>
      <c r="W242" s="1" t="s">
        <v>1388</v>
      </c>
    </row>
    <row r="243" spans="1:23" x14ac:dyDescent="0.25">
      <c r="A243" s="1" t="s">
        <v>48</v>
      </c>
      <c r="B243" s="1" t="s">
        <v>1073</v>
      </c>
      <c r="C243" s="1" t="s">
        <v>50</v>
      </c>
      <c r="D243" s="1" t="s">
        <v>1188</v>
      </c>
      <c r="E243" s="1" t="s">
        <v>1189</v>
      </c>
      <c r="F243" s="22" t="s">
        <v>3</v>
      </c>
      <c r="G243" s="1" t="s">
        <v>6</v>
      </c>
      <c r="H243" s="1" t="s">
        <v>20</v>
      </c>
      <c r="I243" s="1" t="s">
        <v>25</v>
      </c>
      <c r="J243" s="1" t="s">
        <v>9</v>
      </c>
      <c r="K243" s="1" t="s">
        <v>13</v>
      </c>
      <c r="L243" s="1" t="s">
        <v>13</v>
      </c>
      <c r="M243" s="1" t="s">
        <v>53</v>
      </c>
      <c r="N243" s="1" t="s">
        <v>1664</v>
      </c>
      <c r="O243" s="1" t="s">
        <v>6235</v>
      </c>
      <c r="P243" s="1" t="s">
        <v>1514</v>
      </c>
      <c r="Q243" s="1" t="s">
        <v>5479</v>
      </c>
      <c r="R243" s="1" t="s">
        <v>1515</v>
      </c>
      <c r="S243" s="8">
        <v>45872</v>
      </c>
      <c r="T243" s="1">
        <v>2</v>
      </c>
      <c r="U243" s="1" t="s">
        <v>201</v>
      </c>
      <c r="V243" s="1" t="s">
        <v>201</v>
      </c>
      <c r="W243" s="1" t="s">
        <v>1388</v>
      </c>
    </row>
    <row r="244" spans="1:23" x14ac:dyDescent="0.25">
      <c r="A244" s="1" t="s">
        <v>48</v>
      </c>
      <c r="B244" s="1" t="s">
        <v>1207</v>
      </c>
      <c r="C244" s="1" t="s">
        <v>50</v>
      </c>
      <c r="D244" s="1" t="s">
        <v>1287</v>
      </c>
      <c r="E244" s="1" t="s">
        <v>1288</v>
      </c>
      <c r="F244" s="22" t="s">
        <v>3</v>
      </c>
      <c r="G244" s="1" t="s">
        <v>5</v>
      </c>
      <c r="H244" s="1" t="s">
        <v>20</v>
      </c>
      <c r="I244" s="1" t="s">
        <v>25</v>
      </c>
      <c r="J244" s="1" t="s">
        <v>8</v>
      </c>
      <c r="K244" s="1" t="s">
        <v>12</v>
      </c>
      <c r="L244" s="1" t="s">
        <v>12</v>
      </c>
      <c r="M244" s="1" t="s">
        <v>53</v>
      </c>
      <c r="N244" s="11" t="s">
        <v>188</v>
      </c>
      <c r="O244" s="1" t="s">
        <v>6037</v>
      </c>
      <c r="P244" s="1" t="s">
        <v>1417</v>
      </c>
      <c r="Q244" s="1" t="s">
        <v>5480</v>
      </c>
      <c r="R244" s="7" t="s">
        <v>1554</v>
      </c>
      <c r="S244" s="8">
        <v>46204</v>
      </c>
      <c r="T244" s="1">
        <v>3</v>
      </c>
      <c r="U244" s="1" t="s">
        <v>1555</v>
      </c>
      <c r="V244" s="1" t="s">
        <v>1556</v>
      </c>
      <c r="W244" s="1" t="s">
        <v>1557</v>
      </c>
    </row>
    <row r="245" spans="1:23" x14ac:dyDescent="0.25">
      <c r="A245" s="1" t="s">
        <v>48</v>
      </c>
      <c r="B245" s="1" t="s">
        <v>1222</v>
      </c>
      <c r="C245" s="1" t="s">
        <v>50</v>
      </c>
      <c r="D245" s="1" t="s">
        <v>1317</v>
      </c>
      <c r="E245" s="1" t="s">
        <v>1318</v>
      </c>
      <c r="F245" s="22" t="s">
        <v>6085</v>
      </c>
      <c r="G245" s="1" t="s">
        <v>6</v>
      </c>
      <c r="H245" s="1" t="s">
        <v>21</v>
      </c>
      <c r="I245" s="1" t="s">
        <v>25</v>
      </c>
      <c r="J245" s="1" t="s">
        <v>9</v>
      </c>
      <c r="K245" s="1" t="s">
        <v>18</v>
      </c>
      <c r="L245" s="1" t="s">
        <v>14</v>
      </c>
      <c r="M245" s="1" t="s">
        <v>53</v>
      </c>
      <c r="N245" s="11" t="s">
        <v>188</v>
      </c>
      <c r="O245" s="1" t="s">
        <v>6037</v>
      </c>
      <c r="P245" s="1" t="s">
        <v>66</v>
      </c>
      <c r="Q245" s="1" t="s">
        <v>5481</v>
      </c>
      <c r="R245" s="18" t="s">
        <v>1589</v>
      </c>
      <c r="S245" s="8">
        <v>46023</v>
      </c>
      <c r="T245" s="1">
        <v>2</v>
      </c>
      <c r="U245" s="1" t="s">
        <v>201</v>
      </c>
      <c r="V245" s="1" t="s">
        <v>201</v>
      </c>
      <c r="W245" s="1" t="s">
        <v>1388</v>
      </c>
    </row>
    <row r="246" spans="1:23" x14ac:dyDescent="0.25">
      <c r="A246" s="1" t="s">
        <v>48</v>
      </c>
      <c r="B246" s="1" t="s">
        <v>1200</v>
      </c>
      <c r="C246" s="1" t="s">
        <v>50</v>
      </c>
      <c r="D246" s="1" t="s">
        <v>1273</v>
      </c>
      <c r="E246" s="1" t="s">
        <v>1274</v>
      </c>
      <c r="F246" s="22" t="s">
        <v>3</v>
      </c>
      <c r="G246" s="1" t="s">
        <v>6</v>
      </c>
      <c r="H246" s="1" t="s">
        <v>21</v>
      </c>
      <c r="I246" s="1" t="s">
        <v>25</v>
      </c>
      <c r="J246" s="1" t="s">
        <v>9</v>
      </c>
      <c r="K246" s="1" t="s">
        <v>13</v>
      </c>
      <c r="L246" s="1" t="s">
        <v>13</v>
      </c>
      <c r="M246" s="1" t="s">
        <v>53</v>
      </c>
      <c r="N246" s="11" t="s">
        <v>188</v>
      </c>
      <c r="O246" s="1" t="s">
        <v>6037</v>
      </c>
      <c r="P246" s="1" t="s">
        <v>247</v>
      </c>
      <c r="Q246" s="1" t="s">
        <v>5482</v>
      </c>
      <c r="R246" s="7" t="s">
        <v>1533</v>
      </c>
      <c r="S246" s="8">
        <v>45658</v>
      </c>
      <c r="T246" s="1">
        <v>2</v>
      </c>
      <c r="U246" s="1" t="s">
        <v>1534</v>
      </c>
      <c r="V246" s="1" t="s">
        <v>1535</v>
      </c>
      <c r="W246" s="1" t="s">
        <v>1388</v>
      </c>
    </row>
    <row r="247" spans="1:23" x14ac:dyDescent="0.25">
      <c r="A247" s="1" t="s">
        <v>48</v>
      </c>
      <c r="B247" s="1" t="s">
        <v>1201</v>
      </c>
      <c r="C247" s="1" t="s">
        <v>50</v>
      </c>
      <c r="D247" s="1" t="s">
        <v>1275</v>
      </c>
      <c r="E247" s="1" t="s">
        <v>1276</v>
      </c>
      <c r="F247" s="22" t="s">
        <v>3</v>
      </c>
      <c r="G247" s="1" t="s">
        <v>6</v>
      </c>
      <c r="H247" s="1" t="s">
        <v>20</v>
      </c>
      <c r="I247" s="1" t="s">
        <v>25</v>
      </c>
      <c r="J247" s="1" t="s">
        <v>9</v>
      </c>
      <c r="K247" s="1" t="s">
        <v>13</v>
      </c>
      <c r="L247" s="1" t="s">
        <v>13</v>
      </c>
      <c r="M247" s="1" t="s">
        <v>53</v>
      </c>
      <c r="N247" s="11" t="s">
        <v>188</v>
      </c>
      <c r="O247" s="1" t="s">
        <v>6037</v>
      </c>
      <c r="P247" s="1" t="s">
        <v>66</v>
      </c>
      <c r="Q247" s="1" t="s">
        <v>5483</v>
      </c>
      <c r="R247" s="7" t="s">
        <v>1536</v>
      </c>
      <c r="S247" s="8">
        <v>46062</v>
      </c>
      <c r="T247" s="1">
        <v>2</v>
      </c>
      <c r="U247" s="1" t="s">
        <v>1537</v>
      </c>
      <c r="V247" s="1" t="s">
        <v>1538</v>
      </c>
      <c r="W247" s="1" t="s">
        <v>1388</v>
      </c>
    </row>
    <row r="248" spans="1:23" x14ac:dyDescent="0.25">
      <c r="A248" s="1" t="s">
        <v>48</v>
      </c>
      <c r="B248" s="1" t="s">
        <v>1191</v>
      </c>
      <c r="C248" s="1" t="s">
        <v>50</v>
      </c>
      <c r="D248" s="1" t="s">
        <v>1255</v>
      </c>
      <c r="E248" s="1" t="s">
        <v>1256</v>
      </c>
      <c r="F248" s="22" t="s">
        <v>6085</v>
      </c>
      <c r="G248" s="1" t="s">
        <v>5</v>
      </c>
      <c r="H248" s="1" t="s">
        <v>24</v>
      </c>
      <c r="I248" s="1" t="s">
        <v>26</v>
      </c>
      <c r="J248" s="1" t="s">
        <v>9</v>
      </c>
      <c r="K248" s="1" t="s">
        <v>14</v>
      </c>
      <c r="L248" s="1" t="s">
        <v>14</v>
      </c>
      <c r="M248" s="1" t="s">
        <v>53</v>
      </c>
      <c r="N248" s="11" t="s">
        <v>188</v>
      </c>
      <c r="O248" s="1" t="s">
        <v>6037</v>
      </c>
      <c r="P248" s="1" t="s">
        <v>1456</v>
      </c>
      <c r="Q248" s="1" t="s">
        <v>5484</v>
      </c>
      <c r="R248" s="1" t="s">
        <v>1516</v>
      </c>
      <c r="S248" s="8">
        <v>46023</v>
      </c>
      <c r="T248" s="1">
        <v>2</v>
      </c>
      <c r="U248" s="1" t="s">
        <v>1517</v>
      </c>
      <c r="V248" s="1" t="s">
        <v>1518</v>
      </c>
      <c r="W248" s="1" t="s">
        <v>1388</v>
      </c>
    </row>
    <row r="249" spans="1:23" x14ac:dyDescent="0.25">
      <c r="A249" s="1" t="s">
        <v>48</v>
      </c>
      <c r="B249" s="1" t="s">
        <v>1208</v>
      </c>
      <c r="C249" s="1" t="s">
        <v>50</v>
      </c>
      <c r="D249" s="1" t="s">
        <v>1289</v>
      </c>
      <c r="E249" s="1" t="s">
        <v>1290</v>
      </c>
      <c r="F249" s="22" t="s">
        <v>6085</v>
      </c>
      <c r="G249" s="1" t="s">
        <v>7</v>
      </c>
      <c r="H249" s="1" t="s">
        <v>20</v>
      </c>
      <c r="I249" s="1" t="s">
        <v>26</v>
      </c>
      <c r="J249" s="1" t="s">
        <v>9</v>
      </c>
      <c r="K249" s="1" t="s">
        <v>19</v>
      </c>
      <c r="L249" s="1" t="s">
        <v>19</v>
      </c>
      <c r="M249" s="1" t="s">
        <v>53</v>
      </c>
      <c r="N249" s="11" t="s">
        <v>188</v>
      </c>
      <c r="O249" s="1" t="s">
        <v>6235</v>
      </c>
      <c r="P249" s="1" t="s">
        <v>1558</v>
      </c>
      <c r="Q249" s="1" t="s">
        <v>5485</v>
      </c>
      <c r="R249" s="1" t="s">
        <v>1559</v>
      </c>
      <c r="S249" s="8">
        <v>46082</v>
      </c>
      <c r="T249" s="1">
        <v>1</v>
      </c>
      <c r="U249" s="1" t="s">
        <v>1560</v>
      </c>
      <c r="V249" s="1" t="s">
        <v>1388</v>
      </c>
      <c r="W249" s="1" t="s">
        <v>1388</v>
      </c>
    </row>
    <row r="250" spans="1:23" x14ac:dyDescent="0.25">
      <c r="A250" s="1" t="s">
        <v>48</v>
      </c>
      <c r="B250" s="1" t="s">
        <v>1221</v>
      </c>
      <c r="C250" s="1" t="s">
        <v>50</v>
      </c>
      <c r="D250" s="1" t="s">
        <v>1315</v>
      </c>
      <c r="E250" s="1" t="s">
        <v>1316</v>
      </c>
      <c r="F250" s="22" t="s">
        <v>6085</v>
      </c>
      <c r="G250" s="1" t="s">
        <v>5</v>
      </c>
      <c r="H250" s="1" t="s">
        <v>20</v>
      </c>
      <c r="I250" s="1" t="s">
        <v>26</v>
      </c>
      <c r="J250" s="1" t="s">
        <v>9</v>
      </c>
      <c r="K250" s="1" t="s">
        <v>16</v>
      </c>
      <c r="L250" s="1" t="s">
        <v>16</v>
      </c>
      <c r="M250" s="1" t="s">
        <v>53</v>
      </c>
      <c r="N250" s="11" t="s">
        <v>6034</v>
      </c>
      <c r="O250" s="1" t="s">
        <v>6037</v>
      </c>
      <c r="P250" s="1" t="s">
        <v>1456</v>
      </c>
      <c r="Q250" s="1" t="s">
        <v>5486</v>
      </c>
      <c r="R250" s="1" t="s">
        <v>1698</v>
      </c>
      <c r="S250" s="8">
        <v>46055</v>
      </c>
      <c r="T250" s="1">
        <v>3</v>
      </c>
      <c r="U250" s="1" t="s">
        <v>1407</v>
      </c>
      <c r="V250" s="1" t="s">
        <v>1587</v>
      </c>
      <c r="W250" s="1" t="s">
        <v>1588</v>
      </c>
    </row>
    <row r="251" spans="1:23" x14ac:dyDescent="0.25">
      <c r="A251" s="1" t="s">
        <v>48</v>
      </c>
      <c r="B251" s="1" t="s">
        <v>1217</v>
      </c>
      <c r="C251" s="1" t="s">
        <v>50</v>
      </c>
      <c r="D251" s="1" t="s">
        <v>1307</v>
      </c>
      <c r="E251" s="1" t="s">
        <v>1308</v>
      </c>
      <c r="F251" s="22" t="s">
        <v>5259</v>
      </c>
      <c r="G251" s="1" t="s">
        <v>6</v>
      </c>
      <c r="H251" s="1" t="s">
        <v>20</v>
      </c>
      <c r="I251" s="1" t="s">
        <v>26</v>
      </c>
      <c r="J251" s="1" t="s">
        <v>8</v>
      </c>
      <c r="K251" s="1" t="s">
        <v>16</v>
      </c>
      <c r="L251" s="1" t="s">
        <v>16</v>
      </c>
      <c r="M251" s="1" t="s">
        <v>53</v>
      </c>
      <c r="N251" s="14" t="s">
        <v>1664</v>
      </c>
      <c r="O251" s="1" t="s">
        <v>6037</v>
      </c>
      <c r="P251" s="1" t="s">
        <v>1578</v>
      </c>
      <c r="Q251" s="1" t="s">
        <v>5487</v>
      </c>
      <c r="R251" s="1" t="s">
        <v>1579</v>
      </c>
      <c r="S251" s="9">
        <v>45895</v>
      </c>
      <c r="T251" s="1">
        <v>2</v>
      </c>
      <c r="U251" s="1" t="s">
        <v>1580</v>
      </c>
      <c r="V251" s="1" t="s">
        <v>1580</v>
      </c>
      <c r="W251" s="1" t="s">
        <v>1388</v>
      </c>
    </row>
    <row r="252" spans="1:23" x14ac:dyDescent="0.25">
      <c r="A252" s="1" t="s">
        <v>48</v>
      </c>
      <c r="B252" s="1" t="s">
        <v>1215</v>
      </c>
      <c r="C252" s="1" t="s">
        <v>50</v>
      </c>
      <c r="D252" s="1" t="s">
        <v>1303</v>
      </c>
      <c r="E252" s="1" t="s">
        <v>1304</v>
      </c>
      <c r="F252" s="22" t="s">
        <v>6085</v>
      </c>
      <c r="G252" s="1" t="s">
        <v>5</v>
      </c>
      <c r="H252" s="1" t="s">
        <v>24</v>
      </c>
      <c r="I252" s="1" t="s">
        <v>26</v>
      </c>
      <c r="J252" s="1" t="s">
        <v>9</v>
      </c>
      <c r="K252" s="1" t="s">
        <v>18</v>
      </c>
      <c r="L252" s="1" t="s">
        <v>18</v>
      </c>
      <c r="M252" s="1" t="s">
        <v>53</v>
      </c>
      <c r="N252" s="11" t="s">
        <v>188</v>
      </c>
      <c r="O252" s="1" t="s">
        <v>6037</v>
      </c>
      <c r="P252" s="1" t="s">
        <v>1575</v>
      </c>
      <c r="Q252" s="1" t="s">
        <v>5488</v>
      </c>
      <c r="R252" s="18" t="s">
        <v>1576</v>
      </c>
      <c r="S252" s="8">
        <v>46023</v>
      </c>
      <c r="T252" s="1">
        <v>1</v>
      </c>
      <c r="U252" s="1" t="s">
        <v>201</v>
      </c>
      <c r="V252" s="1" t="s">
        <v>1388</v>
      </c>
      <c r="W252" s="1" t="s">
        <v>1388</v>
      </c>
    </row>
    <row r="253" spans="1:23" x14ac:dyDescent="0.25">
      <c r="A253" s="1" t="s">
        <v>48</v>
      </c>
      <c r="B253" s="1" t="s">
        <v>1197</v>
      </c>
      <c r="C253" s="1" t="s">
        <v>50</v>
      </c>
      <c r="D253" s="1" t="s">
        <v>1267</v>
      </c>
      <c r="E253" s="1" t="s">
        <v>1268</v>
      </c>
      <c r="F253" s="22" t="s">
        <v>5259</v>
      </c>
      <c r="G253" s="1" t="s">
        <v>6</v>
      </c>
      <c r="H253" s="1" t="s">
        <v>20</v>
      </c>
      <c r="I253" s="1" t="s">
        <v>25</v>
      </c>
      <c r="J253" s="1" t="s">
        <v>9</v>
      </c>
      <c r="K253" s="1" t="s">
        <v>14</v>
      </c>
      <c r="L253" s="1" t="s">
        <v>14</v>
      </c>
      <c r="M253" s="1" t="s">
        <v>53</v>
      </c>
      <c r="N253" s="14" t="s">
        <v>5226</v>
      </c>
      <c r="O253" s="1" t="s">
        <v>6037</v>
      </c>
      <c r="P253" s="1" t="s">
        <v>924</v>
      </c>
      <c r="Q253" s="1" t="s">
        <v>5489</v>
      </c>
      <c r="R253" s="1" t="s">
        <v>1527</v>
      </c>
      <c r="S253" s="8">
        <v>45688</v>
      </c>
      <c r="T253" s="1">
        <v>2</v>
      </c>
      <c r="U253" s="1" t="s">
        <v>1528</v>
      </c>
      <c r="V253" s="1" t="s">
        <v>1529</v>
      </c>
      <c r="W253" s="1" t="s">
        <v>1388</v>
      </c>
    </row>
    <row r="254" spans="1:23" x14ac:dyDescent="0.25">
      <c r="A254" s="1" t="s">
        <v>48</v>
      </c>
      <c r="B254" s="1" t="s">
        <v>1212</v>
      </c>
      <c r="C254" s="1" t="s">
        <v>50</v>
      </c>
      <c r="D254" s="1" t="s">
        <v>1297</v>
      </c>
      <c r="E254" s="1" t="s">
        <v>1298</v>
      </c>
      <c r="F254" s="22" t="s">
        <v>5259</v>
      </c>
      <c r="G254" s="1" t="s">
        <v>6</v>
      </c>
      <c r="H254" s="1" t="s">
        <v>20</v>
      </c>
      <c r="I254" s="1" t="s">
        <v>25</v>
      </c>
      <c r="J254" s="1" t="s">
        <v>9</v>
      </c>
      <c r="K254" s="1" t="s">
        <v>14</v>
      </c>
      <c r="L254" s="1" t="s">
        <v>14</v>
      </c>
      <c r="M254" s="1" t="s">
        <v>53</v>
      </c>
      <c r="N254" s="14" t="s">
        <v>5226</v>
      </c>
      <c r="O254" s="1" t="s">
        <v>6037</v>
      </c>
      <c r="P254" s="1" t="s">
        <v>1568</v>
      </c>
      <c r="Q254" s="1">
        <v>1</v>
      </c>
      <c r="R254" s="1" t="s">
        <v>1569</v>
      </c>
      <c r="S254" s="8">
        <v>46063</v>
      </c>
      <c r="T254" s="1">
        <v>1</v>
      </c>
      <c r="U254" s="1" t="s">
        <v>1443</v>
      </c>
      <c r="V254" s="1" t="s">
        <v>1388</v>
      </c>
      <c r="W254" s="1" t="s">
        <v>1388</v>
      </c>
    </row>
    <row r="255" spans="1:23" x14ac:dyDescent="0.25">
      <c r="A255" s="1" t="s">
        <v>48</v>
      </c>
      <c r="B255" s="1" t="s">
        <v>1204</v>
      </c>
      <c r="C255" s="1" t="s">
        <v>50</v>
      </c>
      <c r="D255" s="1" t="s">
        <v>1281</v>
      </c>
      <c r="E255" s="1" t="s">
        <v>1282</v>
      </c>
      <c r="F255" s="22" t="s">
        <v>6085</v>
      </c>
      <c r="G255" s="1" t="s">
        <v>5</v>
      </c>
      <c r="H255" s="1" t="s">
        <v>20</v>
      </c>
      <c r="I255" s="1" t="s">
        <v>26</v>
      </c>
      <c r="J255" s="1" t="s">
        <v>9</v>
      </c>
      <c r="K255" s="1" t="s">
        <v>10</v>
      </c>
      <c r="L255" s="1" t="s">
        <v>16</v>
      </c>
      <c r="M255" s="1" t="s">
        <v>53</v>
      </c>
      <c r="N255" s="11" t="s">
        <v>188</v>
      </c>
      <c r="O255" s="1" t="s">
        <v>6037</v>
      </c>
      <c r="P255" s="1" t="s">
        <v>1519</v>
      </c>
      <c r="Q255" s="20" t="s">
        <v>5490</v>
      </c>
      <c r="R255" s="1" t="s">
        <v>1544</v>
      </c>
      <c r="S255" s="8">
        <v>46037</v>
      </c>
      <c r="T255" s="1">
        <v>2</v>
      </c>
      <c r="U255" s="1" t="s">
        <v>1545</v>
      </c>
      <c r="V255" s="1" t="s">
        <v>1546</v>
      </c>
      <c r="W255" s="1" t="s">
        <v>1388</v>
      </c>
    </row>
    <row r="256" spans="1:23" x14ac:dyDescent="0.25">
      <c r="A256" s="2" t="s">
        <v>48</v>
      </c>
      <c r="B256" s="2" t="s">
        <v>1206</v>
      </c>
      <c r="C256" s="2" t="s">
        <v>50</v>
      </c>
      <c r="D256" s="2" t="s">
        <v>1285</v>
      </c>
      <c r="E256" s="2" t="s">
        <v>1286</v>
      </c>
      <c r="F256" s="22" t="s">
        <v>6085</v>
      </c>
      <c r="G256" s="1" t="s">
        <v>5</v>
      </c>
      <c r="H256" s="1" t="s">
        <v>20</v>
      </c>
      <c r="I256" s="1" t="s">
        <v>26</v>
      </c>
      <c r="J256" s="1" t="s">
        <v>9</v>
      </c>
      <c r="K256" s="1" t="s">
        <v>13</v>
      </c>
      <c r="L256" s="1" t="s">
        <v>16</v>
      </c>
      <c r="M256" s="2" t="s">
        <v>53</v>
      </c>
      <c r="N256" s="11" t="s">
        <v>188</v>
      </c>
      <c r="O256" s="1" t="s">
        <v>6037</v>
      </c>
      <c r="P256" s="2" t="s">
        <v>1552</v>
      </c>
      <c r="Q256" s="2" t="s">
        <v>5</v>
      </c>
      <c r="R256" s="2" t="s">
        <v>1553</v>
      </c>
      <c r="S256" s="9">
        <v>46034</v>
      </c>
      <c r="T256" s="2">
        <v>3</v>
      </c>
      <c r="U256" s="2" t="s">
        <v>893</v>
      </c>
      <c r="V256" s="2" t="s">
        <v>893</v>
      </c>
      <c r="W256" s="2" t="s">
        <v>893</v>
      </c>
    </row>
    <row r="257" spans="1:23" x14ac:dyDescent="0.25">
      <c r="A257" s="1" t="s">
        <v>48</v>
      </c>
      <c r="B257" s="1" t="s">
        <v>1205</v>
      </c>
      <c r="C257" s="1" t="s">
        <v>50</v>
      </c>
      <c r="D257" s="1" t="s">
        <v>1283</v>
      </c>
      <c r="E257" s="1" t="s">
        <v>1284</v>
      </c>
      <c r="F257" s="22" t="s">
        <v>6085</v>
      </c>
      <c r="G257" s="1" t="s">
        <v>5</v>
      </c>
      <c r="H257" s="1" t="s">
        <v>20</v>
      </c>
      <c r="I257" s="1" t="s">
        <v>26</v>
      </c>
      <c r="J257" s="1" t="s">
        <v>9</v>
      </c>
      <c r="K257" s="1" t="s">
        <v>10</v>
      </c>
      <c r="L257" s="1" t="s">
        <v>16</v>
      </c>
      <c r="M257" s="1" t="s">
        <v>53</v>
      </c>
      <c r="N257" s="1" t="s">
        <v>188</v>
      </c>
      <c r="O257" s="1" t="s">
        <v>6037</v>
      </c>
      <c r="P257" s="1" t="s">
        <v>1547</v>
      </c>
      <c r="Q257" s="20" t="s">
        <v>5491</v>
      </c>
      <c r="R257" s="1" t="s">
        <v>1548</v>
      </c>
      <c r="S257" s="8">
        <v>45658</v>
      </c>
      <c r="T257" s="1">
        <v>3</v>
      </c>
      <c r="U257" s="1" t="s">
        <v>1549</v>
      </c>
      <c r="V257" s="1" t="s">
        <v>1550</v>
      </c>
      <c r="W257" s="1" t="s">
        <v>1551</v>
      </c>
    </row>
    <row r="258" spans="1:23" x14ac:dyDescent="0.25">
      <c r="A258" s="1" t="s">
        <v>48</v>
      </c>
      <c r="B258" s="1" t="s">
        <v>1192</v>
      </c>
      <c r="C258" s="1" t="s">
        <v>50</v>
      </c>
      <c r="D258" s="1" t="s">
        <v>1257</v>
      </c>
      <c r="E258" s="1" t="s">
        <v>1258</v>
      </c>
      <c r="F258" s="22" t="s">
        <v>6085</v>
      </c>
      <c r="G258" s="1" t="s">
        <v>5</v>
      </c>
      <c r="H258" s="1" t="s">
        <v>20</v>
      </c>
      <c r="I258" s="1" t="s">
        <v>26</v>
      </c>
      <c r="J258" s="1" t="s">
        <v>9</v>
      </c>
      <c r="K258" s="1" t="s">
        <v>10</v>
      </c>
      <c r="L258" s="1" t="s">
        <v>16</v>
      </c>
      <c r="M258" s="1" t="s">
        <v>53</v>
      </c>
      <c r="N258" s="1" t="s">
        <v>188</v>
      </c>
      <c r="O258" s="1" t="s">
        <v>6037</v>
      </c>
      <c r="P258" s="1" t="s">
        <v>1519</v>
      </c>
      <c r="Q258" s="18" t="s">
        <v>5492</v>
      </c>
      <c r="R258" s="1" t="s">
        <v>1694</v>
      </c>
      <c r="S258" s="8">
        <v>45784</v>
      </c>
      <c r="T258" s="1">
        <v>3</v>
      </c>
      <c r="U258" s="1" t="s">
        <v>1695</v>
      </c>
      <c r="V258" s="1" t="s">
        <v>1695</v>
      </c>
      <c r="W258" s="1" t="s">
        <v>1695</v>
      </c>
    </row>
    <row r="259" spans="1:23" x14ac:dyDescent="0.25">
      <c r="A259" s="1" t="s">
        <v>48</v>
      </c>
      <c r="B259" s="1" t="s">
        <v>1203</v>
      </c>
      <c r="C259" s="1" t="s">
        <v>50</v>
      </c>
      <c r="D259" s="1" t="s">
        <v>1279</v>
      </c>
      <c r="E259" s="1" t="s">
        <v>1280</v>
      </c>
      <c r="F259" s="22" t="s">
        <v>5259</v>
      </c>
      <c r="G259" s="1" t="s">
        <v>6</v>
      </c>
      <c r="H259" s="1" t="s">
        <v>20</v>
      </c>
      <c r="I259" s="1" t="s">
        <v>26</v>
      </c>
      <c r="J259" s="1" t="s">
        <v>9</v>
      </c>
      <c r="K259" s="1" t="s">
        <v>11</v>
      </c>
      <c r="L259" s="1" t="s">
        <v>11</v>
      </c>
      <c r="M259" s="1" t="s">
        <v>53</v>
      </c>
      <c r="N259" s="14" t="s">
        <v>5226</v>
      </c>
      <c r="O259" s="1" t="s">
        <v>6037</v>
      </c>
      <c r="P259" s="1" t="s">
        <v>1542</v>
      </c>
      <c r="Q259" s="1" t="s">
        <v>5493</v>
      </c>
      <c r="R259" s="1" t="s">
        <v>1543</v>
      </c>
      <c r="S259" s="8">
        <v>46023</v>
      </c>
      <c r="T259" s="1">
        <v>1</v>
      </c>
      <c r="U259" s="1" t="s">
        <v>533</v>
      </c>
      <c r="V259" s="1" t="s">
        <v>1388</v>
      </c>
      <c r="W259" s="1" t="s">
        <v>1388</v>
      </c>
    </row>
    <row r="260" spans="1:23" x14ac:dyDescent="0.25">
      <c r="A260" s="1" t="s">
        <v>48</v>
      </c>
      <c r="B260" s="1" t="s">
        <v>1198</v>
      </c>
      <c r="C260" s="1" t="s">
        <v>50</v>
      </c>
      <c r="D260" s="1" t="s">
        <v>1269</v>
      </c>
      <c r="E260" s="1" t="s">
        <v>1270</v>
      </c>
      <c r="F260" s="22" t="s">
        <v>3</v>
      </c>
      <c r="G260" s="1" t="s">
        <v>6</v>
      </c>
      <c r="H260" s="1" t="s">
        <v>20</v>
      </c>
      <c r="I260" s="1" t="s">
        <v>26</v>
      </c>
      <c r="J260" s="1" t="s">
        <v>9</v>
      </c>
      <c r="K260" s="1" t="s">
        <v>15</v>
      </c>
      <c r="L260" s="1" t="s">
        <v>15</v>
      </c>
      <c r="M260" s="1" t="s">
        <v>53</v>
      </c>
      <c r="N260" s="1" t="s">
        <v>174</v>
      </c>
      <c r="O260" s="1" t="s">
        <v>6235</v>
      </c>
      <c r="P260" s="1" t="s">
        <v>656</v>
      </c>
      <c r="Q260" s="1" t="s">
        <v>5293</v>
      </c>
      <c r="R260" s="7" t="s">
        <v>1530</v>
      </c>
      <c r="S260" s="8">
        <v>46048</v>
      </c>
      <c r="T260" s="1">
        <v>1</v>
      </c>
      <c r="U260" s="1" t="s">
        <v>1531</v>
      </c>
      <c r="V260" s="1" t="s">
        <v>1388</v>
      </c>
      <c r="W260" s="1" t="s">
        <v>1388</v>
      </c>
    </row>
    <row r="261" spans="1:23" x14ac:dyDescent="0.25">
      <c r="A261" s="1" t="s">
        <v>48</v>
      </c>
      <c r="B261" s="1" t="s">
        <v>1195</v>
      </c>
      <c r="C261" s="1" t="s">
        <v>50</v>
      </c>
      <c r="D261" s="1" t="s">
        <v>1263</v>
      </c>
      <c r="E261" s="1" t="s">
        <v>1264</v>
      </c>
      <c r="F261" s="22" t="s">
        <v>2</v>
      </c>
      <c r="G261" s="1" t="s">
        <v>6</v>
      </c>
      <c r="H261" s="1" t="s">
        <v>20</v>
      </c>
      <c r="I261" s="1" t="s">
        <v>25</v>
      </c>
      <c r="J261" s="1" t="s">
        <v>9</v>
      </c>
      <c r="K261" s="1" t="s">
        <v>11</v>
      </c>
      <c r="L261" s="1" t="s">
        <v>11</v>
      </c>
      <c r="M261" s="1" t="s">
        <v>53</v>
      </c>
      <c r="N261" s="14" t="s">
        <v>5226</v>
      </c>
      <c r="O261" s="1" t="s">
        <v>6037</v>
      </c>
      <c r="P261" s="1" t="s">
        <v>1524</v>
      </c>
      <c r="Q261" s="1" t="s">
        <v>5494</v>
      </c>
      <c r="R261" s="1" t="s">
        <v>1525</v>
      </c>
      <c r="S261" s="8">
        <v>45931</v>
      </c>
      <c r="T261" s="1">
        <v>1</v>
      </c>
      <c r="U261" s="1" t="s">
        <v>280</v>
      </c>
      <c r="V261" s="1" t="s">
        <v>1388</v>
      </c>
      <c r="W261" s="1" t="s">
        <v>1388</v>
      </c>
    </row>
    <row r="262" spans="1:23" x14ac:dyDescent="0.25">
      <c r="A262" s="1" t="s">
        <v>48</v>
      </c>
      <c r="B262" s="1" t="s">
        <v>1194</v>
      </c>
      <c r="C262" s="1" t="s">
        <v>50</v>
      </c>
      <c r="D262" s="1" t="s">
        <v>1261</v>
      </c>
      <c r="E262" s="1" t="s">
        <v>1262</v>
      </c>
      <c r="F262" s="22" t="s">
        <v>5259</v>
      </c>
      <c r="G262" s="1" t="s">
        <v>6</v>
      </c>
      <c r="H262" s="1" t="s">
        <v>20</v>
      </c>
      <c r="I262" s="1" t="s">
        <v>26</v>
      </c>
      <c r="J262" s="1" t="s">
        <v>9</v>
      </c>
      <c r="K262" s="1" t="s">
        <v>15</v>
      </c>
      <c r="L262" s="1" t="s">
        <v>15</v>
      </c>
      <c r="M262" s="1" t="s">
        <v>53</v>
      </c>
      <c r="N262" s="14" t="s">
        <v>1702</v>
      </c>
      <c r="O262" s="1" t="s">
        <v>6037</v>
      </c>
      <c r="P262" s="1" t="s">
        <v>1522</v>
      </c>
      <c r="Q262" s="1" t="s">
        <v>15</v>
      </c>
      <c r="R262" s="1" t="s">
        <v>1523</v>
      </c>
      <c r="S262" s="8">
        <v>46041</v>
      </c>
      <c r="T262" s="1">
        <v>2</v>
      </c>
      <c r="U262" s="1" t="s">
        <v>236</v>
      </c>
      <c r="V262" s="1" t="s">
        <v>236</v>
      </c>
      <c r="W262" s="1" t="s">
        <v>1388</v>
      </c>
    </row>
    <row r="263" spans="1:23" x14ac:dyDescent="0.25">
      <c r="A263" s="2" t="s">
        <v>48</v>
      </c>
      <c r="B263" s="2" t="s">
        <v>1193</v>
      </c>
      <c r="C263" s="2" t="s">
        <v>50</v>
      </c>
      <c r="D263" s="2" t="s">
        <v>1259</v>
      </c>
      <c r="E263" s="2" t="s">
        <v>1260</v>
      </c>
      <c r="F263" s="22" t="s">
        <v>3</v>
      </c>
      <c r="G263" s="1" t="s">
        <v>6</v>
      </c>
      <c r="H263" s="1" t="s">
        <v>20</v>
      </c>
      <c r="I263" s="1" t="s">
        <v>26</v>
      </c>
      <c r="J263" s="1" t="s">
        <v>9</v>
      </c>
      <c r="K263" s="1" t="s">
        <v>13</v>
      </c>
      <c r="L263" s="1" t="s">
        <v>13</v>
      </c>
      <c r="M263" s="2" t="s">
        <v>53</v>
      </c>
      <c r="N263" s="1" t="s">
        <v>174</v>
      </c>
      <c r="O263" s="1" t="s">
        <v>6235</v>
      </c>
      <c r="P263" s="2" t="s">
        <v>1520</v>
      </c>
      <c r="Q263" s="2" t="s">
        <v>5495</v>
      </c>
      <c r="R263" s="7" t="s">
        <v>1521</v>
      </c>
      <c r="S263" s="9">
        <v>46034</v>
      </c>
      <c r="T263" s="2">
        <v>2</v>
      </c>
      <c r="U263" s="2" t="s">
        <v>1405</v>
      </c>
      <c r="V263" s="2" t="s">
        <v>1405</v>
      </c>
      <c r="W263" s="2" t="s">
        <v>1388</v>
      </c>
    </row>
    <row r="264" spans="1:23" x14ac:dyDescent="0.25">
      <c r="A264" s="1" t="s">
        <v>48</v>
      </c>
      <c r="B264" s="1" t="s">
        <v>1227</v>
      </c>
      <c r="C264" s="1" t="s">
        <v>50</v>
      </c>
      <c r="D264" s="1" t="s">
        <v>1327</v>
      </c>
      <c r="E264" s="1" t="s">
        <v>1328</v>
      </c>
      <c r="F264" s="22" t="s">
        <v>6085</v>
      </c>
      <c r="G264" s="1" t="s">
        <v>6</v>
      </c>
      <c r="H264" s="1" t="s">
        <v>20</v>
      </c>
      <c r="I264" s="1" t="s">
        <v>25</v>
      </c>
      <c r="J264" s="1" t="s">
        <v>9</v>
      </c>
      <c r="K264" s="1" t="s">
        <v>14</v>
      </c>
      <c r="L264" s="1" t="s">
        <v>14</v>
      </c>
      <c r="M264" s="1" t="s">
        <v>78</v>
      </c>
      <c r="N264" s="11" t="s">
        <v>188</v>
      </c>
      <c r="O264" s="1" t="s">
        <v>6037</v>
      </c>
      <c r="P264" s="1" t="s">
        <v>1456</v>
      </c>
      <c r="Q264" s="1" t="s">
        <v>5496</v>
      </c>
      <c r="R264" s="1" t="s">
        <v>1600</v>
      </c>
      <c r="S264" s="8">
        <v>46062</v>
      </c>
      <c r="T264" s="1">
        <v>2</v>
      </c>
      <c r="U264" s="1" t="s">
        <v>1601</v>
      </c>
      <c r="V264" s="1" t="s">
        <v>1602</v>
      </c>
      <c r="W264" s="1" t="s">
        <v>1388</v>
      </c>
    </row>
    <row r="265" spans="1:23" x14ac:dyDescent="0.25">
      <c r="A265" s="1" t="s">
        <v>48</v>
      </c>
      <c r="B265" s="1" t="s">
        <v>1223</v>
      </c>
      <c r="C265" s="1" t="s">
        <v>50</v>
      </c>
      <c r="D265" s="1" t="s">
        <v>1319</v>
      </c>
      <c r="E265" s="1" t="s">
        <v>1320</v>
      </c>
      <c r="F265" s="22" t="s">
        <v>3</v>
      </c>
      <c r="G265" s="1" t="s">
        <v>6</v>
      </c>
      <c r="H265" s="1" t="s">
        <v>20</v>
      </c>
      <c r="I265" s="1" t="s">
        <v>25</v>
      </c>
      <c r="J265" s="1" t="s">
        <v>9</v>
      </c>
      <c r="K265" s="1" t="s">
        <v>14</v>
      </c>
      <c r="L265" s="1" t="s">
        <v>14</v>
      </c>
      <c r="M265" s="1" t="s">
        <v>78</v>
      </c>
      <c r="N265" s="11" t="s">
        <v>188</v>
      </c>
      <c r="O265" s="1" t="s">
        <v>6037</v>
      </c>
      <c r="P265" s="1" t="s">
        <v>181</v>
      </c>
      <c r="Q265" s="1" t="s">
        <v>6</v>
      </c>
      <c r="R265" s="7" t="s">
        <v>1590</v>
      </c>
      <c r="S265" s="8">
        <v>46023</v>
      </c>
      <c r="T265" s="1">
        <v>2</v>
      </c>
      <c r="U265" s="1" t="s">
        <v>1591</v>
      </c>
      <c r="V265" s="1" t="s">
        <v>1591</v>
      </c>
      <c r="W265" s="1" t="s">
        <v>1388</v>
      </c>
    </row>
    <row r="266" spans="1:23" x14ac:dyDescent="0.25">
      <c r="A266" s="2" t="s">
        <v>48</v>
      </c>
      <c r="B266" s="2" t="s">
        <v>1243</v>
      </c>
      <c r="C266" s="2" t="s">
        <v>50</v>
      </c>
      <c r="D266" s="2" t="s">
        <v>1359</v>
      </c>
      <c r="E266" s="2" t="s">
        <v>1360</v>
      </c>
      <c r="F266" s="22" t="s">
        <v>6085</v>
      </c>
      <c r="G266" s="1" t="s">
        <v>6</v>
      </c>
      <c r="H266" s="1" t="s">
        <v>20</v>
      </c>
      <c r="I266" s="1" t="s">
        <v>26</v>
      </c>
      <c r="J266" s="1" t="s">
        <v>9</v>
      </c>
      <c r="K266" s="1" t="s">
        <v>10</v>
      </c>
      <c r="L266" s="1" t="s">
        <v>10</v>
      </c>
      <c r="M266" s="1" t="s">
        <v>78</v>
      </c>
      <c r="N266" s="1" t="s">
        <v>188</v>
      </c>
      <c r="O266" s="2" t="s">
        <v>6235</v>
      </c>
      <c r="P266" s="2" t="s">
        <v>581</v>
      </c>
      <c r="Q266" s="19" t="s">
        <v>5497</v>
      </c>
      <c r="R266" s="1" t="s">
        <v>1633</v>
      </c>
      <c r="S266" s="9">
        <v>46054</v>
      </c>
      <c r="T266" s="2">
        <v>2</v>
      </c>
      <c r="U266" s="2" t="s">
        <v>302</v>
      </c>
      <c r="V266" s="2" t="s">
        <v>302</v>
      </c>
      <c r="W266" s="2" t="s">
        <v>1388</v>
      </c>
    </row>
    <row r="267" spans="1:23" x14ac:dyDescent="0.25">
      <c r="A267" s="1" t="s">
        <v>48</v>
      </c>
      <c r="B267" s="1" t="s">
        <v>1241</v>
      </c>
      <c r="C267" s="1" t="s">
        <v>50</v>
      </c>
      <c r="D267" s="1" t="s">
        <v>1355</v>
      </c>
      <c r="E267" s="1" t="s">
        <v>1356</v>
      </c>
      <c r="F267" s="22" t="s">
        <v>6085</v>
      </c>
      <c r="G267" s="1" t="s">
        <v>5</v>
      </c>
      <c r="H267" s="1" t="s">
        <v>20</v>
      </c>
      <c r="I267" s="1" t="s">
        <v>25</v>
      </c>
      <c r="J267" s="1" t="s">
        <v>9</v>
      </c>
      <c r="K267" s="1" t="s">
        <v>15</v>
      </c>
      <c r="L267" s="1" t="s">
        <v>15</v>
      </c>
      <c r="M267" s="1" t="s">
        <v>78</v>
      </c>
      <c r="N267" s="1" t="s">
        <v>188</v>
      </c>
      <c r="O267" s="2" t="s">
        <v>6235</v>
      </c>
      <c r="P267" s="1" t="s">
        <v>126</v>
      </c>
      <c r="Q267" s="1" t="s">
        <v>5498</v>
      </c>
      <c r="R267" s="1" t="s">
        <v>1629</v>
      </c>
      <c r="S267" s="8">
        <v>45699</v>
      </c>
      <c r="T267" s="1">
        <v>3</v>
      </c>
      <c r="U267" s="1" t="s">
        <v>1453</v>
      </c>
      <c r="V267" s="1" t="s">
        <v>1453</v>
      </c>
      <c r="W267" s="1" t="s">
        <v>1453</v>
      </c>
    </row>
    <row r="268" spans="1:23" x14ac:dyDescent="0.25">
      <c r="A268" s="1" t="s">
        <v>48</v>
      </c>
      <c r="B268" s="1" t="s">
        <v>1226</v>
      </c>
      <c r="C268" s="1" t="s">
        <v>50</v>
      </c>
      <c r="D268" s="1" t="s">
        <v>1325</v>
      </c>
      <c r="E268" s="1" t="s">
        <v>1326</v>
      </c>
      <c r="F268" s="22" t="s">
        <v>6085</v>
      </c>
      <c r="G268" s="1" t="s">
        <v>7</v>
      </c>
      <c r="H268" s="1" t="s">
        <v>24</v>
      </c>
      <c r="I268" s="1" t="s">
        <v>25</v>
      </c>
      <c r="J268" s="1" t="s">
        <v>9</v>
      </c>
      <c r="K268" s="1" t="s">
        <v>14</v>
      </c>
      <c r="L268" s="1" t="s">
        <v>14</v>
      </c>
      <c r="M268" s="1" t="s">
        <v>78</v>
      </c>
      <c r="N268" s="1" t="s">
        <v>188</v>
      </c>
      <c r="O268" s="2" t="s">
        <v>6235</v>
      </c>
      <c r="P268" s="1" t="s">
        <v>1597</v>
      </c>
      <c r="Q268" s="1" t="s">
        <v>4501</v>
      </c>
      <c r="R268" s="1" t="s">
        <v>1598</v>
      </c>
      <c r="S268" s="8">
        <v>46023</v>
      </c>
      <c r="T268" s="1">
        <v>2</v>
      </c>
      <c r="U268" s="1" t="s">
        <v>1599</v>
      </c>
      <c r="V268" s="1" t="s">
        <v>1388</v>
      </c>
      <c r="W268" s="1" t="s">
        <v>1388</v>
      </c>
    </row>
    <row r="269" spans="1:23" x14ac:dyDescent="0.25">
      <c r="A269" s="1" t="s">
        <v>48</v>
      </c>
      <c r="B269" s="1" t="s">
        <v>1242</v>
      </c>
      <c r="C269" s="1" t="s">
        <v>50</v>
      </c>
      <c r="D269" s="1" t="s">
        <v>1357</v>
      </c>
      <c r="E269" s="1" t="s">
        <v>1358</v>
      </c>
      <c r="F269" s="22" t="s">
        <v>3</v>
      </c>
      <c r="G269" s="1" t="s">
        <v>6</v>
      </c>
      <c r="H269" s="1" t="s">
        <v>20</v>
      </c>
      <c r="I269" s="1" t="s">
        <v>25</v>
      </c>
      <c r="J269" s="1" t="s">
        <v>8</v>
      </c>
      <c r="K269" s="1" t="s">
        <v>18</v>
      </c>
      <c r="L269" s="1" t="s">
        <v>18</v>
      </c>
      <c r="M269" s="1" t="s">
        <v>78</v>
      </c>
      <c r="N269" s="14" t="s">
        <v>1664</v>
      </c>
      <c r="O269" s="1" t="s">
        <v>6037</v>
      </c>
      <c r="P269" s="1" t="s">
        <v>1630</v>
      </c>
      <c r="Q269" s="1" t="s">
        <v>5499</v>
      </c>
      <c r="R269" s="1" t="s">
        <v>1631</v>
      </c>
      <c r="S269" s="9">
        <v>46266</v>
      </c>
      <c r="T269" s="1">
        <v>1</v>
      </c>
      <c r="U269" s="1" t="s">
        <v>1632</v>
      </c>
      <c r="V269" s="1" t="s">
        <v>1388</v>
      </c>
      <c r="W269" s="1" t="s">
        <v>1388</v>
      </c>
    </row>
    <row r="270" spans="1:23" x14ac:dyDescent="0.25">
      <c r="A270" s="1" t="s">
        <v>48</v>
      </c>
      <c r="B270" s="1" t="s">
        <v>1254</v>
      </c>
      <c r="C270" s="1" t="s">
        <v>50</v>
      </c>
      <c r="D270" s="1" t="s">
        <v>1381</v>
      </c>
      <c r="E270" s="1" t="s">
        <v>1382</v>
      </c>
      <c r="F270" s="22" t="s">
        <v>5259</v>
      </c>
      <c r="G270" s="1" t="s">
        <v>6</v>
      </c>
      <c r="H270" s="1" t="s">
        <v>20</v>
      </c>
      <c r="I270" s="1" t="s">
        <v>26</v>
      </c>
      <c r="J270" s="1" t="s">
        <v>8</v>
      </c>
      <c r="K270" s="1" t="s">
        <v>15</v>
      </c>
      <c r="L270" s="1" t="s">
        <v>15</v>
      </c>
      <c r="M270" s="1" t="s">
        <v>78</v>
      </c>
      <c r="N270" s="14" t="s">
        <v>1664</v>
      </c>
      <c r="O270" s="1" t="s">
        <v>6037</v>
      </c>
      <c r="P270" s="1" t="s">
        <v>1417</v>
      </c>
      <c r="Q270" s="1" t="s">
        <v>15</v>
      </c>
      <c r="R270" s="1" t="s">
        <v>1662</v>
      </c>
      <c r="S270" s="9">
        <v>45901</v>
      </c>
      <c r="T270" s="1">
        <v>1</v>
      </c>
      <c r="U270" s="1" t="s">
        <v>1663</v>
      </c>
      <c r="V270" s="1" t="s">
        <v>1388</v>
      </c>
      <c r="W270" s="1" t="s">
        <v>1388</v>
      </c>
    </row>
    <row r="271" spans="1:23" x14ac:dyDescent="0.25">
      <c r="A271" s="1" t="s">
        <v>48</v>
      </c>
      <c r="B271" s="1" t="s">
        <v>1246</v>
      </c>
      <c r="C271" s="1" t="s">
        <v>50</v>
      </c>
      <c r="D271" s="1" t="s">
        <v>1365</v>
      </c>
      <c r="E271" s="1" t="s">
        <v>1366</v>
      </c>
      <c r="F271" s="22" t="s">
        <v>3</v>
      </c>
      <c r="G271" s="1" t="s">
        <v>5</v>
      </c>
      <c r="H271" s="1" t="s">
        <v>20</v>
      </c>
      <c r="I271" s="1" t="s">
        <v>26</v>
      </c>
      <c r="J271" s="1" t="s">
        <v>9</v>
      </c>
      <c r="K271" s="1" t="s">
        <v>13</v>
      </c>
      <c r="L271" s="1" t="s">
        <v>13</v>
      </c>
      <c r="M271" s="1" t="s">
        <v>78</v>
      </c>
      <c r="N271" s="11" t="s">
        <v>188</v>
      </c>
      <c r="O271" s="1" t="s">
        <v>6037</v>
      </c>
      <c r="P271" s="1" t="s">
        <v>126</v>
      </c>
      <c r="Q271" s="1" t="s">
        <v>5500</v>
      </c>
      <c r="R271" s="7" t="s">
        <v>1638</v>
      </c>
      <c r="S271" s="8">
        <v>46023</v>
      </c>
      <c r="T271" s="1">
        <v>3</v>
      </c>
      <c r="U271" s="1" t="s">
        <v>1639</v>
      </c>
      <c r="V271" s="1" t="s">
        <v>1640</v>
      </c>
      <c r="W271" s="1" t="s">
        <v>1641</v>
      </c>
    </row>
    <row r="272" spans="1:23" x14ac:dyDescent="0.25">
      <c r="A272" s="1" t="s">
        <v>48</v>
      </c>
      <c r="B272" s="1" t="s">
        <v>1252</v>
      </c>
      <c r="C272" s="1" t="s">
        <v>50</v>
      </c>
      <c r="D272" s="1" t="s">
        <v>1377</v>
      </c>
      <c r="E272" s="1" t="s">
        <v>1378</v>
      </c>
      <c r="F272" s="22" t="s">
        <v>6085</v>
      </c>
      <c r="G272" s="1" t="s">
        <v>5</v>
      </c>
      <c r="H272" s="1" t="s">
        <v>21</v>
      </c>
      <c r="I272" s="1" t="s">
        <v>25</v>
      </c>
      <c r="J272" s="1" t="s">
        <v>9</v>
      </c>
      <c r="K272" s="1" t="s">
        <v>14</v>
      </c>
      <c r="L272" s="1" t="s">
        <v>17</v>
      </c>
      <c r="M272" s="1" t="s">
        <v>78</v>
      </c>
      <c r="N272" s="11" t="s">
        <v>188</v>
      </c>
      <c r="O272" s="1" t="s">
        <v>6037</v>
      </c>
      <c r="P272" s="1" t="s">
        <v>107</v>
      </c>
      <c r="Q272" s="1" t="s">
        <v>5501</v>
      </c>
      <c r="R272" s="1" t="s">
        <v>1657</v>
      </c>
      <c r="S272" s="8">
        <v>45719</v>
      </c>
      <c r="T272" s="1">
        <v>3</v>
      </c>
      <c r="U272" s="1" t="s">
        <v>1658</v>
      </c>
      <c r="V272" s="1" t="s">
        <v>1659</v>
      </c>
      <c r="W272" s="1" t="s">
        <v>1659</v>
      </c>
    </row>
    <row r="273" spans="1:23" x14ac:dyDescent="0.25">
      <c r="A273" s="1" t="s">
        <v>48</v>
      </c>
      <c r="B273" s="1" t="s">
        <v>1247</v>
      </c>
      <c r="C273" s="1" t="s">
        <v>50</v>
      </c>
      <c r="D273" s="1" t="s">
        <v>1367</v>
      </c>
      <c r="E273" s="1" t="s">
        <v>1368</v>
      </c>
      <c r="F273" s="22" t="s">
        <v>6085</v>
      </c>
      <c r="G273" s="1" t="s">
        <v>5</v>
      </c>
      <c r="H273" s="1" t="s">
        <v>20</v>
      </c>
      <c r="I273" s="1" t="s">
        <v>26</v>
      </c>
      <c r="J273" s="1" t="s">
        <v>8</v>
      </c>
      <c r="K273" s="1" t="s">
        <v>19</v>
      </c>
      <c r="L273" s="1" t="s">
        <v>19</v>
      </c>
      <c r="M273" s="1" t="s">
        <v>78</v>
      </c>
      <c r="N273" s="11" t="s">
        <v>188</v>
      </c>
      <c r="O273" s="1" t="s">
        <v>6037</v>
      </c>
      <c r="P273" s="1" t="s">
        <v>1642</v>
      </c>
      <c r="Q273" s="1" t="s">
        <v>5502</v>
      </c>
      <c r="R273" s="1" t="s">
        <v>1643</v>
      </c>
      <c r="S273" s="8">
        <v>46036</v>
      </c>
      <c r="T273" s="1">
        <v>3</v>
      </c>
      <c r="U273" s="1" t="s">
        <v>1644</v>
      </c>
      <c r="V273" s="1" t="s">
        <v>1645</v>
      </c>
      <c r="W273" s="1" t="s">
        <v>1646</v>
      </c>
    </row>
    <row r="274" spans="1:23" x14ac:dyDescent="0.25">
      <c r="A274" s="1" t="s">
        <v>48</v>
      </c>
      <c r="B274" s="1" t="s">
        <v>1224</v>
      </c>
      <c r="C274" s="1" t="s">
        <v>50</v>
      </c>
      <c r="D274" s="1" t="s">
        <v>1321</v>
      </c>
      <c r="E274" s="1" t="s">
        <v>1322</v>
      </c>
      <c r="F274" s="22" t="s">
        <v>3</v>
      </c>
      <c r="G274" s="1" t="s">
        <v>5</v>
      </c>
      <c r="H274" s="1" t="s">
        <v>20</v>
      </c>
      <c r="I274" s="1" t="s">
        <v>25</v>
      </c>
      <c r="J274" s="1" t="s">
        <v>9</v>
      </c>
      <c r="K274" s="1" t="s">
        <v>13</v>
      </c>
      <c r="L274" s="1" t="s">
        <v>13</v>
      </c>
      <c r="M274" s="1" t="s">
        <v>78</v>
      </c>
      <c r="N274" s="1" t="s">
        <v>1013</v>
      </c>
      <c r="O274" s="1" t="s">
        <v>6037</v>
      </c>
      <c r="P274" s="1" t="s">
        <v>593</v>
      </c>
      <c r="Q274" s="1" t="s">
        <v>5503</v>
      </c>
      <c r="R274" s="7" t="s">
        <v>1592</v>
      </c>
      <c r="S274" s="8">
        <v>45764</v>
      </c>
      <c r="T274" s="1">
        <v>3</v>
      </c>
      <c r="U274" s="1" t="s">
        <v>1593</v>
      </c>
      <c r="V274" s="1" t="s">
        <v>1594</v>
      </c>
      <c r="W274" s="1" t="s">
        <v>349</v>
      </c>
    </row>
    <row r="275" spans="1:23" x14ac:dyDescent="0.25">
      <c r="A275" s="1" t="s">
        <v>48</v>
      </c>
      <c r="B275" s="1" t="s">
        <v>1232</v>
      </c>
      <c r="C275" s="1" t="s">
        <v>50</v>
      </c>
      <c r="D275" s="1" t="s">
        <v>1337</v>
      </c>
      <c r="E275" s="1" t="s">
        <v>1338</v>
      </c>
      <c r="F275" s="22" t="s">
        <v>3</v>
      </c>
      <c r="G275" s="1" t="s">
        <v>5</v>
      </c>
      <c r="H275" s="1" t="s">
        <v>22</v>
      </c>
      <c r="I275" s="1" t="s">
        <v>25</v>
      </c>
      <c r="J275" s="1" t="s">
        <v>9</v>
      </c>
      <c r="K275" s="1" t="s">
        <v>14</v>
      </c>
      <c r="L275" s="1" t="s">
        <v>14</v>
      </c>
      <c r="M275" s="1" t="s">
        <v>78</v>
      </c>
      <c r="N275" s="11" t="s">
        <v>188</v>
      </c>
      <c r="O275" s="1" t="s">
        <v>6037</v>
      </c>
      <c r="P275" s="1" t="s">
        <v>581</v>
      </c>
      <c r="Q275" s="1" t="s">
        <v>5504</v>
      </c>
      <c r="R275" s="7" t="s">
        <v>1699</v>
      </c>
      <c r="S275" s="8">
        <v>45901</v>
      </c>
      <c r="T275" s="1">
        <v>3</v>
      </c>
      <c r="U275" s="1" t="s">
        <v>1700</v>
      </c>
      <c r="V275" s="1" t="s">
        <v>1701</v>
      </c>
      <c r="W275" s="1" t="s">
        <v>1701</v>
      </c>
    </row>
    <row r="276" spans="1:23" x14ac:dyDescent="0.25">
      <c r="A276" s="1" t="s">
        <v>48</v>
      </c>
      <c r="B276" s="1" t="s">
        <v>1230</v>
      </c>
      <c r="C276" s="1" t="s">
        <v>50</v>
      </c>
      <c r="D276" s="1" t="s">
        <v>1333</v>
      </c>
      <c r="E276" s="1" t="s">
        <v>1334</v>
      </c>
      <c r="F276" s="22" t="s">
        <v>6085</v>
      </c>
      <c r="G276" s="1" t="s">
        <v>6</v>
      </c>
      <c r="H276" s="1" t="s">
        <v>20</v>
      </c>
      <c r="I276" s="1" t="s">
        <v>25</v>
      </c>
      <c r="J276" s="1" t="s">
        <v>9</v>
      </c>
      <c r="K276" s="1" t="s">
        <v>13</v>
      </c>
      <c r="L276" s="1" t="s">
        <v>13</v>
      </c>
      <c r="M276" s="1" t="s">
        <v>78</v>
      </c>
      <c r="N276" s="1" t="s">
        <v>188</v>
      </c>
      <c r="O276" s="2" t="s">
        <v>6235</v>
      </c>
      <c r="P276" s="1" t="s">
        <v>126</v>
      </c>
      <c r="Q276" s="1" t="s">
        <v>5505</v>
      </c>
      <c r="R276" s="1" t="s">
        <v>1608</v>
      </c>
      <c r="S276" s="8">
        <v>46055</v>
      </c>
      <c r="T276" s="1">
        <v>2</v>
      </c>
      <c r="U276" s="1" t="s">
        <v>763</v>
      </c>
      <c r="V276" s="1" t="s">
        <v>1407</v>
      </c>
      <c r="W276" s="1" t="s">
        <v>1388</v>
      </c>
    </row>
    <row r="277" spans="1:23" x14ac:dyDescent="0.25">
      <c r="A277" s="1" t="s">
        <v>48</v>
      </c>
      <c r="B277" s="1" t="s">
        <v>1244</v>
      </c>
      <c r="C277" s="1" t="s">
        <v>50</v>
      </c>
      <c r="D277" s="1" t="s">
        <v>1361</v>
      </c>
      <c r="E277" s="1" t="s">
        <v>1362</v>
      </c>
      <c r="F277" s="22" t="s">
        <v>6085</v>
      </c>
      <c r="G277" s="1" t="s">
        <v>6</v>
      </c>
      <c r="H277" s="1" t="s">
        <v>20</v>
      </c>
      <c r="I277" s="1" t="s">
        <v>26</v>
      </c>
      <c r="J277" s="1" t="s">
        <v>9</v>
      </c>
      <c r="K277" s="1" t="s">
        <v>10</v>
      </c>
      <c r="L277" s="1" t="s">
        <v>16</v>
      </c>
      <c r="M277" s="1" t="s">
        <v>78</v>
      </c>
      <c r="N277" s="11" t="s">
        <v>188</v>
      </c>
      <c r="O277" s="1" t="s">
        <v>6037</v>
      </c>
      <c r="P277" s="1" t="s">
        <v>247</v>
      </c>
      <c r="Q277" s="18" t="s">
        <v>5506</v>
      </c>
      <c r="R277" s="1" t="s">
        <v>1634</v>
      </c>
      <c r="S277" s="8">
        <v>45686</v>
      </c>
      <c r="T277" s="1">
        <v>2</v>
      </c>
      <c r="U277" s="1" t="s">
        <v>1635</v>
      </c>
      <c r="V277" s="1" t="s">
        <v>1636</v>
      </c>
      <c r="W277" s="1" t="s">
        <v>1388</v>
      </c>
    </row>
    <row r="278" spans="1:23" x14ac:dyDescent="0.25">
      <c r="A278" s="1" t="s">
        <v>48</v>
      </c>
      <c r="B278" s="1" t="s">
        <v>1237</v>
      </c>
      <c r="C278" s="1" t="s">
        <v>50</v>
      </c>
      <c r="D278" s="1" t="s">
        <v>1347</v>
      </c>
      <c r="E278" s="1" t="s">
        <v>1348</v>
      </c>
      <c r="F278" s="22" t="s">
        <v>6085</v>
      </c>
      <c r="G278" s="1" t="s">
        <v>6</v>
      </c>
      <c r="H278" s="1" t="s">
        <v>20</v>
      </c>
      <c r="I278" s="1" t="s">
        <v>26</v>
      </c>
      <c r="J278" s="1" t="s">
        <v>9</v>
      </c>
      <c r="K278" s="1" t="s">
        <v>18</v>
      </c>
      <c r="L278" s="1" t="s">
        <v>18</v>
      </c>
      <c r="M278" s="1" t="s">
        <v>78</v>
      </c>
      <c r="N278" s="1" t="s">
        <v>174</v>
      </c>
      <c r="O278" s="1" t="s">
        <v>6037</v>
      </c>
      <c r="P278" s="1" t="s">
        <v>1620</v>
      </c>
      <c r="Q278" s="1" t="s">
        <v>5507</v>
      </c>
      <c r="R278" s="20" t="s">
        <v>1621</v>
      </c>
      <c r="S278" s="8">
        <v>46069</v>
      </c>
      <c r="T278" s="1">
        <v>2</v>
      </c>
      <c r="U278" s="1" t="s">
        <v>291</v>
      </c>
      <c r="V278" s="1" t="s">
        <v>291</v>
      </c>
      <c r="W278" s="1" t="s">
        <v>1388</v>
      </c>
    </row>
    <row r="279" spans="1:23" x14ac:dyDescent="0.25">
      <c r="A279" s="1" t="s">
        <v>48</v>
      </c>
      <c r="B279" s="1" t="s">
        <v>1250</v>
      </c>
      <c r="C279" s="1" t="s">
        <v>50</v>
      </c>
      <c r="D279" s="1" t="s">
        <v>1373</v>
      </c>
      <c r="E279" s="1" t="s">
        <v>1374</v>
      </c>
      <c r="F279" s="22" t="s">
        <v>6085</v>
      </c>
      <c r="G279" s="1" t="s">
        <v>6</v>
      </c>
      <c r="H279" s="1" t="s">
        <v>20</v>
      </c>
      <c r="I279" s="1" t="s">
        <v>26</v>
      </c>
      <c r="J279" s="1" t="s">
        <v>9</v>
      </c>
      <c r="K279" s="1" t="s">
        <v>18</v>
      </c>
      <c r="L279" s="1" t="s">
        <v>14</v>
      </c>
      <c r="M279" s="1" t="s">
        <v>78</v>
      </c>
      <c r="N279" s="1" t="s">
        <v>188</v>
      </c>
      <c r="O279" s="2" t="s">
        <v>6235</v>
      </c>
      <c r="P279" s="1" t="s">
        <v>247</v>
      </c>
      <c r="Q279" s="1" t="s">
        <v>5508</v>
      </c>
      <c r="R279" s="19" t="s">
        <v>1651</v>
      </c>
      <c r="S279" s="8">
        <v>46048</v>
      </c>
      <c r="T279" s="1">
        <v>2</v>
      </c>
      <c r="U279" s="1" t="s">
        <v>1652</v>
      </c>
      <c r="V279" s="1" t="s">
        <v>1653</v>
      </c>
      <c r="W279" s="1" t="s">
        <v>1388</v>
      </c>
    </row>
    <row r="280" spans="1:23" x14ac:dyDescent="0.25">
      <c r="A280" s="1" t="s">
        <v>48</v>
      </c>
      <c r="B280" s="1" t="s">
        <v>1239</v>
      </c>
      <c r="C280" s="1" t="s">
        <v>50</v>
      </c>
      <c r="D280" s="1" t="s">
        <v>1351</v>
      </c>
      <c r="E280" s="1" t="s">
        <v>1352</v>
      </c>
      <c r="F280" s="22" t="s">
        <v>3</v>
      </c>
      <c r="G280" s="1" t="s">
        <v>6</v>
      </c>
      <c r="H280" s="1" t="s">
        <v>21</v>
      </c>
      <c r="I280" s="1" t="s">
        <v>25</v>
      </c>
      <c r="J280" s="1" t="s">
        <v>8</v>
      </c>
      <c r="K280" s="1" t="s">
        <v>13</v>
      </c>
      <c r="L280" s="1" t="s">
        <v>13</v>
      </c>
      <c r="M280" s="1" t="s">
        <v>78</v>
      </c>
      <c r="N280" s="1" t="s">
        <v>1015</v>
      </c>
      <c r="O280" s="1" t="s">
        <v>6235</v>
      </c>
      <c r="P280" s="1" t="s">
        <v>1624</v>
      </c>
      <c r="Q280" s="1" t="s">
        <v>5509</v>
      </c>
      <c r="R280" s="7" t="s">
        <v>1625</v>
      </c>
      <c r="S280" s="8">
        <v>46138</v>
      </c>
      <c r="T280" s="1">
        <v>1</v>
      </c>
      <c r="U280" s="1" t="s">
        <v>1626</v>
      </c>
      <c r="V280" s="1" t="s">
        <v>1388</v>
      </c>
      <c r="W280" s="1" t="s">
        <v>1388</v>
      </c>
    </row>
    <row r="281" spans="1:23" x14ac:dyDescent="0.25">
      <c r="A281" s="1" t="s">
        <v>48</v>
      </c>
      <c r="B281" s="1" t="s">
        <v>1245</v>
      </c>
      <c r="C281" s="1" t="s">
        <v>50</v>
      </c>
      <c r="D281" s="1" t="s">
        <v>1363</v>
      </c>
      <c r="E281" s="1" t="s">
        <v>1364</v>
      </c>
      <c r="F281" s="22" t="s">
        <v>6085</v>
      </c>
      <c r="G281" s="1" t="s">
        <v>5</v>
      </c>
      <c r="H281" s="1" t="s">
        <v>20</v>
      </c>
      <c r="I281" s="1" t="s">
        <v>25</v>
      </c>
      <c r="J281" s="1" t="s">
        <v>9</v>
      </c>
      <c r="K281" s="1" t="s">
        <v>11</v>
      </c>
      <c r="L281" s="1" t="s">
        <v>11</v>
      </c>
      <c r="M281" s="1" t="s">
        <v>78</v>
      </c>
      <c r="N281" s="1" t="s">
        <v>1013</v>
      </c>
      <c r="O281" s="1" t="s">
        <v>6037</v>
      </c>
      <c r="P281" s="1" t="s">
        <v>66</v>
      </c>
      <c r="Q281" s="1" t="s">
        <v>1414</v>
      </c>
      <c r="R281" s="1" t="s">
        <v>1637</v>
      </c>
      <c r="S281" s="8">
        <v>45658</v>
      </c>
      <c r="T281" s="1">
        <v>2</v>
      </c>
      <c r="U281" s="1" t="s">
        <v>209</v>
      </c>
      <c r="V281" s="1" t="s">
        <v>209</v>
      </c>
      <c r="W281" s="1" t="s">
        <v>1388</v>
      </c>
    </row>
    <row r="282" spans="1:23" x14ac:dyDescent="0.25">
      <c r="A282" s="1" t="s">
        <v>48</v>
      </c>
      <c r="B282" s="1" t="s">
        <v>1248</v>
      </c>
      <c r="C282" s="1" t="s">
        <v>50</v>
      </c>
      <c r="D282" s="1" t="s">
        <v>1369</v>
      </c>
      <c r="E282" s="1" t="s">
        <v>1370</v>
      </c>
      <c r="F282" s="22" t="s">
        <v>6085</v>
      </c>
      <c r="G282" s="1" t="s">
        <v>6</v>
      </c>
      <c r="H282" s="1" t="s">
        <v>20</v>
      </c>
      <c r="I282" s="1" t="s">
        <v>25</v>
      </c>
      <c r="J282" s="1" t="s">
        <v>9</v>
      </c>
      <c r="K282" s="1" t="s">
        <v>13</v>
      </c>
      <c r="L282" s="1" t="s">
        <v>13</v>
      </c>
      <c r="M282" s="1" t="s">
        <v>78</v>
      </c>
      <c r="N282" s="11" t="s">
        <v>188</v>
      </c>
      <c r="O282" s="1" t="s">
        <v>6037</v>
      </c>
      <c r="P282" s="1" t="s">
        <v>284</v>
      </c>
      <c r="Q282" s="1" t="s">
        <v>5510</v>
      </c>
      <c r="R282" s="1" t="s">
        <v>1647</v>
      </c>
      <c r="S282" s="8">
        <v>45679</v>
      </c>
      <c r="T282" s="1">
        <v>1</v>
      </c>
      <c r="U282" s="1" t="s">
        <v>1648</v>
      </c>
      <c r="V282" s="1" t="s">
        <v>1388</v>
      </c>
      <c r="W282" s="1" t="s">
        <v>1388</v>
      </c>
    </row>
    <row r="283" spans="1:23" x14ac:dyDescent="0.25">
      <c r="A283" s="1" t="s">
        <v>48</v>
      </c>
      <c r="B283" s="1" t="s">
        <v>1253</v>
      </c>
      <c r="C283" s="1" t="s">
        <v>50</v>
      </c>
      <c r="D283" s="1" t="s">
        <v>1379</v>
      </c>
      <c r="E283" s="1" t="s">
        <v>1380</v>
      </c>
      <c r="F283" s="22" t="s">
        <v>3</v>
      </c>
      <c r="G283" s="1" t="s">
        <v>5</v>
      </c>
      <c r="H283" s="1" t="s">
        <v>20</v>
      </c>
      <c r="I283" s="1" t="s">
        <v>26</v>
      </c>
      <c r="J283" s="1" t="s">
        <v>9</v>
      </c>
      <c r="K283" s="1" t="s">
        <v>13</v>
      </c>
      <c r="L283" s="1" t="s">
        <v>13</v>
      </c>
      <c r="M283" s="1" t="s">
        <v>78</v>
      </c>
      <c r="N283" s="14" t="s">
        <v>5226</v>
      </c>
      <c r="O283" s="1" t="s">
        <v>6037</v>
      </c>
      <c r="P283" s="1" t="s">
        <v>1660</v>
      </c>
      <c r="Q283" s="1" t="s">
        <v>5511</v>
      </c>
      <c r="R283" s="1" t="s">
        <v>1661</v>
      </c>
      <c r="S283" s="8">
        <v>45678</v>
      </c>
      <c r="T283" s="1">
        <v>3</v>
      </c>
      <c r="U283" s="1" t="s">
        <v>702</v>
      </c>
      <c r="V283" s="1" t="s">
        <v>1461</v>
      </c>
      <c r="W283" s="1" t="s">
        <v>1461</v>
      </c>
    </row>
    <row r="284" spans="1:23" x14ac:dyDescent="0.25">
      <c r="A284" s="1" t="s">
        <v>48</v>
      </c>
      <c r="B284" s="1" t="s">
        <v>1251</v>
      </c>
      <c r="C284" s="1" t="s">
        <v>50</v>
      </c>
      <c r="D284" s="1" t="s">
        <v>1375</v>
      </c>
      <c r="E284" s="1" t="s">
        <v>1376</v>
      </c>
      <c r="F284" s="22" t="s">
        <v>6085</v>
      </c>
      <c r="G284" s="1" t="s">
        <v>6</v>
      </c>
      <c r="H284" s="1" t="s">
        <v>20</v>
      </c>
      <c r="I284" s="1" t="s">
        <v>26</v>
      </c>
      <c r="J284" s="1" t="s">
        <v>9</v>
      </c>
      <c r="K284" s="1" t="s">
        <v>11</v>
      </c>
      <c r="L284" s="1" t="s">
        <v>11</v>
      </c>
      <c r="M284" s="1" t="s">
        <v>78</v>
      </c>
      <c r="N284" s="1" t="s">
        <v>188</v>
      </c>
      <c r="O284" s="2" t="s">
        <v>6235</v>
      </c>
      <c r="P284" s="1" t="s">
        <v>581</v>
      </c>
      <c r="Q284" s="1" t="s">
        <v>5512</v>
      </c>
      <c r="R284" s="1" t="s">
        <v>1654</v>
      </c>
      <c r="S284" s="8">
        <v>45691</v>
      </c>
      <c r="T284" s="1">
        <v>2</v>
      </c>
      <c r="U284" s="1" t="s">
        <v>1655</v>
      </c>
      <c r="V284" s="1" t="s">
        <v>1656</v>
      </c>
      <c r="W284" s="1" t="s">
        <v>1388</v>
      </c>
    </row>
    <row r="285" spans="1:23" x14ac:dyDescent="0.25">
      <c r="A285" s="1" t="s">
        <v>48</v>
      </c>
      <c r="B285" s="1" t="s">
        <v>1249</v>
      </c>
      <c r="C285" s="1" t="s">
        <v>50</v>
      </c>
      <c r="D285" s="1" t="s">
        <v>1371</v>
      </c>
      <c r="E285" s="1" t="s">
        <v>1372</v>
      </c>
      <c r="F285" s="22" t="s">
        <v>3</v>
      </c>
      <c r="G285" s="1" t="s">
        <v>6</v>
      </c>
      <c r="H285" s="1" t="s">
        <v>20</v>
      </c>
      <c r="I285" s="1" t="s">
        <v>25</v>
      </c>
      <c r="J285" s="1" t="s">
        <v>9</v>
      </c>
      <c r="K285" s="1" t="s">
        <v>11</v>
      </c>
      <c r="L285" s="1" t="s">
        <v>11</v>
      </c>
      <c r="M285" s="1" t="s">
        <v>78</v>
      </c>
      <c r="N285" s="1" t="s">
        <v>1015</v>
      </c>
      <c r="O285" s="1" t="s">
        <v>6235</v>
      </c>
      <c r="P285" s="1" t="s">
        <v>181</v>
      </c>
      <c r="Q285" s="1" t="s">
        <v>5513</v>
      </c>
      <c r="R285" s="7" t="s">
        <v>1649</v>
      </c>
      <c r="S285" s="8">
        <v>45674</v>
      </c>
      <c r="T285" s="1">
        <v>1</v>
      </c>
      <c r="U285" s="1" t="s">
        <v>1650</v>
      </c>
      <c r="V285" s="1" t="s">
        <v>1388</v>
      </c>
      <c r="W285" s="1" t="s">
        <v>1388</v>
      </c>
    </row>
    <row r="286" spans="1:23" x14ac:dyDescent="0.25">
      <c r="A286" s="1" t="s">
        <v>48</v>
      </c>
      <c r="B286" s="1" t="s">
        <v>1236</v>
      </c>
      <c r="C286" s="1" t="s">
        <v>50</v>
      </c>
      <c r="D286" s="1" t="s">
        <v>1345</v>
      </c>
      <c r="E286" s="1" t="s">
        <v>1346</v>
      </c>
      <c r="F286" s="22" t="s">
        <v>5259</v>
      </c>
      <c r="G286" s="1" t="s">
        <v>5</v>
      </c>
      <c r="H286" s="1" t="s">
        <v>24</v>
      </c>
      <c r="I286" s="1" t="s">
        <v>25</v>
      </c>
      <c r="J286" s="1" t="s">
        <v>9</v>
      </c>
      <c r="K286" s="1" t="s">
        <v>13</v>
      </c>
      <c r="L286" s="1" t="s">
        <v>13</v>
      </c>
      <c r="M286" s="1" t="s">
        <v>78</v>
      </c>
      <c r="N286" s="14" t="s">
        <v>5226</v>
      </c>
      <c r="O286" s="1" t="s">
        <v>6037</v>
      </c>
      <c r="P286" s="1" t="s">
        <v>593</v>
      </c>
      <c r="Q286" s="1" t="s">
        <v>5514</v>
      </c>
      <c r="R286" s="1" t="s">
        <v>1617</v>
      </c>
      <c r="S286" s="8">
        <v>45386</v>
      </c>
      <c r="T286" s="1">
        <v>2</v>
      </c>
      <c r="U286" s="1" t="s">
        <v>1618</v>
      </c>
      <c r="V286" s="1" t="s">
        <v>1619</v>
      </c>
      <c r="W286" s="1" t="s">
        <v>1388</v>
      </c>
    </row>
    <row r="287" spans="1:23" x14ac:dyDescent="0.25">
      <c r="A287" s="1" t="s">
        <v>48</v>
      </c>
      <c r="B287" s="1" t="s">
        <v>1240</v>
      </c>
      <c r="C287" s="1" t="s">
        <v>50</v>
      </c>
      <c r="D287" s="1" t="s">
        <v>1353</v>
      </c>
      <c r="E287" s="1" t="s">
        <v>1354</v>
      </c>
      <c r="F287" s="22" t="s">
        <v>6085</v>
      </c>
      <c r="G287" s="1" t="s">
        <v>5</v>
      </c>
      <c r="H287" s="1" t="s">
        <v>20</v>
      </c>
      <c r="I287" s="1" t="s">
        <v>26</v>
      </c>
      <c r="J287" s="1" t="s">
        <v>9</v>
      </c>
      <c r="K287" s="1" t="s">
        <v>14</v>
      </c>
      <c r="L287" s="1" t="s">
        <v>14</v>
      </c>
      <c r="M287" s="1" t="s">
        <v>78</v>
      </c>
      <c r="N287" s="1" t="s">
        <v>188</v>
      </c>
      <c r="O287" s="2" t="s">
        <v>6235</v>
      </c>
      <c r="P287" s="1" t="s">
        <v>1627</v>
      </c>
      <c r="Q287" s="1" t="s">
        <v>5515</v>
      </c>
      <c r="R287" s="1" t="s">
        <v>1628</v>
      </c>
      <c r="S287" s="8">
        <v>46051</v>
      </c>
      <c r="T287" s="1">
        <v>3</v>
      </c>
      <c r="U287" s="1" t="s">
        <v>236</v>
      </c>
      <c r="V287" s="1" t="s">
        <v>236</v>
      </c>
      <c r="W287" s="1" t="s">
        <v>236</v>
      </c>
    </row>
    <row r="288" spans="1:23" x14ac:dyDescent="0.25">
      <c r="A288" s="1" t="s">
        <v>48</v>
      </c>
      <c r="B288" s="1" t="s">
        <v>1238</v>
      </c>
      <c r="C288" s="1" t="s">
        <v>50</v>
      </c>
      <c r="D288" s="1" t="s">
        <v>1349</v>
      </c>
      <c r="E288" s="1" t="s">
        <v>1350</v>
      </c>
      <c r="F288" s="22" t="s">
        <v>5259</v>
      </c>
      <c r="G288" s="1" t="s">
        <v>6</v>
      </c>
      <c r="H288" s="1" t="s">
        <v>20</v>
      </c>
      <c r="I288" s="1" t="s">
        <v>25</v>
      </c>
      <c r="J288" s="1" t="s">
        <v>9</v>
      </c>
      <c r="K288" s="1" t="s">
        <v>16</v>
      </c>
      <c r="L288" s="1" t="s">
        <v>16</v>
      </c>
      <c r="M288" s="1" t="s">
        <v>78</v>
      </c>
      <c r="N288" s="1" t="s">
        <v>6027</v>
      </c>
      <c r="O288" s="1" t="s">
        <v>6037</v>
      </c>
      <c r="P288" s="1" t="s">
        <v>306</v>
      </c>
      <c r="Q288" s="1" t="s">
        <v>5516</v>
      </c>
      <c r="R288" s="1" t="s">
        <v>1622</v>
      </c>
      <c r="S288" s="8">
        <v>45706</v>
      </c>
      <c r="T288" s="1">
        <v>1</v>
      </c>
      <c r="U288" s="1" t="s">
        <v>1623</v>
      </c>
      <c r="V288" s="1" t="s">
        <v>1388</v>
      </c>
      <c r="W288" s="1" t="s">
        <v>1388</v>
      </c>
    </row>
    <row r="289" spans="1:23" x14ac:dyDescent="0.25">
      <c r="A289" s="1" t="s">
        <v>48</v>
      </c>
      <c r="B289" s="1" t="s">
        <v>1231</v>
      </c>
      <c r="C289" s="1" t="s">
        <v>50</v>
      </c>
      <c r="D289" s="1" t="s">
        <v>1335</v>
      </c>
      <c r="E289" s="1" t="s">
        <v>1336</v>
      </c>
      <c r="F289" s="22" t="s">
        <v>6085</v>
      </c>
      <c r="G289" s="1" t="s">
        <v>6</v>
      </c>
      <c r="H289" s="1" t="s">
        <v>22</v>
      </c>
      <c r="I289" s="1" t="s">
        <v>25</v>
      </c>
      <c r="J289" s="1" t="s">
        <v>8</v>
      </c>
      <c r="K289" s="1" t="s">
        <v>15</v>
      </c>
      <c r="L289" s="1" t="s">
        <v>15</v>
      </c>
      <c r="M289" s="1" t="s">
        <v>78</v>
      </c>
      <c r="N289" s="11" t="s">
        <v>188</v>
      </c>
      <c r="O289" s="1" t="s">
        <v>6037</v>
      </c>
      <c r="P289" s="1" t="s">
        <v>1417</v>
      </c>
      <c r="Q289" s="1" t="s">
        <v>5517</v>
      </c>
      <c r="R289" s="1" t="s">
        <v>1609</v>
      </c>
      <c r="S289" s="8">
        <v>46029</v>
      </c>
      <c r="T289" s="1">
        <v>2</v>
      </c>
      <c r="U289" s="1" t="s">
        <v>1610</v>
      </c>
      <c r="V289" s="1" t="s">
        <v>1610</v>
      </c>
      <c r="W289" s="1" t="s">
        <v>1388</v>
      </c>
    </row>
    <row r="290" spans="1:23" x14ac:dyDescent="0.25">
      <c r="A290" s="1" t="s">
        <v>48</v>
      </c>
      <c r="B290" s="1" t="s">
        <v>1229</v>
      </c>
      <c r="C290" s="1" t="s">
        <v>50</v>
      </c>
      <c r="D290" s="1" t="s">
        <v>1331</v>
      </c>
      <c r="E290" s="1" t="s">
        <v>1332</v>
      </c>
      <c r="F290" s="22" t="s">
        <v>6085</v>
      </c>
      <c r="G290" s="1" t="s">
        <v>5</v>
      </c>
      <c r="H290" s="1" t="s">
        <v>20</v>
      </c>
      <c r="I290" s="1" t="s">
        <v>25</v>
      </c>
      <c r="J290" s="1" t="s">
        <v>9</v>
      </c>
      <c r="K290" s="1" t="s">
        <v>16</v>
      </c>
      <c r="L290" s="1" t="s">
        <v>16</v>
      </c>
      <c r="M290" s="1" t="s">
        <v>78</v>
      </c>
      <c r="N290" s="11" t="s">
        <v>188</v>
      </c>
      <c r="O290" s="1" t="s">
        <v>6235</v>
      </c>
      <c r="P290" s="1" t="s">
        <v>162</v>
      </c>
      <c r="Q290" s="1" t="s">
        <v>5518</v>
      </c>
      <c r="R290" s="1" t="s">
        <v>1605</v>
      </c>
      <c r="S290" s="8">
        <v>45596</v>
      </c>
      <c r="T290" s="1">
        <v>2</v>
      </c>
      <c r="U290" s="1" t="s">
        <v>1606</v>
      </c>
      <c r="V290" s="1" t="s">
        <v>1607</v>
      </c>
      <c r="W290" s="1" t="s">
        <v>1388</v>
      </c>
    </row>
    <row r="291" spans="1:23" x14ac:dyDescent="0.25">
      <c r="A291" s="1" t="s">
        <v>48</v>
      </c>
      <c r="B291" s="1" t="s">
        <v>1235</v>
      </c>
      <c r="C291" s="1" t="s">
        <v>50</v>
      </c>
      <c r="D291" s="1" t="s">
        <v>1343</v>
      </c>
      <c r="E291" s="1" t="s">
        <v>1344</v>
      </c>
      <c r="F291" s="22" t="s">
        <v>5259</v>
      </c>
      <c r="G291" s="1" t="s">
        <v>6</v>
      </c>
      <c r="H291" s="1" t="s">
        <v>20</v>
      </c>
      <c r="I291" s="1" t="s">
        <v>26</v>
      </c>
      <c r="J291" s="1" t="s">
        <v>9</v>
      </c>
      <c r="K291" s="1" t="s">
        <v>16</v>
      </c>
      <c r="L291" s="1" t="s">
        <v>17</v>
      </c>
      <c r="M291" s="1" t="s">
        <v>78</v>
      </c>
      <c r="N291" s="14" t="s">
        <v>5226</v>
      </c>
      <c r="O291" s="1" t="s">
        <v>6037</v>
      </c>
      <c r="P291" s="1" t="s">
        <v>66</v>
      </c>
      <c r="Q291" s="1" t="s">
        <v>5519</v>
      </c>
      <c r="R291" s="1" t="s">
        <v>1616</v>
      </c>
      <c r="S291" s="8">
        <v>46023</v>
      </c>
      <c r="T291" s="1">
        <v>2</v>
      </c>
      <c r="U291" s="1" t="s">
        <v>410</v>
      </c>
      <c r="V291" s="1" t="s">
        <v>410</v>
      </c>
      <c r="W291" s="1" t="s">
        <v>1388</v>
      </c>
    </row>
    <row r="292" spans="1:23" x14ac:dyDescent="0.25">
      <c r="A292" s="1" t="s">
        <v>48</v>
      </c>
      <c r="B292" s="1" t="s">
        <v>1233</v>
      </c>
      <c r="C292" s="1" t="s">
        <v>50</v>
      </c>
      <c r="D292" s="1" t="s">
        <v>1339</v>
      </c>
      <c r="E292" s="1" t="s">
        <v>1340</v>
      </c>
      <c r="F292" s="22" t="s">
        <v>3</v>
      </c>
      <c r="G292" s="1" t="s">
        <v>6</v>
      </c>
      <c r="H292" s="1" t="s">
        <v>20</v>
      </c>
      <c r="I292" s="1" t="s">
        <v>26</v>
      </c>
      <c r="J292" s="1" t="s">
        <v>9</v>
      </c>
      <c r="K292" s="1" t="s">
        <v>13</v>
      </c>
      <c r="L292" s="1" t="s">
        <v>13</v>
      </c>
      <c r="M292" s="1" t="s">
        <v>78</v>
      </c>
      <c r="N292" s="1" t="s">
        <v>1664</v>
      </c>
      <c r="O292" s="1" t="s">
        <v>6235</v>
      </c>
      <c r="P292" s="1" t="s">
        <v>1611</v>
      </c>
      <c r="Q292" s="1" t="s">
        <v>5440</v>
      </c>
      <c r="R292" s="1" t="s">
        <v>1612</v>
      </c>
      <c r="S292" s="8">
        <v>45839</v>
      </c>
      <c r="T292" s="1">
        <v>1</v>
      </c>
      <c r="U292" s="1" t="s">
        <v>1613</v>
      </c>
      <c r="V292" s="1" t="s">
        <v>1614</v>
      </c>
      <c r="W292" s="1" t="s">
        <v>1388</v>
      </c>
    </row>
    <row r="293" spans="1:23" x14ac:dyDescent="0.25">
      <c r="A293" s="1" t="s">
        <v>48</v>
      </c>
      <c r="B293" s="1" t="s">
        <v>1234</v>
      </c>
      <c r="C293" s="1" t="s">
        <v>50</v>
      </c>
      <c r="D293" s="1" t="s">
        <v>1341</v>
      </c>
      <c r="E293" s="1" t="s">
        <v>1342</v>
      </c>
      <c r="F293" s="22" t="s">
        <v>6085</v>
      </c>
      <c r="G293" s="1" t="s">
        <v>6</v>
      </c>
      <c r="H293" s="1" t="s">
        <v>21</v>
      </c>
      <c r="I293" s="1" t="s">
        <v>25</v>
      </c>
      <c r="J293" s="1" t="s">
        <v>9</v>
      </c>
      <c r="K293" s="1" t="s">
        <v>13</v>
      </c>
      <c r="L293" s="1" t="s">
        <v>13</v>
      </c>
      <c r="M293" s="1" t="s">
        <v>78</v>
      </c>
      <c r="N293" s="1" t="s">
        <v>188</v>
      </c>
      <c r="O293" s="2" t="s">
        <v>6235</v>
      </c>
      <c r="P293" s="1" t="s">
        <v>593</v>
      </c>
      <c r="Q293" s="1" t="s">
        <v>5520</v>
      </c>
      <c r="R293" s="1" t="s">
        <v>1615</v>
      </c>
      <c r="S293" s="8">
        <v>46023</v>
      </c>
      <c r="T293" s="1">
        <v>1</v>
      </c>
      <c r="U293" s="1" t="s">
        <v>499</v>
      </c>
      <c r="V293" s="1" t="s">
        <v>1388</v>
      </c>
      <c r="W293" s="1" t="s">
        <v>1388</v>
      </c>
    </row>
    <row r="294" spans="1:23" x14ac:dyDescent="0.25">
      <c r="A294" s="1" t="s">
        <v>48</v>
      </c>
      <c r="B294" s="1" t="s">
        <v>1228</v>
      </c>
      <c r="C294" s="1" t="s">
        <v>50</v>
      </c>
      <c r="D294" s="1" t="s">
        <v>1329</v>
      </c>
      <c r="E294" s="1" t="s">
        <v>1330</v>
      </c>
      <c r="F294" s="22" t="s">
        <v>3</v>
      </c>
      <c r="G294" s="1" t="s">
        <v>6</v>
      </c>
      <c r="H294" s="1" t="s">
        <v>20</v>
      </c>
      <c r="I294" s="1" t="s">
        <v>26</v>
      </c>
      <c r="J294" s="1" t="s">
        <v>9</v>
      </c>
      <c r="K294" s="1" t="s">
        <v>13</v>
      </c>
      <c r="L294" s="1" t="s">
        <v>13</v>
      </c>
      <c r="M294" s="1" t="s">
        <v>78</v>
      </c>
      <c r="N294" s="1" t="s">
        <v>1664</v>
      </c>
      <c r="O294" s="1" t="s">
        <v>6235</v>
      </c>
      <c r="P294" s="1" t="s">
        <v>1603</v>
      </c>
      <c r="Q294" s="1" t="s">
        <v>4156</v>
      </c>
      <c r="R294" s="1" t="s">
        <v>1604</v>
      </c>
      <c r="S294" s="8">
        <v>45877</v>
      </c>
      <c r="T294" s="1">
        <v>2</v>
      </c>
      <c r="U294" s="1" t="s">
        <v>744</v>
      </c>
      <c r="V294" s="1" t="s">
        <v>744</v>
      </c>
      <c r="W294" s="1" t="s">
        <v>1388</v>
      </c>
    </row>
    <row r="295" spans="1:23" x14ac:dyDescent="0.25">
      <c r="A295" s="1" t="s">
        <v>48</v>
      </c>
      <c r="B295" s="1" t="s">
        <v>1225</v>
      </c>
      <c r="C295" s="1" t="s">
        <v>50</v>
      </c>
      <c r="D295" s="1" t="s">
        <v>1323</v>
      </c>
      <c r="E295" s="1" t="s">
        <v>1324</v>
      </c>
      <c r="F295" s="22" t="s">
        <v>3</v>
      </c>
      <c r="G295" s="1" t="s">
        <v>6</v>
      </c>
      <c r="H295" s="1" t="s">
        <v>20</v>
      </c>
      <c r="I295" s="1" t="s">
        <v>26</v>
      </c>
      <c r="J295" s="1" t="s">
        <v>9</v>
      </c>
      <c r="K295" s="1" t="s">
        <v>10</v>
      </c>
      <c r="L295" s="1" t="s">
        <v>10</v>
      </c>
      <c r="M295" s="1" t="s">
        <v>78</v>
      </c>
      <c r="N295" s="1" t="s">
        <v>1013</v>
      </c>
      <c r="O295" s="1" t="s">
        <v>6037</v>
      </c>
      <c r="P295" s="1" t="s">
        <v>1595</v>
      </c>
      <c r="Q295" s="1" t="s">
        <v>5521</v>
      </c>
      <c r="R295" s="7" t="s">
        <v>1596</v>
      </c>
      <c r="S295" s="8">
        <v>46030</v>
      </c>
      <c r="T295" s="1">
        <v>2</v>
      </c>
      <c r="U295" s="1" t="s">
        <v>208</v>
      </c>
      <c r="V295" s="1" t="s">
        <v>208</v>
      </c>
      <c r="W295" s="1" t="s">
        <v>1388</v>
      </c>
    </row>
    <row r="296" spans="1:23" x14ac:dyDescent="0.25">
      <c r="A296" s="1" t="s">
        <v>48</v>
      </c>
      <c r="B296" s="1" t="s">
        <v>1703</v>
      </c>
      <c r="C296" s="1" t="s">
        <v>50</v>
      </c>
      <c r="D296" s="1" t="s">
        <v>1704</v>
      </c>
      <c r="E296" s="1" t="s">
        <v>1705</v>
      </c>
      <c r="F296" s="22" t="s">
        <v>5259</v>
      </c>
      <c r="G296" s="1" t="s">
        <v>6</v>
      </c>
      <c r="H296" s="1" t="s">
        <v>20</v>
      </c>
      <c r="I296" s="1" t="s">
        <v>25</v>
      </c>
      <c r="J296" s="1" t="s">
        <v>9</v>
      </c>
      <c r="K296" s="1" t="s">
        <v>13</v>
      </c>
      <c r="L296" s="1" t="s">
        <v>16</v>
      </c>
      <c r="M296" s="1" t="s">
        <v>53</v>
      </c>
      <c r="N296" s="1" t="s">
        <v>6027</v>
      </c>
      <c r="O296" s="1" t="s">
        <v>6037</v>
      </c>
      <c r="P296" s="1" t="s">
        <v>284</v>
      </c>
      <c r="Q296" s="1" t="s">
        <v>5522</v>
      </c>
      <c r="R296" s="1" t="s">
        <v>1769</v>
      </c>
      <c r="S296" s="8">
        <v>46027</v>
      </c>
      <c r="T296" s="1">
        <v>1</v>
      </c>
      <c r="U296" s="1" t="s">
        <v>1770</v>
      </c>
      <c r="V296" s="1" t="s">
        <v>1388</v>
      </c>
      <c r="W296" s="1" t="s">
        <v>1388</v>
      </c>
    </row>
    <row r="297" spans="1:23" x14ac:dyDescent="0.25">
      <c r="A297" s="1" t="s">
        <v>48</v>
      </c>
      <c r="B297" s="1" t="s">
        <v>1706</v>
      </c>
      <c r="C297" s="1" t="s">
        <v>50</v>
      </c>
      <c r="D297" s="1" t="s">
        <v>1707</v>
      </c>
      <c r="E297" s="1" t="s">
        <v>1708</v>
      </c>
      <c r="F297" s="22" t="s">
        <v>3</v>
      </c>
      <c r="G297" s="1" t="s">
        <v>6</v>
      </c>
      <c r="H297" s="1" t="s">
        <v>20</v>
      </c>
      <c r="I297" s="1" t="s">
        <v>25</v>
      </c>
      <c r="J297" s="1" t="s">
        <v>9</v>
      </c>
      <c r="K297" s="1" t="s">
        <v>13</v>
      </c>
      <c r="L297" s="1" t="s">
        <v>13</v>
      </c>
      <c r="M297" s="1" t="s">
        <v>53</v>
      </c>
      <c r="N297" s="1" t="s">
        <v>1828</v>
      </c>
      <c r="O297" s="1" t="s">
        <v>6235</v>
      </c>
      <c r="P297" s="1" t="s">
        <v>593</v>
      </c>
      <c r="Q297" s="1" t="s">
        <v>5523</v>
      </c>
      <c r="R297" s="7" t="s">
        <v>1771</v>
      </c>
      <c r="S297" s="8">
        <v>46041</v>
      </c>
      <c r="T297" s="1">
        <v>2</v>
      </c>
      <c r="U297" s="1" t="s">
        <v>1772</v>
      </c>
      <c r="V297" s="1" t="s">
        <v>1772</v>
      </c>
      <c r="W297" s="1" t="s">
        <v>1388</v>
      </c>
    </row>
    <row r="298" spans="1:23" x14ac:dyDescent="0.25">
      <c r="A298" s="1" t="s">
        <v>48</v>
      </c>
      <c r="B298" s="1" t="s">
        <v>1709</v>
      </c>
      <c r="C298" s="1" t="s">
        <v>50</v>
      </c>
      <c r="D298" s="1" t="s">
        <v>1710</v>
      </c>
      <c r="E298" s="1" t="s">
        <v>1711</v>
      </c>
      <c r="F298" s="22" t="s">
        <v>6085</v>
      </c>
      <c r="G298" s="1" t="s">
        <v>5</v>
      </c>
      <c r="H298" s="1" t="s">
        <v>20</v>
      </c>
      <c r="I298" s="1" t="s">
        <v>25</v>
      </c>
      <c r="J298" s="1" t="s">
        <v>9</v>
      </c>
      <c r="K298" s="1" t="s">
        <v>13</v>
      </c>
      <c r="L298" s="1" t="s">
        <v>13</v>
      </c>
      <c r="M298" s="1" t="s">
        <v>53</v>
      </c>
      <c r="N298" s="1" t="s">
        <v>188</v>
      </c>
      <c r="O298" s="1" t="s">
        <v>6037</v>
      </c>
      <c r="P298" s="1" t="s">
        <v>1773</v>
      </c>
      <c r="Q298" s="1" t="s">
        <v>5524</v>
      </c>
      <c r="R298" s="1" t="s">
        <v>1774</v>
      </c>
      <c r="S298" s="8">
        <v>46113</v>
      </c>
      <c r="T298" s="1">
        <v>3</v>
      </c>
      <c r="U298" s="1" t="s">
        <v>1475</v>
      </c>
      <c r="V298" s="1" t="s">
        <v>1775</v>
      </c>
      <c r="W298" s="1" t="s">
        <v>1775</v>
      </c>
    </row>
    <row r="299" spans="1:23" x14ac:dyDescent="0.25">
      <c r="A299" s="1" t="s">
        <v>48</v>
      </c>
      <c r="B299" s="1" t="s">
        <v>1712</v>
      </c>
      <c r="C299" s="1" t="s">
        <v>50</v>
      </c>
      <c r="D299" s="1" t="s">
        <v>1713</v>
      </c>
      <c r="E299" s="1" t="s">
        <v>1714</v>
      </c>
      <c r="F299" s="22" t="s">
        <v>6085</v>
      </c>
      <c r="G299" s="1" t="s">
        <v>5</v>
      </c>
      <c r="H299" s="1" t="s">
        <v>24</v>
      </c>
      <c r="I299" s="1" t="s">
        <v>25</v>
      </c>
      <c r="J299" s="1" t="s">
        <v>9</v>
      </c>
      <c r="K299" s="1" t="s">
        <v>14</v>
      </c>
      <c r="L299" s="1" t="s">
        <v>14</v>
      </c>
      <c r="M299" s="1" t="s">
        <v>53</v>
      </c>
      <c r="N299" s="11" t="s">
        <v>188</v>
      </c>
      <c r="O299" s="1" t="s">
        <v>6037</v>
      </c>
      <c r="P299" s="1" t="s">
        <v>66</v>
      </c>
      <c r="Q299" s="1" t="s">
        <v>5525</v>
      </c>
      <c r="R299" s="1" t="s">
        <v>1776</v>
      </c>
      <c r="S299" s="8">
        <v>46023</v>
      </c>
      <c r="T299" s="1">
        <v>1</v>
      </c>
      <c r="U299" s="1" t="s">
        <v>1777</v>
      </c>
      <c r="V299" s="1" t="s">
        <v>1388</v>
      </c>
      <c r="W299" s="1" t="s">
        <v>1388</v>
      </c>
    </row>
    <row r="300" spans="1:23" x14ac:dyDescent="0.25">
      <c r="A300" s="1" t="s">
        <v>48</v>
      </c>
      <c r="B300" s="1" t="s">
        <v>1715</v>
      </c>
      <c r="C300" s="1" t="s">
        <v>50</v>
      </c>
      <c r="D300" s="1" t="s">
        <v>1716</v>
      </c>
      <c r="E300" s="1" t="s">
        <v>1717</v>
      </c>
      <c r="F300" s="22" t="s">
        <v>6085</v>
      </c>
      <c r="G300" s="1" t="s">
        <v>6</v>
      </c>
      <c r="H300" s="1" t="s">
        <v>20</v>
      </c>
      <c r="I300" s="1" t="s">
        <v>25</v>
      </c>
      <c r="J300" s="1" t="s">
        <v>9</v>
      </c>
      <c r="K300" s="1" t="s">
        <v>13</v>
      </c>
      <c r="L300" s="1" t="s">
        <v>13</v>
      </c>
      <c r="M300" s="1" t="s">
        <v>53</v>
      </c>
      <c r="N300" s="1" t="s">
        <v>2091</v>
      </c>
      <c r="O300" s="1" t="s">
        <v>6037</v>
      </c>
      <c r="P300" s="1" t="s">
        <v>126</v>
      </c>
      <c r="Q300" s="1" t="s">
        <v>5095</v>
      </c>
      <c r="R300" s="1" t="s">
        <v>1778</v>
      </c>
      <c r="S300" s="8">
        <v>46098</v>
      </c>
      <c r="T300" s="1">
        <v>2</v>
      </c>
      <c r="U300" s="1" t="s">
        <v>1779</v>
      </c>
      <c r="V300" s="1" t="s">
        <v>1780</v>
      </c>
      <c r="W300" s="1" t="s">
        <v>1388</v>
      </c>
    </row>
    <row r="301" spans="1:23" x14ac:dyDescent="0.25">
      <c r="A301" s="1" t="s">
        <v>48</v>
      </c>
      <c r="B301" s="1" t="s">
        <v>1718</v>
      </c>
      <c r="C301" s="1" t="s">
        <v>50</v>
      </c>
      <c r="D301" s="1" t="s">
        <v>1719</v>
      </c>
      <c r="E301" s="1" t="s">
        <v>1720</v>
      </c>
      <c r="F301" s="22" t="s">
        <v>6085</v>
      </c>
      <c r="G301" s="1" t="s">
        <v>6</v>
      </c>
      <c r="H301" s="1" t="s">
        <v>20</v>
      </c>
      <c r="I301" s="1" t="s">
        <v>25</v>
      </c>
      <c r="J301" s="1" t="s">
        <v>9</v>
      </c>
      <c r="K301" s="1" t="s">
        <v>11</v>
      </c>
      <c r="L301" s="1" t="s">
        <v>11</v>
      </c>
      <c r="M301" s="1" t="s">
        <v>53</v>
      </c>
      <c r="N301" s="11" t="s">
        <v>188</v>
      </c>
      <c r="O301" s="1" t="s">
        <v>6037</v>
      </c>
      <c r="P301" s="1" t="s">
        <v>126</v>
      </c>
      <c r="Q301" s="1" t="s">
        <v>5526</v>
      </c>
      <c r="R301" s="1" t="s">
        <v>1781</v>
      </c>
      <c r="S301" s="8">
        <v>46069</v>
      </c>
      <c r="T301" s="1">
        <v>2</v>
      </c>
      <c r="U301" s="1" t="s">
        <v>1782</v>
      </c>
      <c r="V301" s="1" t="s">
        <v>1783</v>
      </c>
      <c r="W301" s="1" t="s">
        <v>1388</v>
      </c>
    </row>
    <row r="302" spans="1:23" x14ac:dyDescent="0.25">
      <c r="A302" s="1" t="s">
        <v>48</v>
      </c>
      <c r="B302" s="1" t="s">
        <v>1721</v>
      </c>
      <c r="C302" s="1" t="s">
        <v>50</v>
      </c>
      <c r="D302" s="1" t="s">
        <v>1722</v>
      </c>
      <c r="E302" s="1" t="s">
        <v>1723</v>
      </c>
      <c r="F302" s="22" t="s">
        <v>6085</v>
      </c>
      <c r="G302" s="1" t="s">
        <v>7</v>
      </c>
      <c r="H302" s="1" t="s">
        <v>20</v>
      </c>
      <c r="I302" s="1" t="s">
        <v>26</v>
      </c>
      <c r="J302" s="1" t="s">
        <v>9</v>
      </c>
      <c r="K302" s="1" t="s">
        <v>10</v>
      </c>
      <c r="L302" s="1" t="s">
        <v>16</v>
      </c>
      <c r="M302" s="1" t="s">
        <v>53</v>
      </c>
      <c r="N302" s="1" t="s">
        <v>5248</v>
      </c>
      <c r="O302" s="1" t="s">
        <v>6235</v>
      </c>
      <c r="P302" s="1" t="s">
        <v>1456</v>
      </c>
      <c r="Q302" s="20" t="s">
        <v>5527</v>
      </c>
      <c r="R302" s="1" t="s">
        <v>1784</v>
      </c>
      <c r="S302" s="8">
        <v>46023</v>
      </c>
      <c r="T302" s="1">
        <v>2</v>
      </c>
      <c r="U302" s="1" t="s">
        <v>1785</v>
      </c>
      <c r="V302" s="1" t="s">
        <v>1785</v>
      </c>
      <c r="W302" s="1" t="s">
        <v>1388</v>
      </c>
    </row>
    <row r="303" spans="1:23" x14ac:dyDescent="0.25">
      <c r="A303" s="1" t="s">
        <v>48</v>
      </c>
      <c r="B303" s="1" t="s">
        <v>1724</v>
      </c>
      <c r="C303" s="1" t="s">
        <v>50</v>
      </c>
      <c r="D303" s="1" t="s">
        <v>1725</v>
      </c>
      <c r="E303" s="1" t="s">
        <v>1726</v>
      </c>
      <c r="F303" s="22" t="s">
        <v>6085</v>
      </c>
      <c r="G303" s="1" t="s">
        <v>5</v>
      </c>
      <c r="H303" s="1" t="s">
        <v>20</v>
      </c>
      <c r="I303" s="1" t="s">
        <v>26</v>
      </c>
      <c r="J303" s="1" t="s">
        <v>9</v>
      </c>
      <c r="K303" s="1" t="s">
        <v>16</v>
      </c>
      <c r="L303" s="1" t="s">
        <v>10</v>
      </c>
      <c r="M303" s="1" t="s">
        <v>53</v>
      </c>
      <c r="N303" s="11" t="s">
        <v>188</v>
      </c>
      <c r="O303" s="1" t="s">
        <v>6037</v>
      </c>
      <c r="P303" s="1" t="s">
        <v>1456</v>
      </c>
      <c r="Q303" s="1" t="s">
        <v>5528</v>
      </c>
      <c r="R303" s="1" t="s">
        <v>1786</v>
      </c>
      <c r="S303" s="8">
        <v>46027</v>
      </c>
      <c r="T303" s="1">
        <v>2</v>
      </c>
      <c r="U303" s="1" t="s">
        <v>1787</v>
      </c>
      <c r="V303" s="1" t="s">
        <v>1787</v>
      </c>
      <c r="W303" s="1" t="s">
        <v>1388</v>
      </c>
    </row>
    <row r="304" spans="1:23" x14ac:dyDescent="0.25">
      <c r="A304" s="1" t="s">
        <v>48</v>
      </c>
      <c r="B304" s="1" t="s">
        <v>1727</v>
      </c>
      <c r="C304" s="1" t="s">
        <v>50</v>
      </c>
      <c r="D304" s="1" t="s">
        <v>1728</v>
      </c>
      <c r="E304" s="1" t="s">
        <v>1729</v>
      </c>
      <c r="F304" s="22" t="s">
        <v>3</v>
      </c>
      <c r="G304" s="1" t="s">
        <v>5</v>
      </c>
      <c r="H304" s="1" t="s">
        <v>24</v>
      </c>
      <c r="I304" s="1" t="s">
        <v>25</v>
      </c>
      <c r="J304" s="1" t="s">
        <v>9</v>
      </c>
      <c r="K304" s="1" t="s">
        <v>14</v>
      </c>
      <c r="L304" s="1" t="s">
        <v>14</v>
      </c>
      <c r="M304" s="1" t="s">
        <v>53</v>
      </c>
      <c r="N304" s="11" t="s">
        <v>188</v>
      </c>
      <c r="O304" s="1" t="s">
        <v>6037</v>
      </c>
      <c r="P304" s="1" t="s">
        <v>66</v>
      </c>
      <c r="Q304" s="1" t="s">
        <v>5529</v>
      </c>
      <c r="R304" s="7" t="s">
        <v>1788</v>
      </c>
      <c r="S304" s="8">
        <v>46023</v>
      </c>
      <c r="T304" s="1">
        <v>3</v>
      </c>
      <c r="U304" s="1" t="s">
        <v>730</v>
      </c>
      <c r="V304" s="1" t="s">
        <v>730</v>
      </c>
      <c r="W304" s="1" t="s">
        <v>730</v>
      </c>
    </row>
    <row r="305" spans="1:23" x14ac:dyDescent="0.25">
      <c r="A305" s="1" t="s">
        <v>48</v>
      </c>
      <c r="B305" s="1" t="s">
        <v>1730</v>
      </c>
      <c r="C305" s="1" t="s">
        <v>50</v>
      </c>
      <c r="D305" s="1" t="s">
        <v>1731</v>
      </c>
      <c r="E305" s="1" t="s">
        <v>1732</v>
      </c>
      <c r="F305" s="22" t="s">
        <v>3</v>
      </c>
      <c r="G305" s="1" t="s">
        <v>6</v>
      </c>
      <c r="H305" s="1" t="s">
        <v>20</v>
      </c>
      <c r="I305" s="1" t="s">
        <v>25</v>
      </c>
      <c r="J305" s="1" t="s">
        <v>9</v>
      </c>
      <c r="K305" s="1" t="s">
        <v>12</v>
      </c>
      <c r="L305" s="1" t="s">
        <v>12</v>
      </c>
      <c r="M305" s="1" t="s">
        <v>53</v>
      </c>
      <c r="N305" s="1" t="s">
        <v>1828</v>
      </c>
      <c r="O305" s="1" t="s">
        <v>6235</v>
      </c>
      <c r="P305" s="1" t="s">
        <v>247</v>
      </c>
      <c r="Q305" s="1" t="s">
        <v>5530</v>
      </c>
      <c r="R305" s="7" t="s">
        <v>1789</v>
      </c>
      <c r="S305" s="8">
        <v>45719</v>
      </c>
      <c r="T305" s="1">
        <v>1</v>
      </c>
      <c r="U305" s="1" t="s">
        <v>1790</v>
      </c>
      <c r="V305" s="1" t="s">
        <v>1388</v>
      </c>
      <c r="W305" s="1" t="s">
        <v>1388</v>
      </c>
    </row>
    <row r="306" spans="1:23" x14ac:dyDescent="0.25">
      <c r="A306" s="1" t="s">
        <v>48</v>
      </c>
      <c r="B306" s="1" t="s">
        <v>1733</v>
      </c>
      <c r="C306" s="1" t="s">
        <v>50</v>
      </c>
      <c r="D306" s="1" t="s">
        <v>1734</v>
      </c>
      <c r="E306" s="1" t="s">
        <v>1735</v>
      </c>
      <c r="F306" s="22" t="s">
        <v>6085</v>
      </c>
      <c r="G306" s="1" t="s">
        <v>5</v>
      </c>
      <c r="H306" s="1" t="s">
        <v>20</v>
      </c>
      <c r="I306" s="1" t="s">
        <v>26</v>
      </c>
      <c r="J306" s="1" t="s">
        <v>9</v>
      </c>
      <c r="K306" s="1" t="s">
        <v>10</v>
      </c>
      <c r="L306" s="1" t="s">
        <v>16</v>
      </c>
      <c r="M306" s="1" t="s">
        <v>53</v>
      </c>
      <c r="N306" s="1" t="s">
        <v>188</v>
      </c>
      <c r="O306" s="1" t="s">
        <v>6037</v>
      </c>
      <c r="P306" s="1" t="s">
        <v>1519</v>
      </c>
      <c r="Q306" s="20" t="s">
        <v>5531</v>
      </c>
      <c r="R306" s="1" t="s">
        <v>1791</v>
      </c>
      <c r="S306" s="8">
        <v>45691</v>
      </c>
      <c r="T306" s="1">
        <v>2</v>
      </c>
      <c r="U306" s="1" t="s">
        <v>1792</v>
      </c>
      <c r="V306" s="1" t="s">
        <v>1792</v>
      </c>
      <c r="W306" s="1" t="s">
        <v>1388</v>
      </c>
    </row>
    <row r="307" spans="1:23" x14ac:dyDescent="0.25">
      <c r="A307" s="2" t="s">
        <v>48</v>
      </c>
      <c r="B307" s="2" t="s">
        <v>1736</v>
      </c>
      <c r="C307" s="2" t="s">
        <v>50</v>
      </c>
      <c r="D307" s="2" t="s">
        <v>1737</v>
      </c>
      <c r="E307" s="2" t="s">
        <v>1738</v>
      </c>
      <c r="F307" s="22" t="s">
        <v>5259</v>
      </c>
      <c r="G307" s="2" t="s">
        <v>6</v>
      </c>
      <c r="H307" s="2" t="s">
        <v>20</v>
      </c>
      <c r="I307" s="2" t="s">
        <v>26</v>
      </c>
      <c r="J307" s="2" t="s">
        <v>8</v>
      </c>
      <c r="K307" s="1" t="s">
        <v>13</v>
      </c>
      <c r="L307" s="1" t="s">
        <v>13</v>
      </c>
      <c r="M307" s="1" t="s">
        <v>53</v>
      </c>
      <c r="N307" s="14" t="s">
        <v>1664</v>
      </c>
      <c r="O307" s="1" t="s">
        <v>6037</v>
      </c>
      <c r="P307" s="2" t="s">
        <v>1793</v>
      </c>
      <c r="Q307" s="2" t="s">
        <v>5532</v>
      </c>
      <c r="R307" s="2" t="s">
        <v>1794</v>
      </c>
      <c r="S307" s="9">
        <v>45922</v>
      </c>
      <c r="T307" s="2">
        <v>3</v>
      </c>
      <c r="U307" s="2" t="s">
        <v>1795</v>
      </c>
      <c r="V307" s="2" t="s">
        <v>1795</v>
      </c>
      <c r="W307" s="2" t="s">
        <v>1795</v>
      </c>
    </row>
    <row r="308" spans="1:23" x14ac:dyDescent="0.25">
      <c r="A308" s="1" t="s">
        <v>48</v>
      </c>
      <c r="B308" s="1" t="s">
        <v>1739</v>
      </c>
      <c r="C308" s="1" t="s">
        <v>50</v>
      </c>
      <c r="D308" s="1" t="s">
        <v>1740</v>
      </c>
      <c r="E308" s="1" t="s">
        <v>1741</v>
      </c>
      <c r="F308" s="22" t="s">
        <v>6085</v>
      </c>
      <c r="G308" s="1" t="s">
        <v>7</v>
      </c>
      <c r="H308" s="1" t="s">
        <v>20</v>
      </c>
      <c r="I308" s="1" t="s">
        <v>26</v>
      </c>
      <c r="J308" s="1" t="s">
        <v>9</v>
      </c>
      <c r="K308" s="1" t="s">
        <v>13</v>
      </c>
      <c r="L308" s="1" t="s">
        <v>13</v>
      </c>
      <c r="M308" s="1" t="s">
        <v>53</v>
      </c>
      <c r="N308" s="11" t="s">
        <v>188</v>
      </c>
      <c r="O308" s="1" t="s">
        <v>6037</v>
      </c>
      <c r="P308" s="1" t="s">
        <v>1796</v>
      </c>
      <c r="Q308" s="1" t="s">
        <v>5533</v>
      </c>
      <c r="R308" s="1" t="s">
        <v>1797</v>
      </c>
      <c r="S308" s="8">
        <v>46113</v>
      </c>
      <c r="T308" s="1">
        <v>3</v>
      </c>
      <c r="U308" s="1" t="s">
        <v>1798</v>
      </c>
      <c r="V308" s="1" t="s">
        <v>1799</v>
      </c>
      <c r="W308" s="1" t="s">
        <v>1800</v>
      </c>
    </row>
    <row r="309" spans="1:23" x14ac:dyDescent="0.25">
      <c r="A309" s="1" t="s">
        <v>48</v>
      </c>
      <c r="B309" s="1" t="s">
        <v>1742</v>
      </c>
      <c r="C309" s="1" t="s">
        <v>50</v>
      </c>
      <c r="D309" s="1" t="s">
        <v>1743</v>
      </c>
      <c r="E309" s="1" t="s">
        <v>1744</v>
      </c>
      <c r="F309" s="22" t="s">
        <v>6085</v>
      </c>
      <c r="G309" s="1" t="s">
        <v>7</v>
      </c>
      <c r="H309" s="1" t="s">
        <v>22</v>
      </c>
      <c r="I309" s="1" t="s">
        <v>25</v>
      </c>
      <c r="J309" s="1" t="s">
        <v>9</v>
      </c>
      <c r="K309" s="1" t="s">
        <v>13</v>
      </c>
      <c r="L309" s="1" t="s">
        <v>16</v>
      </c>
      <c r="M309" s="1" t="s">
        <v>53</v>
      </c>
      <c r="N309" s="11" t="s">
        <v>188</v>
      </c>
      <c r="O309" s="1" t="s">
        <v>6037</v>
      </c>
      <c r="P309" s="1" t="s">
        <v>1801</v>
      </c>
      <c r="Q309" s="1" t="s">
        <v>5534</v>
      </c>
      <c r="R309" s="1" t="s">
        <v>1802</v>
      </c>
      <c r="S309" s="8">
        <v>46023</v>
      </c>
      <c r="T309" s="1">
        <v>2</v>
      </c>
      <c r="U309" s="1" t="s">
        <v>1803</v>
      </c>
      <c r="V309" s="1" t="s">
        <v>1804</v>
      </c>
      <c r="W309" s="1" t="s">
        <v>1388</v>
      </c>
    </row>
    <row r="310" spans="1:23" x14ac:dyDescent="0.25">
      <c r="A310" s="1" t="s">
        <v>48</v>
      </c>
      <c r="B310" s="1" t="s">
        <v>1745</v>
      </c>
      <c r="C310" s="1" t="s">
        <v>50</v>
      </c>
      <c r="D310" s="1" t="s">
        <v>1746</v>
      </c>
      <c r="E310" s="1" t="s">
        <v>1747</v>
      </c>
      <c r="F310" s="22" t="s">
        <v>6085</v>
      </c>
      <c r="G310" s="1" t="s">
        <v>7</v>
      </c>
      <c r="H310" s="1" t="s">
        <v>20</v>
      </c>
      <c r="I310" s="1" t="s">
        <v>26</v>
      </c>
      <c r="J310" s="1" t="s">
        <v>9</v>
      </c>
      <c r="K310" s="1" t="s">
        <v>12</v>
      </c>
      <c r="L310" s="1" t="s">
        <v>12</v>
      </c>
      <c r="M310" s="1" t="s">
        <v>53</v>
      </c>
      <c r="N310" s="11" t="s">
        <v>188</v>
      </c>
      <c r="O310" s="1" t="s">
        <v>6037</v>
      </c>
      <c r="P310" s="1" t="s">
        <v>247</v>
      </c>
      <c r="Q310" s="1" t="s">
        <v>5535</v>
      </c>
      <c r="R310" s="1" t="s">
        <v>1805</v>
      </c>
      <c r="S310" s="8">
        <v>46023</v>
      </c>
      <c r="T310" s="1">
        <v>2</v>
      </c>
      <c r="U310" s="1" t="s">
        <v>1806</v>
      </c>
      <c r="V310" s="1" t="s">
        <v>1807</v>
      </c>
      <c r="W310" s="1" t="s">
        <v>1388</v>
      </c>
    </row>
    <row r="311" spans="1:23" x14ac:dyDescent="0.25">
      <c r="A311" s="1" t="s">
        <v>48</v>
      </c>
      <c r="B311" s="1" t="s">
        <v>1748</v>
      </c>
      <c r="C311" s="1" t="s">
        <v>50</v>
      </c>
      <c r="D311" s="1" t="s">
        <v>1749</v>
      </c>
      <c r="E311" s="1" t="s">
        <v>1750</v>
      </c>
      <c r="F311" s="22" t="s">
        <v>3</v>
      </c>
      <c r="G311" s="1" t="s">
        <v>6</v>
      </c>
      <c r="H311" s="1" t="s">
        <v>20</v>
      </c>
      <c r="I311" s="1" t="s">
        <v>26</v>
      </c>
      <c r="J311" s="1" t="s">
        <v>9</v>
      </c>
      <c r="K311" s="1" t="s">
        <v>13</v>
      </c>
      <c r="L311" s="1" t="s">
        <v>13</v>
      </c>
      <c r="M311" s="1" t="s">
        <v>53</v>
      </c>
      <c r="N311" s="11" t="s">
        <v>188</v>
      </c>
      <c r="O311" s="1" t="s">
        <v>6037</v>
      </c>
      <c r="P311" s="1" t="s">
        <v>126</v>
      </c>
      <c r="Q311" s="1" t="s">
        <v>5536</v>
      </c>
      <c r="R311" s="7" t="s">
        <v>1808</v>
      </c>
      <c r="S311" s="8">
        <v>46035</v>
      </c>
      <c r="T311" s="1">
        <v>2</v>
      </c>
      <c r="U311" s="1" t="s">
        <v>1809</v>
      </c>
      <c r="V311" s="1" t="s">
        <v>1810</v>
      </c>
      <c r="W311" s="1" t="s">
        <v>1388</v>
      </c>
    </row>
    <row r="312" spans="1:23" x14ac:dyDescent="0.25">
      <c r="A312" s="1" t="s">
        <v>48</v>
      </c>
      <c r="B312" s="1" t="s">
        <v>1751</v>
      </c>
      <c r="C312" s="1" t="s">
        <v>50</v>
      </c>
      <c r="D312" s="1" t="s">
        <v>1752</v>
      </c>
      <c r="E312" s="1" t="s">
        <v>1753</v>
      </c>
      <c r="F312" s="22" t="s">
        <v>6085</v>
      </c>
      <c r="G312" s="1" t="s">
        <v>5</v>
      </c>
      <c r="H312" s="1" t="s">
        <v>20</v>
      </c>
      <c r="I312" s="1" t="s">
        <v>26</v>
      </c>
      <c r="J312" s="1" t="s">
        <v>9</v>
      </c>
      <c r="K312" s="1" t="s">
        <v>12</v>
      </c>
      <c r="L312" s="1" t="s">
        <v>12</v>
      </c>
      <c r="M312" s="1" t="s">
        <v>53</v>
      </c>
      <c r="N312" s="11" t="s">
        <v>188</v>
      </c>
      <c r="O312" s="1" t="s">
        <v>6037</v>
      </c>
      <c r="P312" s="1" t="s">
        <v>66</v>
      </c>
      <c r="Q312" s="1" t="s">
        <v>5537</v>
      </c>
      <c r="R312" s="1" t="s">
        <v>1811</v>
      </c>
      <c r="S312" s="8">
        <v>45691</v>
      </c>
      <c r="T312" s="1">
        <v>3</v>
      </c>
      <c r="U312" s="1" t="s">
        <v>1812</v>
      </c>
      <c r="V312" s="1" t="s">
        <v>1813</v>
      </c>
      <c r="W312" s="1" t="s">
        <v>1813</v>
      </c>
    </row>
    <row r="313" spans="1:23" x14ac:dyDescent="0.25">
      <c r="A313" s="1" t="s">
        <v>48</v>
      </c>
      <c r="B313" s="1" t="s">
        <v>1754</v>
      </c>
      <c r="C313" s="1" t="s">
        <v>50</v>
      </c>
      <c r="D313" s="1" t="s">
        <v>1755</v>
      </c>
      <c r="E313" s="1" t="s">
        <v>1756</v>
      </c>
      <c r="F313" s="22" t="s">
        <v>6085</v>
      </c>
      <c r="G313" s="1" t="s">
        <v>5</v>
      </c>
      <c r="H313" s="1" t="s">
        <v>20</v>
      </c>
      <c r="I313" s="1" t="s">
        <v>25</v>
      </c>
      <c r="J313" s="1" t="s">
        <v>9</v>
      </c>
      <c r="K313" s="1" t="s">
        <v>13</v>
      </c>
      <c r="L313" s="1" t="s">
        <v>13</v>
      </c>
      <c r="M313" s="1" t="s">
        <v>53</v>
      </c>
      <c r="N313" s="1" t="s">
        <v>188</v>
      </c>
      <c r="O313" s="1" t="s">
        <v>6037</v>
      </c>
      <c r="P313" s="1" t="s">
        <v>1814</v>
      </c>
      <c r="Q313" s="1" t="s">
        <v>4156</v>
      </c>
      <c r="R313" s="1" t="s">
        <v>1815</v>
      </c>
      <c r="S313" s="8">
        <v>45839</v>
      </c>
      <c r="T313" s="1">
        <v>3</v>
      </c>
      <c r="U313" s="1" t="s">
        <v>349</v>
      </c>
      <c r="V313" s="1" t="s">
        <v>1701</v>
      </c>
      <c r="W313" s="1" t="s">
        <v>614</v>
      </c>
    </row>
    <row r="314" spans="1:23" x14ac:dyDescent="0.25">
      <c r="A314" s="1" t="s">
        <v>48</v>
      </c>
      <c r="B314" s="1" t="s">
        <v>1757</v>
      </c>
      <c r="C314" s="1" t="s">
        <v>50</v>
      </c>
      <c r="D314" s="1" t="s">
        <v>1758</v>
      </c>
      <c r="E314" s="1" t="s">
        <v>1759</v>
      </c>
      <c r="F314" s="22" t="s">
        <v>5259</v>
      </c>
      <c r="G314" s="1" t="s">
        <v>5</v>
      </c>
      <c r="H314" s="1" t="s">
        <v>20</v>
      </c>
      <c r="I314" s="1" t="s">
        <v>26</v>
      </c>
      <c r="J314" s="1" t="s">
        <v>9</v>
      </c>
      <c r="K314" s="1" t="s">
        <v>13</v>
      </c>
      <c r="L314" s="1" t="s">
        <v>13</v>
      </c>
      <c r="M314" s="1" t="s">
        <v>53</v>
      </c>
      <c r="N314" s="1" t="s">
        <v>6027</v>
      </c>
      <c r="O314" s="1" t="s">
        <v>6037</v>
      </c>
      <c r="P314" s="1" t="s">
        <v>247</v>
      </c>
      <c r="Q314" s="1" t="s">
        <v>5440</v>
      </c>
      <c r="R314" s="1" t="s">
        <v>1816</v>
      </c>
      <c r="S314" s="8">
        <v>45474</v>
      </c>
      <c r="T314" s="1">
        <v>3</v>
      </c>
      <c r="U314" s="1" t="s">
        <v>1817</v>
      </c>
      <c r="V314" s="1" t="s">
        <v>1818</v>
      </c>
      <c r="W314" s="1" t="s">
        <v>1819</v>
      </c>
    </row>
    <row r="315" spans="1:23" x14ac:dyDescent="0.25">
      <c r="A315" s="1" t="s">
        <v>48</v>
      </c>
      <c r="B315" s="1" t="s">
        <v>1760</v>
      </c>
      <c r="C315" s="1" t="s">
        <v>50</v>
      </c>
      <c r="D315" s="1" t="s">
        <v>1761</v>
      </c>
      <c r="E315" s="1" t="s">
        <v>1762</v>
      </c>
      <c r="F315" s="22" t="s">
        <v>6085</v>
      </c>
      <c r="G315" s="1" t="s">
        <v>6</v>
      </c>
      <c r="H315" s="1" t="s">
        <v>20</v>
      </c>
      <c r="I315" s="1" t="s">
        <v>25</v>
      </c>
      <c r="J315" s="1" t="s">
        <v>9</v>
      </c>
      <c r="K315" s="1" t="s">
        <v>11</v>
      </c>
      <c r="L315" s="1" t="s">
        <v>11</v>
      </c>
      <c r="M315" s="1" t="s">
        <v>53</v>
      </c>
      <c r="N315" s="1" t="s">
        <v>188</v>
      </c>
      <c r="O315" s="1" t="s">
        <v>6037</v>
      </c>
      <c r="P315" s="1" t="s">
        <v>126</v>
      </c>
      <c r="Q315" s="1" t="s">
        <v>5538</v>
      </c>
      <c r="R315" s="1" t="s">
        <v>1820</v>
      </c>
      <c r="S315" s="8">
        <v>46055</v>
      </c>
      <c r="T315" s="1">
        <v>2</v>
      </c>
      <c r="U315" s="1" t="s">
        <v>1821</v>
      </c>
      <c r="V315" s="1" t="s">
        <v>1822</v>
      </c>
      <c r="W315" s="1" t="s">
        <v>1388</v>
      </c>
    </row>
    <row r="316" spans="1:23" x14ac:dyDescent="0.25">
      <c r="A316" s="1" t="s">
        <v>48</v>
      </c>
      <c r="B316" s="1" t="s">
        <v>1763</v>
      </c>
      <c r="C316" s="1" t="s">
        <v>50</v>
      </c>
      <c r="D316" s="1" t="s">
        <v>1764</v>
      </c>
      <c r="E316" s="1" t="s">
        <v>1765</v>
      </c>
      <c r="F316" s="22" t="s">
        <v>6085</v>
      </c>
      <c r="G316" s="1" t="s">
        <v>5</v>
      </c>
      <c r="H316" s="1" t="s">
        <v>24</v>
      </c>
      <c r="I316" s="1" t="s">
        <v>25</v>
      </c>
      <c r="J316" s="1" t="s">
        <v>9</v>
      </c>
      <c r="K316" s="1" t="s">
        <v>14</v>
      </c>
      <c r="L316" s="1" t="s">
        <v>14</v>
      </c>
      <c r="M316" s="1" t="s">
        <v>53</v>
      </c>
      <c r="N316" s="11" t="s">
        <v>188</v>
      </c>
      <c r="O316" s="1" t="s">
        <v>6037</v>
      </c>
      <c r="P316" s="1" t="s">
        <v>593</v>
      </c>
      <c r="Q316" s="1" t="s">
        <v>5380</v>
      </c>
      <c r="R316" s="1" t="s">
        <v>1823</v>
      </c>
      <c r="S316" s="8">
        <v>45809</v>
      </c>
      <c r="T316" s="1">
        <v>3</v>
      </c>
      <c r="U316" s="1" t="s">
        <v>1824</v>
      </c>
      <c r="V316" s="1" t="s">
        <v>1825</v>
      </c>
      <c r="W316" s="1" t="s">
        <v>1826</v>
      </c>
    </row>
    <row r="317" spans="1:23" x14ac:dyDescent="0.25">
      <c r="A317" s="1" t="s">
        <v>48</v>
      </c>
      <c r="B317" s="1" t="s">
        <v>1766</v>
      </c>
      <c r="C317" s="1" t="s">
        <v>50</v>
      </c>
      <c r="D317" s="1" t="s">
        <v>1767</v>
      </c>
      <c r="E317" s="1" t="s">
        <v>1768</v>
      </c>
      <c r="F317" s="22" t="s">
        <v>6085</v>
      </c>
      <c r="G317" s="1" t="s">
        <v>7</v>
      </c>
      <c r="H317" s="1" t="s">
        <v>20</v>
      </c>
      <c r="I317" s="1" t="s">
        <v>26</v>
      </c>
      <c r="J317" s="1" t="s">
        <v>9</v>
      </c>
      <c r="K317" s="1" t="s">
        <v>19</v>
      </c>
      <c r="L317" s="1" t="s">
        <v>19</v>
      </c>
      <c r="M317" s="1" t="s">
        <v>53</v>
      </c>
      <c r="N317" s="1" t="s">
        <v>5248</v>
      </c>
      <c r="O317" s="1" t="s">
        <v>6235</v>
      </c>
      <c r="P317" s="1" t="s">
        <v>66</v>
      </c>
      <c r="Q317" s="1" t="s">
        <v>5539</v>
      </c>
      <c r="R317" s="1" t="s">
        <v>1827</v>
      </c>
      <c r="S317" s="8">
        <v>45874</v>
      </c>
      <c r="T317" s="1">
        <v>1</v>
      </c>
      <c r="U317" s="1" t="s">
        <v>810</v>
      </c>
      <c r="V317" s="1" t="s">
        <v>1388</v>
      </c>
      <c r="W317" s="1" t="s">
        <v>1388</v>
      </c>
    </row>
    <row r="318" spans="1:23" x14ac:dyDescent="0.25">
      <c r="A318" s="1" t="s">
        <v>48</v>
      </c>
      <c r="B318" s="1" t="s">
        <v>1831</v>
      </c>
      <c r="C318" s="1" t="s">
        <v>50</v>
      </c>
      <c r="D318" s="1" t="s">
        <v>1832</v>
      </c>
      <c r="E318" s="1" t="s">
        <v>1833</v>
      </c>
      <c r="F318" s="22" t="s">
        <v>6085</v>
      </c>
      <c r="G318" s="1" t="s">
        <v>5</v>
      </c>
      <c r="H318" s="1" t="s">
        <v>24</v>
      </c>
      <c r="I318" s="1" t="s">
        <v>25</v>
      </c>
      <c r="J318" s="1" t="s">
        <v>9</v>
      </c>
      <c r="K318" s="1" t="s">
        <v>16</v>
      </c>
      <c r="L318" s="1" t="s">
        <v>16</v>
      </c>
      <c r="M318" s="1" t="s">
        <v>53</v>
      </c>
      <c r="N318" s="11" t="s">
        <v>188</v>
      </c>
      <c r="O318" s="1" t="s">
        <v>6037</v>
      </c>
      <c r="P318" s="1" t="s">
        <v>3719</v>
      </c>
      <c r="Q318" s="1" t="s">
        <v>5540</v>
      </c>
      <c r="R318" s="1" t="s">
        <v>3720</v>
      </c>
      <c r="S318" s="8">
        <v>46054</v>
      </c>
      <c r="T318" s="1">
        <v>3</v>
      </c>
      <c r="U318" s="1" t="s">
        <v>3721</v>
      </c>
      <c r="V318" s="1" t="s">
        <v>3722</v>
      </c>
      <c r="W318" s="1" t="s">
        <v>3723</v>
      </c>
    </row>
    <row r="319" spans="1:23" x14ac:dyDescent="0.25">
      <c r="A319" s="1" t="s">
        <v>48</v>
      </c>
      <c r="B319" s="1" t="s">
        <v>1834</v>
      </c>
      <c r="C319" s="1" t="s">
        <v>50</v>
      </c>
      <c r="D319" s="1" t="s">
        <v>1835</v>
      </c>
      <c r="E319" s="1" t="s">
        <v>1836</v>
      </c>
      <c r="F319" s="22" t="s">
        <v>6085</v>
      </c>
      <c r="G319" s="1" t="s">
        <v>6</v>
      </c>
      <c r="H319" s="1" t="s">
        <v>20</v>
      </c>
      <c r="I319" s="1" t="s">
        <v>26</v>
      </c>
      <c r="J319" s="1" t="s">
        <v>9</v>
      </c>
      <c r="K319" s="1" t="s">
        <v>13</v>
      </c>
      <c r="L319" s="1" t="s">
        <v>13</v>
      </c>
      <c r="M319" s="1" t="s">
        <v>53</v>
      </c>
      <c r="N319" s="1" t="s">
        <v>188</v>
      </c>
      <c r="O319" s="1" t="s">
        <v>6037</v>
      </c>
      <c r="P319" s="1" t="s">
        <v>1456</v>
      </c>
      <c r="Q319" s="1" t="s">
        <v>5541</v>
      </c>
      <c r="R319" s="1" t="s">
        <v>3724</v>
      </c>
      <c r="S319" s="8">
        <v>46039</v>
      </c>
      <c r="T319" s="1">
        <v>2</v>
      </c>
      <c r="U319" s="1" t="s">
        <v>3725</v>
      </c>
      <c r="V319" s="1" t="s">
        <v>3725</v>
      </c>
      <c r="W319" s="1" t="s">
        <v>1388</v>
      </c>
    </row>
    <row r="320" spans="1:23" x14ac:dyDescent="0.25">
      <c r="A320" s="1" t="s">
        <v>48</v>
      </c>
      <c r="B320" s="1" t="s">
        <v>1837</v>
      </c>
      <c r="C320" s="1" t="s">
        <v>50</v>
      </c>
      <c r="D320" s="1" t="s">
        <v>1838</v>
      </c>
      <c r="E320" s="1" t="s">
        <v>1839</v>
      </c>
      <c r="F320" s="22" t="s">
        <v>5259</v>
      </c>
      <c r="G320" s="1" t="s">
        <v>6</v>
      </c>
      <c r="H320" s="1" t="s">
        <v>21</v>
      </c>
      <c r="I320" s="1" t="s">
        <v>25</v>
      </c>
      <c r="J320" s="1" t="s">
        <v>8</v>
      </c>
      <c r="K320" s="1" t="s">
        <v>13</v>
      </c>
      <c r="L320" s="1" t="s">
        <v>17</v>
      </c>
      <c r="M320" s="1" t="s">
        <v>53</v>
      </c>
      <c r="N320" s="14" t="s">
        <v>1664</v>
      </c>
      <c r="O320" s="1" t="s">
        <v>6235</v>
      </c>
      <c r="P320" s="1" t="s">
        <v>3726</v>
      </c>
      <c r="Q320" s="1" t="s">
        <v>5542</v>
      </c>
      <c r="R320" s="1" t="s">
        <v>3727</v>
      </c>
      <c r="S320" s="9">
        <v>45922</v>
      </c>
      <c r="T320" s="1">
        <v>3</v>
      </c>
      <c r="U320" s="1" t="s">
        <v>3728</v>
      </c>
      <c r="V320" s="1" t="s">
        <v>3729</v>
      </c>
      <c r="W320" s="1" t="s">
        <v>3730</v>
      </c>
    </row>
    <row r="321" spans="1:23" x14ac:dyDescent="0.25">
      <c r="A321" s="1" t="s">
        <v>48</v>
      </c>
      <c r="B321" s="1" t="s">
        <v>1840</v>
      </c>
      <c r="C321" s="1" t="s">
        <v>50</v>
      </c>
      <c r="D321" s="1" t="s">
        <v>1841</v>
      </c>
      <c r="E321" s="1" t="s">
        <v>1842</v>
      </c>
      <c r="F321" s="22" t="s">
        <v>3</v>
      </c>
      <c r="G321" s="1" t="s">
        <v>6</v>
      </c>
      <c r="H321" s="1" t="s">
        <v>20</v>
      </c>
      <c r="I321" s="1" t="s">
        <v>26</v>
      </c>
      <c r="J321" s="1" t="s">
        <v>9</v>
      </c>
      <c r="K321" s="1" t="s">
        <v>11</v>
      </c>
      <c r="L321" s="1" t="s">
        <v>11</v>
      </c>
      <c r="M321" s="1" t="s">
        <v>53</v>
      </c>
      <c r="N321" s="1" t="s">
        <v>1015</v>
      </c>
      <c r="O321" s="1" t="s">
        <v>6235</v>
      </c>
      <c r="P321" s="1" t="s">
        <v>126</v>
      </c>
      <c r="Q321" s="1" t="s">
        <v>5543</v>
      </c>
      <c r="R321" s="7" t="s">
        <v>3731</v>
      </c>
      <c r="S321" s="8">
        <v>46048</v>
      </c>
      <c r="T321" s="1">
        <v>2</v>
      </c>
      <c r="U321" s="1" t="s">
        <v>1614</v>
      </c>
      <c r="V321" s="1" t="s">
        <v>1614</v>
      </c>
      <c r="W321" s="1" t="s">
        <v>1388</v>
      </c>
    </row>
    <row r="322" spans="1:23" x14ac:dyDescent="0.25">
      <c r="A322" s="1" t="s">
        <v>48</v>
      </c>
      <c r="B322" s="1" t="s">
        <v>1843</v>
      </c>
      <c r="C322" s="1" t="s">
        <v>50</v>
      </c>
      <c r="D322" s="1" t="s">
        <v>1844</v>
      </c>
      <c r="E322" s="1" t="s">
        <v>1845</v>
      </c>
      <c r="F322" s="22" t="s">
        <v>6085</v>
      </c>
      <c r="G322" s="1" t="s">
        <v>5</v>
      </c>
      <c r="H322" s="1" t="s">
        <v>24</v>
      </c>
      <c r="I322" s="1" t="s">
        <v>26</v>
      </c>
      <c r="J322" s="1" t="s">
        <v>9</v>
      </c>
      <c r="K322" s="1" t="s">
        <v>13</v>
      </c>
      <c r="L322" s="1" t="s">
        <v>13</v>
      </c>
      <c r="M322" s="1" t="s">
        <v>53</v>
      </c>
      <c r="N322" s="11" t="s">
        <v>188</v>
      </c>
      <c r="O322" s="1" t="s">
        <v>6037</v>
      </c>
      <c r="P322" s="1" t="s">
        <v>60</v>
      </c>
      <c r="Q322" s="1" t="s">
        <v>5544</v>
      </c>
      <c r="R322" s="1" t="s">
        <v>3732</v>
      </c>
      <c r="S322" s="8">
        <v>46023</v>
      </c>
      <c r="T322" s="1">
        <v>3</v>
      </c>
      <c r="U322" s="1" t="s">
        <v>3733</v>
      </c>
      <c r="V322" s="1" t="s">
        <v>3734</v>
      </c>
      <c r="W322" s="1" t="s">
        <v>3735</v>
      </c>
    </row>
    <row r="323" spans="1:23" x14ac:dyDescent="0.25">
      <c r="A323" s="1" t="s">
        <v>48</v>
      </c>
      <c r="B323" s="1" t="s">
        <v>1846</v>
      </c>
      <c r="C323" s="1" t="s">
        <v>50</v>
      </c>
      <c r="D323" s="1" t="s">
        <v>1847</v>
      </c>
      <c r="E323" s="1" t="s">
        <v>1848</v>
      </c>
      <c r="F323" s="22" t="s">
        <v>6085</v>
      </c>
      <c r="G323" s="1" t="s">
        <v>5</v>
      </c>
      <c r="H323" s="1" t="s">
        <v>20</v>
      </c>
      <c r="I323" s="1" t="s">
        <v>26</v>
      </c>
      <c r="J323" s="1" t="s">
        <v>9</v>
      </c>
      <c r="K323" s="1" t="s">
        <v>16</v>
      </c>
      <c r="L323" s="1" t="s">
        <v>16</v>
      </c>
      <c r="M323" s="1" t="s">
        <v>53</v>
      </c>
      <c r="N323" s="1" t="s">
        <v>188</v>
      </c>
      <c r="O323" s="1" t="s">
        <v>6235</v>
      </c>
      <c r="P323" s="1" t="s">
        <v>656</v>
      </c>
      <c r="Q323" s="1" t="s">
        <v>5545</v>
      </c>
      <c r="R323" s="1" t="s">
        <v>3736</v>
      </c>
      <c r="S323" s="8">
        <v>45722</v>
      </c>
      <c r="T323" s="1">
        <v>3</v>
      </c>
      <c r="U323" s="1" t="s">
        <v>3737</v>
      </c>
      <c r="V323" s="1" t="s">
        <v>3738</v>
      </c>
      <c r="W323" s="1" t="s">
        <v>3739</v>
      </c>
    </row>
    <row r="324" spans="1:23" x14ac:dyDescent="0.25">
      <c r="A324" s="1" t="s">
        <v>48</v>
      </c>
      <c r="B324" s="1" t="s">
        <v>1849</v>
      </c>
      <c r="C324" s="1" t="s">
        <v>50</v>
      </c>
      <c r="D324" s="1" t="s">
        <v>1850</v>
      </c>
      <c r="E324" s="1" t="s">
        <v>1851</v>
      </c>
      <c r="F324" s="22" t="s">
        <v>3</v>
      </c>
      <c r="G324" s="1" t="s">
        <v>7</v>
      </c>
      <c r="H324" s="1" t="s">
        <v>20</v>
      </c>
      <c r="I324" s="1" t="s">
        <v>26</v>
      </c>
      <c r="J324" s="1" t="s">
        <v>9</v>
      </c>
      <c r="K324" s="1" t="s">
        <v>11</v>
      </c>
      <c r="L324" s="1" t="s">
        <v>11</v>
      </c>
      <c r="M324" s="1" t="s">
        <v>53</v>
      </c>
      <c r="N324" s="1" t="s">
        <v>1014</v>
      </c>
      <c r="O324" s="1" t="s">
        <v>6037</v>
      </c>
      <c r="P324" s="1" t="s">
        <v>66</v>
      </c>
      <c r="Q324" s="1" t="s">
        <v>5546</v>
      </c>
      <c r="R324" s="7" t="s">
        <v>3740</v>
      </c>
      <c r="S324" s="8">
        <v>46023</v>
      </c>
      <c r="T324" s="1">
        <v>2</v>
      </c>
      <c r="U324" s="1" t="s">
        <v>3741</v>
      </c>
      <c r="V324" s="1" t="s">
        <v>3741</v>
      </c>
      <c r="W324" s="1" t="s">
        <v>1388</v>
      </c>
    </row>
    <row r="325" spans="1:23" x14ac:dyDescent="0.25">
      <c r="A325" s="1" t="s">
        <v>48</v>
      </c>
      <c r="B325" s="1" t="s">
        <v>1852</v>
      </c>
      <c r="C325" s="1" t="s">
        <v>50</v>
      </c>
      <c r="D325" s="1" t="s">
        <v>1853</v>
      </c>
      <c r="E325" s="1" t="s">
        <v>1854</v>
      </c>
      <c r="F325" s="22" t="s">
        <v>5259</v>
      </c>
      <c r="G325" s="1" t="s">
        <v>6</v>
      </c>
      <c r="H325" s="1" t="s">
        <v>20</v>
      </c>
      <c r="I325" s="1" t="s">
        <v>25</v>
      </c>
      <c r="J325" s="1" t="s">
        <v>8</v>
      </c>
      <c r="K325" s="1" t="s">
        <v>18</v>
      </c>
      <c r="L325" s="1" t="s">
        <v>18</v>
      </c>
      <c r="M325" s="1" t="s">
        <v>53</v>
      </c>
      <c r="N325" s="14" t="s">
        <v>1664</v>
      </c>
      <c r="O325" s="1" t="s">
        <v>6037</v>
      </c>
      <c r="P325" s="1" t="s">
        <v>3742</v>
      </c>
      <c r="Q325" s="1" t="s">
        <v>5547</v>
      </c>
      <c r="R325" s="10" t="s">
        <v>3743</v>
      </c>
      <c r="S325" s="9">
        <v>45826</v>
      </c>
      <c r="T325" s="1">
        <v>2</v>
      </c>
      <c r="U325" s="1" t="s">
        <v>3744</v>
      </c>
      <c r="V325" s="1" t="s">
        <v>3744</v>
      </c>
      <c r="W325" s="1" t="s">
        <v>1388</v>
      </c>
    </row>
    <row r="326" spans="1:23" x14ac:dyDescent="0.25">
      <c r="A326" s="1" t="s">
        <v>48</v>
      </c>
      <c r="B326" s="1" t="s">
        <v>1855</v>
      </c>
      <c r="C326" s="1" t="s">
        <v>50</v>
      </c>
      <c r="D326" s="1" t="s">
        <v>1856</v>
      </c>
      <c r="E326" s="1" t="s">
        <v>1857</v>
      </c>
      <c r="F326" s="22" t="s">
        <v>3</v>
      </c>
      <c r="G326" s="1" t="s">
        <v>5</v>
      </c>
      <c r="H326" s="1" t="s">
        <v>20</v>
      </c>
      <c r="I326" s="1" t="s">
        <v>25</v>
      </c>
      <c r="J326" s="1" t="s">
        <v>9</v>
      </c>
      <c r="K326" s="1" t="s">
        <v>11</v>
      </c>
      <c r="L326" s="1" t="s">
        <v>11</v>
      </c>
      <c r="M326" s="1" t="s">
        <v>53</v>
      </c>
      <c r="N326" s="1" t="s">
        <v>5239</v>
      </c>
      <c r="O326" s="1" t="s">
        <v>6235</v>
      </c>
      <c r="P326" s="1" t="s">
        <v>593</v>
      </c>
      <c r="Q326" s="1" t="s">
        <v>5548</v>
      </c>
      <c r="R326" s="7" t="s">
        <v>3745</v>
      </c>
      <c r="S326" s="8">
        <v>46055</v>
      </c>
      <c r="T326" s="1">
        <v>3</v>
      </c>
      <c r="U326" s="1" t="s">
        <v>3746</v>
      </c>
      <c r="V326" s="1" t="s">
        <v>3747</v>
      </c>
      <c r="W326" s="1" t="s">
        <v>3748</v>
      </c>
    </row>
    <row r="327" spans="1:23" x14ac:dyDescent="0.25">
      <c r="A327" s="1" t="s">
        <v>48</v>
      </c>
      <c r="B327" s="1" t="s">
        <v>1858</v>
      </c>
      <c r="C327" s="1" t="s">
        <v>50</v>
      </c>
      <c r="D327" s="1" t="s">
        <v>1859</v>
      </c>
      <c r="E327" s="1" t="s">
        <v>1860</v>
      </c>
      <c r="F327" s="22" t="s">
        <v>6085</v>
      </c>
      <c r="G327" s="1" t="s">
        <v>6</v>
      </c>
      <c r="H327" s="1" t="s">
        <v>20</v>
      </c>
      <c r="I327" s="1" t="s">
        <v>25</v>
      </c>
      <c r="J327" s="1" t="s">
        <v>9</v>
      </c>
      <c r="K327" s="1" t="s">
        <v>10</v>
      </c>
      <c r="L327" s="1" t="s">
        <v>16</v>
      </c>
      <c r="M327" s="1" t="s">
        <v>53</v>
      </c>
      <c r="N327" s="1" t="s">
        <v>188</v>
      </c>
      <c r="O327" s="1" t="s">
        <v>6037</v>
      </c>
      <c r="P327" s="1" t="s">
        <v>162</v>
      </c>
      <c r="Q327" s="18" t="s">
        <v>5549</v>
      </c>
      <c r="R327" s="1" t="s">
        <v>3749</v>
      </c>
      <c r="S327" s="8">
        <v>45689</v>
      </c>
      <c r="T327" s="1">
        <v>2</v>
      </c>
      <c r="U327" s="1" t="s">
        <v>236</v>
      </c>
      <c r="V327" s="1" t="s">
        <v>1388</v>
      </c>
      <c r="W327" s="1" t="s">
        <v>1388</v>
      </c>
    </row>
    <row r="328" spans="1:23" x14ac:dyDescent="0.25">
      <c r="A328" s="1" t="s">
        <v>48</v>
      </c>
      <c r="B328" s="1" t="s">
        <v>1861</v>
      </c>
      <c r="C328" s="1" t="s">
        <v>50</v>
      </c>
      <c r="D328" s="1" t="s">
        <v>1862</v>
      </c>
      <c r="E328" s="1" t="s">
        <v>1863</v>
      </c>
      <c r="F328" s="22" t="s">
        <v>3</v>
      </c>
      <c r="G328" s="1" t="s">
        <v>6</v>
      </c>
      <c r="H328" s="1" t="s">
        <v>20</v>
      </c>
      <c r="I328" s="1" t="s">
        <v>26</v>
      </c>
      <c r="J328" s="1" t="s">
        <v>9</v>
      </c>
      <c r="K328" s="1" t="s">
        <v>12</v>
      </c>
      <c r="L328" s="1" t="s">
        <v>12</v>
      </c>
      <c r="M328" s="1" t="s">
        <v>53</v>
      </c>
      <c r="N328" s="1" t="s">
        <v>5244</v>
      </c>
      <c r="O328" s="1" t="s">
        <v>6235</v>
      </c>
      <c r="P328" s="1" t="s">
        <v>3750</v>
      </c>
      <c r="Q328" s="1" t="s">
        <v>5550</v>
      </c>
      <c r="R328" s="7" t="s">
        <v>3751</v>
      </c>
      <c r="S328" s="8">
        <v>45659</v>
      </c>
      <c r="T328" s="1">
        <v>2</v>
      </c>
      <c r="U328" s="1" t="s">
        <v>3752</v>
      </c>
      <c r="V328" s="1" t="s">
        <v>3752</v>
      </c>
      <c r="W328" s="1" t="s">
        <v>1388</v>
      </c>
    </row>
    <row r="329" spans="1:23" x14ac:dyDescent="0.25">
      <c r="A329" s="1" t="s">
        <v>48</v>
      </c>
      <c r="B329" s="1" t="s">
        <v>1864</v>
      </c>
      <c r="C329" s="1" t="s">
        <v>50</v>
      </c>
      <c r="D329" s="1" t="s">
        <v>1865</v>
      </c>
      <c r="E329" s="1" t="s">
        <v>1866</v>
      </c>
      <c r="F329" s="22" t="s">
        <v>6085</v>
      </c>
      <c r="G329" s="1" t="s">
        <v>6</v>
      </c>
      <c r="H329" s="1" t="s">
        <v>20</v>
      </c>
      <c r="I329" s="1" t="s">
        <v>25</v>
      </c>
      <c r="J329" s="1" t="s">
        <v>9</v>
      </c>
      <c r="K329" s="1" t="s">
        <v>13</v>
      </c>
      <c r="L329" s="1" t="s">
        <v>16</v>
      </c>
      <c r="M329" s="1" t="s">
        <v>53</v>
      </c>
      <c r="N329" s="1" t="s">
        <v>188</v>
      </c>
      <c r="O329" s="1" t="s">
        <v>6037</v>
      </c>
      <c r="P329" s="1" t="s">
        <v>107</v>
      </c>
      <c r="Q329" s="1" t="s">
        <v>5281</v>
      </c>
      <c r="R329" s="1" t="s">
        <v>3753</v>
      </c>
      <c r="S329" s="8">
        <v>45726</v>
      </c>
      <c r="T329" s="1">
        <v>1</v>
      </c>
      <c r="U329" s="1" t="s">
        <v>433</v>
      </c>
      <c r="V329" s="1" t="s">
        <v>1388</v>
      </c>
      <c r="W329" s="1" t="s">
        <v>1388</v>
      </c>
    </row>
    <row r="330" spans="1:23" x14ac:dyDescent="0.25">
      <c r="A330" s="1" t="s">
        <v>48</v>
      </c>
      <c r="B330" s="1" t="s">
        <v>1867</v>
      </c>
      <c r="C330" s="1" t="s">
        <v>50</v>
      </c>
      <c r="D330" s="1" t="s">
        <v>1868</v>
      </c>
      <c r="E330" s="1" t="s">
        <v>1869</v>
      </c>
      <c r="F330" s="22" t="s">
        <v>3</v>
      </c>
      <c r="G330" s="1" t="s">
        <v>5</v>
      </c>
      <c r="H330" s="1" t="s">
        <v>20</v>
      </c>
      <c r="I330" s="1" t="s">
        <v>26</v>
      </c>
      <c r="J330" s="1" t="s">
        <v>9</v>
      </c>
      <c r="K330" s="1" t="s">
        <v>14</v>
      </c>
      <c r="L330" s="1" t="s">
        <v>14</v>
      </c>
      <c r="M330" s="1" t="s">
        <v>53</v>
      </c>
      <c r="N330" s="11" t="s">
        <v>188</v>
      </c>
      <c r="O330" s="1" t="s">
        <v>6037</v>
      </c>
      <c r="P330" s="1" t="s">
        <v>79</v>
      </c>
      <c r="Q330" s="1" t="s">
        <v>5551</v>
      </c>
      <c r="R330" s="7" t="s">
        <v>3754</v>
      </c>
      <c r="S330" s="8">
        <v>46035</v>
      </c>
      <c r="T330" s="1">
        <v>2</v>
      </c>
      <c r="U330" s="1" t="s">
        <v>128</v>
      </c>
      <c r="V330" s="1" t="s">
        <v>128</v>
      </c>
      <c r="W330" s="1" t="s">
        <v>1388</v>
      </c>
    </row>
    <row r="331" spans="1:23" x14ac:dyDescent="0.25">
      <c r="A331" s="1" t="s">
        <v>48</v>
      </c>
      <c r="B331" s="1" t="s">
        <v>1870</v>
      </c>
      <c r="C331" s="1" t="s">
        <v>50</v>
      </c>
      <c r="D331" s="1" t="s">
        <v>1871</v>
      </c>
      <c r="E331" s="1" t="s">
        <v>1872</v>
      </c>
      <c r="F331" s="22" t="s">
        <v>3</v>
      </c>
      <c r="G331" s="1" t="s">
        <v>6</v>
      </c>
      <c r="H331" s="1" t="s">
        <v>20</v>
      </c>
      <c r="I331" s="1" t="s">
        <v>25</v>
      </c>
      <c r="J331" s="1" t="s">
        <v>9</v>
      </c>
      <c r="K331" s="1" t="s">
        <v>11</v>
      </c>
      <c r="L331" s="1" t="s">
        <v>11</v>
      </c>
      <c r="M331" s="1" t="s">
        <v>53</v>
      </c>
      <c r="N331" s="1" t="s">
        <v>5224</v>
      </c>
      <c r="O331" s="1" t="s">
        <v>6235</v>
      </c>
      <c r="P331" s="1" t="s">
        <v>66</v>
      </c>
      <c r="Q331" s="1" t="s">
        <v>5552</v>
      </c>
      <c r="R331" s="7" t="s">
        <v>3755</v>
      </c>
      <c r="S331" s="8">
        <v>46034</v>
      </c>
      <c r="T331" s="1">
        <v>2</v>
      </c>
      <c r="U331" s="1" t="s">
        <v>3756</v>
      </c>
      <c r="V331" s="1" t="s">
        <v>3756</v>
      </c>
      <c r="W331" s="1" t="s">
        <v>1388</v>
      </c>
    </row>
    <row r="332" spans="1:23" x14ac:dyDescent="0.25">
      <c r="A332" s="1" t="s">
        <v>48</v>
      </c>
      <c r="B332" s="1" t="s">
        <v>1873</v>
      </c>
      <c r="C332" s="1" t="s">
        <v>50</v>
      </c>
      <c r="D332" s="1" t="s">
        <v>1874</v>
      </c>
      <c r="E332" s="1" t="s">
        <v>1875</v>
      </c>
      <c r="F332" s="22" t="s">
        <v>6085</v>
      </c>
      <c r="G332" s="1" t="s">
        <v>6</v>
      </c>
      <c r="H332" s="1" t="s">
        <v>24</v>
      </c>
      <c r="I332" s="1" t="s">
        <v>25</v>
      </c>
      <c r="J332" s="1" t="s">
        <v>9</v>
      </c>
      <c r="K332" s="1" t="s">
        <v>13</v>
      </c>
      <c r="L332" s="1" t="s">
        <v>13</v>
      </c>
      <c r="M332" s="1" t="s">
        <v>53</v>
      </c>
      <c r="N332" s="11" t="s">
        <v>188</v>
      </c>
      <c r="O332" s="1" t="s">
        <v>6037</v>
      </c>
      <c r="P332" s="1" t="s">
        <v>126</v>
      </c>
      <c r="Q332" s="1" t="s">
        <v>5553</v>
      </c>
      <c r="R332" s="1" t="s">
        <v>3757</v>
      </c>
      <c r="S332" s="8">
        <v>45669</v>
      </c>
      <c r="T332" s="1">
        <v>1</v>
      </c>
      <c r="U332" s="1" t="s">
        <v>3758</v>
      </c>
      <c r="V332" s="1" t="s">
        <v>1388</v>
      </c>
      <c r="W332" s="1" t="s">
        <v>1388</v>
      </c>
    </row>
    <row r="333" spans="1:23" x14ac:dyDescent="0.25">
      <c r="A333" s="1" t="s">
        <v>48</v>
      </c>
      <c r="B333" s="1" t="s">
        <v>1876</v>
      </c>
      <c r="C333" s="1" t="s">
        <v>50</v>
      </c>
      <c r="D333" s="1" t="s">
        <v>1877</v>
      </c>
      <c r="E333" s="1" t="s">
        <v>1878</v>
      </c>
      <c r="F333" s="22" t="s">
        <v>6085</v>
      </c>
      <c r="G333" s="1" t="s">
        <v>6</v>
      </c>
      <c r="H333" s="1" t="s">
        <v>20</v>
      </c>
      <c r="I333" s="1" t="s">
        <v>25</v>
      </c>
      <c r="J333" s="1" t="s">
        <v>9</v>
      </c>
      <c r="K333" s="1" t="s">
        <v>11</v>
      </c>
      <c r="L333" s="1" t="s">
        <v>11</v>
      </c>
      <c r="M333" s="1" t="s">
        <v>53</v>
      </c>
      <c r="N333" s="1" t="s">
        <v>188</v>
      </c>
      <c r="O333" s="1" t="s">
        <v>6037</v>
      </c>
      <c r="P333" s="1" t="s">
        <v>3759</v>
      </c>
      <c r="Q333" s="1" t="s">
        <v>5554</v>
      </c>
      <c r="R333" s="1" t="s">
        <v>3760</v>
      </c>
      <c r="S333" s="8">
        <v>46023</v>
      </c>
      <c r="T333" s="1">
        <v>2</v>
      </c>
      <c r="U333" s="1" t="s">
        <v>1407</v>
      </c>
      <c r="V333" s="1" t="s">
        <v>483</v>
      </c>
      <c r="W333" s="1" t="s">
        <v>1388</v>
      </c>
    </row>
    <row r="334" spans="1:23" x14ac:dyDescent="0.25">
      <c r="A334" s="1" t="s">
        <v>48</v>
      </c>
      <c r="B334" s="1" t="s">
        <v>1879</v>
      </c>
      <c r="C334" s="1" t="s">
        <v>50</v>
      </c>
      <c r="D334" s="1" t="s">
        <v>1880</v>
      </c>
      <c r="E334" s="1" t="s">
        <v>1881</v>
      </c>
      <c r="F334" s="22" t="s">
        <v>6085</v>
      </c>
      <c r="G334" s="1" t="s">
        <v>6</v>
      </c>
      <c r="H334" s="1" t="s">
        <v>24</v>
      </c>
      <c r="I334" s="1" t="s">
        <v>25</v>
      </c>
      <c r="J334" s="1" t="s">
        <v>9</v>
      </c>
      <c r="K334" s="1" t="s">
        <v>13</v>
      </c>
      <c r="L334" s="1" t="s">
        <v>13</v>
      </c>
      <c r="M334" s="1" t="s">
        <v>53</v>
      </c>
      <c r="N334" s="11" t="s">
        <v>2091</v>
      </c>
      <c r="O334" s="1" t="s">
        <v>6037</v>
      </c>
      <c r="P334" s="1" t="s">
        <v>656</v>
      </c>
      <c r="Q334" s="1" t="s">
        <v>5555</v>
      </c>
      <c r="R334" s="1" t="s">
        <v>3761</v>
      </c>
      <c r="S334" s="8">
        <v>45658</v>
      </c>
      <c r="T334" s="1">
        <v>1</v>
      </c>
      <c r="U334" s="1" t="s">
        <v>3762</v>
      </c>
      <c r="V334" s="1" t="s">
        <v>1388</v>
      </c>
      <c r="W334" s="1" t="s">
        <v>1388</v>
      </c>
    </row>
    <row r="335" spans="1:23" x14ac:dyDescent="0.25">
      <c r="A335" s="1" t="s">
        <v>48</v>
      </c>
      <c r="B335" s="1" t="s">
        <v>1882</v>
      </c>
      <c r="C335" s="1" t="s">
        <v>50</v>
      </c>
      <c r="D335" s="1" t="s">
        <v>1883</v>
      </c>
      <c r="E335" s="1" t="s">
        <v>1884</v>
      </c>
      <c r="F335" s="22" t="s">
        <v>6085</v>
      </c>
      <c r="G335" s="1" t="s">
        <v>6</v>
      </c>
      <c r="H335" s="1" t="s">
        <v>20</v>
      </c>
      <c r="I335" s="1" t="s">
        <v>25</v>
      </c>
      <c r="J335" s="1" t="s">
        <v>9</v>
      </c>
      <c r="K335" s="1" t="s">
        <v>12</v>
      </c>
      <c r="L335" s="1" t="s">
        <v>12</v>
      </c>
      <c r="M335" s="1" t="s">
        <v>53</v>
      </c>
      <c r="N335" s="1" t="s">
        <v>188</v>
      </c>
      <c r="O335" s="1" t="s">
        <v>6037</v>
      </c>
      <c r="P335" s="1" t="s">
        <v>1456</v>
      </c>
      <c r="Q335" s="1" t="s">
        <v>5556</v>
      </c>
      <c r="R335" s="1" t="s">
        <v>3763</v>
      </c>
      <c r="S335" s="8">
        <v>45658</v>
      </c>
      <c r="T335" s="1">
        <v>1</v>
      </c>
      <c r="U335" s="1" t="s">
        <v>3764</v>
      </c>
      <c r="V335" s="1" t="s">
        <v>1388</v>
      </c>
      <c r="W335" s="1" t="s">
        <v>1388</v>
      </c>
    </row>
    <row r="336" spans="1:23" x14ac:dyDescent="0.25">
      <c r="A336" s="1" t="s">
        <v>48</v>
      </c>
      <c r="B336" s="1" t="s">
        <v>1885</v>
      </c>
      <c r="C336" s="1" t="s">
        <v>50</v>
      </c>
      <c r="D336" s="1" t="s">
        <v>1886</v>
      </c>
      <c r="E336" s="1" t="s">
        <v>1887</v>
      </c>
      <c r="F336" s="22" t="s">
        <v>6085</v>
      </c>
      <c r="G336" s="1" t="s">
        <v>6</v>
      </c>
      <c r="H336" s="1" t="s">
        <v>20</v>
      </c>
      <c r="I336" s="1" t="s">
        <v>26</v>
      </c>
      <c r="J336" s="1" t="s">
        <v>9</v>
      </c>
      <c r="K336" s="1" t="s">
        <v>19</v>
      </c>
      <c r="L336" s="1" t="s">
        <v>13</v>
      </c>
      <c r="M336" s="1" t="s">
        <v>53</v>
      </c>
      <c r="N336" s="11" t="s">
        <v>2091</v>
      </c>
      <c r="O336" s="1" t="s">
        <v>6037</v>
      </c>
      <c r="P336" s="1" t="s">
        <v>126</v>
      </c>
      <c r="Q336" s="1" t="s">
        <v>5557</v>
      </c>
      <c r="R336" s="1" t="s">
        <v>3765</v>
      </c>
      <c r="S336" s="8">
        <v>46055</v>
      </c>
      <c r="T336" s="1">
        <v>2</v>
      </c>
      <c r="U336" s="1" t="s">
        <v>3766</v>
      </c>
      <c r="V336" s="1" t="s">
        <v>3766</v>
      </c>
      <c r="W336" s="1" t="s">
        <v>1388</v>
      </c>
    </row>
    <row r="337" spans="1:23" x14ac:dyDescent="0.25">
      <c r="A337" s="1" t="s">
        <v>48</v>
      </c>
      <c r="B337" s="1" t="s">
        <v>1888</v>
      </c>
      <c r="C337" s="1" t="s">
        <v>50</v>
      </c>
      <c r="D337" s="1" t="s">
        <v>1889</v>
      </c>
      <c r="E337" s="1" t="s">
        <v>1890</v>
      </c>
      <c r="F337" s="22" t="s">
        <v>6085</v>
      </c>
      <c r="G337" s="1" t="s">
        <v>6</v>
      </c>
      <c r="H337" s="1" t="s">
        <v>20</v>
      </c>
      <c r="I337" s="1" t="s">
        <v>26</v>
      </c>
      <c r="J337" s="1" t="s">
        <v>9</v>
      </c>
      <c r="K337" s="1" t="s">
        <v>15</v>
      </c>
      <c r="L337" s="1" t="s">
        <v>15</v>
      </c>
      <c r="M337" s="1" t="s">
        <v>53</v>
      </c>
      <c r="N337" s="1" t="s">
        <v>188</v>
      </c>
      <c r="O337" s="1" t="s">
        <v>6037</v>
      </c>
      <c r="P337" s="1" t="s">
        <v>3767</v>
      </c>
      <c r="Q337" s="1" t="s">
        <v>5359</v>
      </c>
      <c r="R337" s="1" t="s">
        <v>3768</v>
      </c>
      <c r="S337" s="8">
        <v>46055</v>
      </c>
      <c r="T337" s="1">
        <v>1</v>
      </c>
      <c r="U337" s="1" t="s">
        <v>236</v>
      </c>
      <c r="V337" s="1" t="s">
        <v>1388</v>
      </c>
      <c r="W337" s="1" t="s">
        <v>1388</v>
      </c>
    </row>
    <row r="338" spans="1:23" x14ac:dyDescent="0.25">
      <c r="A338" s="1" t="s">
        <v>48</v>
      </c>
      <c r="B338" s="1" t="s">
        <v>1891</v>
      </c>
      <c r="C338" s="1" t="s">
        <v>50</v>
      </c>
      <c r="D338" s="1" t="s">
        <v>1892</v>
      </c>
      <c r="E338" s="1" t="s">
        <v>1893</v>
      </c>
      <c r="F338" s="22" t="s">
        <v>3</v>
      </c>
      <c r="G338" s="1" t="s">
        <v>6</v>
      </c>
      <c r="H338" s="1" t="s">
        <v>20</v>
      </c>
      <c r="I338" s="1" t="s">
        <v>26</v>
      </c>
      <c r="J338" s="1" t="s">
        <v>8</v>
      </c>
      <c r="K338" s="1" t="s">
        <v>12</v>
      </c>
      <c r="L338" s="1" t="s">
        <v>12</v>
      </c>
      <c r="M338" s="1" t="s">
        <v>53</v>
      </c>
      <c r="N338" s="1" t="s">
        <v>174</v>
      </c>
      <c r="O338" s="1" t="s">
        <v>6235</v>
      </c>
      <c r="P338" s="1" t="s">
        <v>3769</v>
      </c>
      <c r="Q338" s="1" t="s">
        <v>1454</v>
      </c>
      <c r="R338" s="7" t="s">
        <v>3770</v>
      </c>
      <c r="S338" s="8">
        <v>46034</v>
      </c>
      <c r="T338" s="1">
        <v>2</v>
      </c>
      <c r="U338" s="1" t="s">
        <v>3771</v>
      </c>
      <c r="V338" s="1" t="s">
        <v>3771</v>
      </c>
      <c r="W338" s="1" t="s">
        <v>1388</v>
      </c>
    </row>
    <row r="339" spans="1:23" x14ac:dyDescent="0.25">
      <c r="A339" s="1" t="s">
        <v>48</v>
      </c>
      <c r="B339" s="1" t="s">
        <v>1894</v>
      </c>
      <c r="C339" s="1" t="s">
        <v>50</v>
      </c>
      <c r="D339" s="1" t="s">
        <v>1895</v>
      </c>
      <c r="E339" s="1" t="s">
        <v>1896</v>
      </c>
      <c r="F339" s="22" t="s">
        <v>6085</v>
      </c>
      <c r="G339" s="1" t="s">
        <v>6</v>
      </c>
      <c r="H339" s="1" t="s">
        <v>24</v>
      </c>
      <c r="I339" s="1" t="s">
        <v>25</v>
      </c>
      <c r="J339" s="1" t="s">
        <v>9</v>
      </c>
      <c r="K339" s="1" t="s">
        <v>16</v>
      </c>
      <c r="L339" s="1" t="s">
        <v>16</v>
      </c>
      <c r="M339" s="1" t="s">
        <v>53</v>
      </c>
      <c r="N339" s="11" t="s">
        <v>188</v>
      </c>
      <c r="O339" s="1" t="s">
        <v>6037</v>
      </c>
      <c r="P339" s="1" t="s">
        <v>1456</v>
      </c>
      <c r="Q339" s="1" t="s">
        <v>5558</v>
      </c>
      <c r="R339" s="1" t="s">
        <v>3772</v>
      </c>
      <c r="S339" s="8">
        <v>46041</v>
      </c>
      <c r="T339" s="1">
        <v>2</v>
      </c>
      <c r="U339" s="1" t="s">
        <v>3773</v>
      </c>
      <c r="V339" s="1" t="s">
        <v>3773</v>
      </c>
      <c r="W339" s="1" t="s">
        <v>1388</v>
      </c>
    </row>
    <row r="340" spans="1:23" x14ac:dyDescent="0.25">
      <c r="A340" s="1" t="s">
        <v>48</v>
      </c>
      <c r="B340" s="1" t="s">
        <v>1897</v>
      </c>
      <c r="C340" s="1" t="s">
        <v>50</v>
      </c>
      <c r="D340" s="1" t="s">
        <v>3937</v>
      </c>
      <c r="E340" s="1" t="s">
        <v>1898</v>
      </c>
      <c r="F340" s="22" t="s">
        <v>3</v>
      </c>
      <c r="G340" s="1" t="s">
        <v>5</v>
      </c>
      <c r="H340" s="1" t="s">
        <v>20</v>
      </c>
      <c r="I340" s="1" t="s">
        <v>25</v>
      </c>
      <c r="J340" s="1" t="s">
        <v>9</v>
      </c>
      <c r="K340" s="1" t="s">
        <v>13</v>
      </c>
      <c r="L340" s="1" t="s">
        <v>13</v>
      </c>
      <c r="M340" s="1" t="s">
        <v>53</v>
      </c>
      <c r="N340" s="11" t="s">
        <v>188</v>
      </c>
      <c r="O340" s="1" t="s">
        <v>6037</v>
      </c>
      <c r="P340" s="1" t="s">
        <v>66</v>
      </c>
      <c r="Q340" s="1" t="s">
        <v>5559</v>
      </c>
      <c r="R340" s="7" t="s">
        <v>3774</v>
      </c>
      <c r="S340" s="8">
        <v>46023</v>
      </c>
      <c r="T340" s="1">
        <v>3</v>
      </c>
      <c r="U340" s="1" t="s">
        <v>744</v>
      </c>
      <c r="V340" s="1" t="s">
        <v>1443</v>
      </c>
      <c r="W340" s="1" t="s">
        <v>3775</v>
      </c>
    </row>
    <row r="341" spans="1:23" x14ac:dyDescent="0.25">
      <c r="A341" s="1" t="s">
        <v>48</v>
      </c>
      <c r="B341" s="1" t="s">
        <v>1899</v>
      </c>
      <c r="C341" s="1" t="s">
        <v>50</v>
      </c>
      <c r="D341" s="1" t="s">
        <v>1900</v>
      </c>
      <c r="E341" s="1" t="s">
        <v>1901</v>
      </c>
      <c r="F341" s="22" t="s">
        <v>6085</v>
      </c>
      <c r="G341" s="1" t="s">
        <v>5</v>
      </c>
      <c r="H341" s="1" t="s">
        <v>23</v>
      </c>
      <c r="I341" s="1" t="s">
        <v>26</v>
      </c>
      <c r="J341" s="1" t="s">
        <v>9</v>
      </c>
      <c r="K341" s="1" t="s">
        <v>16</v>
      </c>
      <c r="L341" s="1" t="s">
        <v>16</v>
      </c>
      <c r="M341" s="1" t="s">
        <v>53</v>
      </c>
      <c r="N341" s="11" t="s">
        <v>188</v>
      </c>
      <c r="O341" s="1" t="s">
        <v>6037</v>
      </c>
      <c r="P341" s="1" t="s">
        <v>3776</v>
      </c>
      <c r="Q341" s="1" t="s">
        <v>5560</v>
      </c>
      <c r="R341" s="1" t="s">
        <v>3777</v>
      </c>
      <c r="S341" s="8">
        <v>46037</v>
      </c>
      <c r="T341" s="1">
        <v>3</v>
      </c>
      <c r="U341" s="1" t="s">
        <v>3778</v>
      </c>
      <c r="V341" s="1" t="s">
        <v>3779</v>
      </c>
      <c r="W341" s="1" t="s">
        <v>3780</v>
      </c>
    </row>
    <row r="342" spans="1:23" x14ac:dyDescent="0.25">
      <c r="A342" s="1" t="s">
        <v>48</v>
      </c>
      <c r="B342" s="1" t="s">
        <v>1902</v>
      </c>
      <c r="C342" s="1" t="s">
        <v>50</v>
      </c>
      <c r="D342" s="1" t="s">
        <v>1903</v>
      </c>
      <c r="E342" s="1" t="s">
        <v>1904</v>
      </c>
      <c r="F342" s="22" t="s">
        <v>6085</v>
      </c>
      <c r="G342" s="1" t="s">
        <v>6</v>
      </c>
      <c r="H342" s="1" t="s">
        <v>20</v>
      </c>
      <c r="I342" s="1" t="s">
        <v>25</v>
      </c>
      <c r="J342" s="1" t="s">
        <v>9</v>
      </c>
      <c r="K342" s="1" t="s">
        <v>16</v>
      </c>
      <c r="L342" s="1" t="s">
        <v>16</v>
      </c>
      <c r="M342" s="1" t="s">
        <v>53</v>
      </c>
      <c r="N342" s="1" t="s">
        <v>1828</v>
      </c>
      <c r="O342" s="1" t="s">
        <v>6235</v>
      </c>
      <c r="P342" s="1" t="s">
        <v>181</v>
      </c>
      <c r="Q342" s="1" t="s">
        <v>5561</v>
      </c>
      <c r="R342" s="1" t="s">
        <v>3781</v>
      </c>
      <c r="S342" s="8">
        <v>46056</v>
      </c>
      <c r="T342" s="1">
        <v>2</v>
      </c>
      <c r="U342" s="1" t="s">
        <v>3782</v>
      </c>
      <c r="V342" s="1" t="s">
        <v>1388</v>
      </c>
      <c r="W342" s="1" t="s">
        <v>1388</v>
      </c>
    </row>
    <row r="343" spans="1:23" x14ac:dyDescent="0.25">
      <c r="A343" s="1" t="s">
        <v>48</v>
      </c>
      <c r="B343" s="1" t="s">
        <v>1905</v>
      </c>
      <c r="C343" s="1" t="s">
        <v>50</v>
      </c>
      <c r="D343" s="1" t="s">
        <v>1906</v>
      </c>
      <c r="E343" s="1" t="s">
        <v>1907</v>
      </c>
      <c r="F343" s="22" t="s">
        <v>6085</v>
      </c>
      <c r="G343" s="1" t="s">
        <v>5</v>
      </c>
      <c r="H343" s="1" t="s">
        <v>24</v>
      </c>
      <c r="I343" s="1" t="s">
        <v>25</v>
      </c>
      <c r="J343" s="1" t="s">
        <v>9</v>
      </c>
      <c r="K343" s="1" t="s">
        <v>14</v>
      </c>
      <c r="L343" s="1" t="s">
        <v>14</v>
      </c>
      <c r="M343" s="1" t="s">
        <v>53</v>
      </c>
      <c r="N343" s="11" t="s">
        <v>188</v>
      </c>
      <c r="O343" s="1" t="s">
        <v>6037</v>
      </c>
      <c r="P343" s="1" t="s">
        <v>66</v>
      </c>
      <c r="Q343" s="1" t="s">
        <v>5562</v>
      </c>
      <c r="R343" s="1" t="s">
        <v>3783</v>
      </c>
      <c r="S343" s="8">
        <v>45689</v>
      </c>
      <c r="T343" s="1">
        <v>3</v>
      </c>
      <c r="U343" s="1" t="s">
        <v>3784</v>
      </c>
      <c r="V343" s="1" t="s">
        <v>3785</v>
      </c>
      <c r="W343" s="1" t="s">
        <v>3786</v>
      </c>
    </row>
    <row r="344" spans="1:23" x14ac:dyDescent="0.25">
      <c r="A344" s="1" t="s">
        <v>48</v>
      </c>
      <c r="B344" s="1" t="s">
        <v>1908</v>
      </c>
      <c r="C344" s="1" t="s">
        <v>50</v>
      </c>
      <c r="D344" s="1" t="s">
        <v>1909</v>
      </c>
      <c r="E344" s="1" t="s">
        <v>1910</v>
      </c>
      <c r="F344" s="22" t="s">
        <v>6085</v>
      </c>
      <c r="G344" s="1" t="s">
        <v>6</v>
      </c>
      <c r="H344" s="1" t="s">
        <v>20</v>
      </c>
      <c r="I344" s="1" t="s">
        <v>25</v>
      </c>
      <c r="J344" s="1" t="s">
        <v>9</v>
      </c>
      <c r="K344" s="1" t="s">
        <v>13</v>
      </c>
      <c r="L344" s="1" t="s">
        <v>16</v>
      </c>
      <c r="M344" s="1" t="s">
        <v>53</v>
      </c>
      <c r="N344" s="11" t="s">
        <v>188</v>
      </c>
      <c r="O344" s="1" t="s">
        <v>6037</v>
      </c>
      <c r="P344" s="1" t="s">
        <v>247</v>
      </c>
      <c r="Q344" s="1" t="s">
        <v>5563</v>
      </c>
      <c r="R344" s="1" t="s">
        <v>3787</v>
      </c>
      <c r="S344" s="8">
        <v>45688</v>
      </c>
      <c r="T344" s="1">
        <v>1</v>
      </c>
      <c r="U344" s="1" t="s">
        <v>3788</v>
      </c>
      <c r="V344" s="1" t="s">
        <v>1388</v>
      </c>
      <c r="W344" s="1" t="s">
        <v>1388</v>
      </c>
    </row>
    <row r="345" spans="1:23" x14ac:dyDescent="0.25">
      <c r="A345" s="1" t="s">
        <v>48</v>
      </c>
      <c r="B345" s="1" t="s">
        <v>1911</v>
      </c>
      <c r="C345" s="1" t="s">
        <v>50</v>
      </c>
      <c r="D345" s="1" t="s">
        <v>1912</v>
      </c>
      <c r="E345" s="1" t="s">
        <v>1913</v>
      </c>
      <c r="F345" s="22" t="s">
        <v>6085</v>
      </c>
      <c r="G345" s="1" t="s">
        <v>6</v>
      </c>
      <c r="H345" s="1" t="s">
        <v>20</v>
      </c>
      <c r="I345" s="1" t="s">
        <v>26</v>
      </c>
      <c r="J345" s="1" t="s">
        <v>9</v>
      </c>
      <c r="K345" s="1" t="s">
        <v>11</v>
      </c>
      <c r="L345" s="1" t="s">
        <v>11</v>
      </c>
      <c r="M345" s="1" t="s">
        <v>53</v>
      </c>
      <c r="N345" s="11" t="s">
        <v>188</v>
      </c>
      <c r="O345" s="1" t="s">
        <v>6037</v>
      </c>
      <c r="P345" s="1" t="s">
        <v>126</v>
      </c>
      <c r="Q345" s="1" t="s">
        <v>5564</v>
      </c>
      <c r="R345" s="1" t="s">
        <v>3789</v>
      </c>
      <c r="S345" s="8">
        <v>45672</v>
      </c>
      <c r="T345" s="1">
        <v>2</v>
      </c>
      <c r="U345" s="1" t="s">
        <v>3790</v>
      </c>
      <c r="V345" s="1" t="s">
        <v>3791</v>
      </c>
      <c r="W345" s="1" t="s">
        <v>1388</v>
      </c>
    </row>
    <row r="346" spans="1:23" x14ac:dyDescent="0.25">
      <c r="A346" s="1" t="s">
        <v>48</v>
      </c>
      <c r="B346" s="1" t="s">
        <v>1914</v>
      </c>
      <c r="C346" s="1" t="s">
        <v>50</v>
      </c>
      <c r="D346" s="1" t="s">
        <v>1915</v>
      </c>
      <c r="E346" s="1" t="s">
        <v>1916</v>
      </c>
      <c r="F346" s="22" t="s">
        <v>3</v>
      </c>
      <c r="G346" s="1" t="s">
        <v>6</v>
      </c>
      <c r="H346" s="1" t="s">
        <v>20</v>
      </c>
      <c r="I346" s="1" t="s">
        <v>25</v>
      </c>
      <c r="J346" s="1" t="s">
        <v>9</v>
      </c>
      <c r="K346" s="1" t="s">
        <v>13</v>
      </c>
      <c r="L346" s="1" t="s">
        <v>13</v>
      </c>
      <c r="M346" s="1" t="s">
        <v>53</v>
      </c>
      <c r="N346" s="11" t="s">
        <v>188</v>
      </c>
      <c r="O346" s="1" t="s">
        <v>6037</v>
      </c>
      <c r="P346" s="1" t="s">
        <v>284</v>
      </c>
      <c r="Q346" s="1" t="s">
        <v>5565</v>
      </c>
      <c r="R346" s="7" t="s">
        <v>3792</v>
      </c>
      <c r="S346" s="8">
        <v>46034</v>
      </c>
      <c r="T346" s="1">
        <v>1</v>
      </c>
      <c r="U346" s="1" t="s">
        <v>3793</v>
      </c>
      <c r="V346" s="1" t="s">
        <v>1388</v>
      </c>
      <c r="W346" s="1" t="s">
        <v>1388</v>
      </c>
    </row>
    <row r="347" spans="1:23" x14ac:dyDescent="0.25">
      <c r="A347" s="1" t="s">
        <v>48</v>
      </c>
      <c r="B347" s="1" t="s">
        <v>1917</v>
      </c>
      <c r="C347" s="1" t="s">
        <v>50</v>
      </c>
      <c r="D347" s="1" t="s">
        <v>1918</v>
      </c>
      <c r="E347" s="1" t="s">
        <v>1919</v>
      </c>
      <c r="F347" s="22" t="s">
        <v>6085</v>
      </c>
      <c r="G347" s="1" t="s">
        <v>5</v>
      </c>
      <c r="H347" s="1" t="s">
        <v>20</v>
      </c>
      <c r="I347" s="1" t="s">
        <v>26</v>
      </c>
      <c r="J347" s="1" t="s">
        <v>9</v>
      </c>
      <c r="K347" s="1" t="s">
        <v>14</v>
      </c>
      <c r="L347" s="1" t="s">
        <v>14</v>
      </c>
      <c r="M347" s="1" t="s">
        <v>53</v>
      </c>
      <c r="N347" s="1" t="s">
        <v>188</v>
      </c>
      <c r="O347" s="1" t="s">
        <v>6037</v>
      </c>
      <c r="P347" s="1" t="s">
        <v>3794</v>
      </c>
      <c r="Q347" s="1" t="s">
        <v>5566</v>
      </c>
      <c r="R347" s="1" t="s">
        <v>3795</v>
      </c>
      <c r="S347" s="8">
        <v>46068</v>
      </c>
      <c r="T347" s="1">
        <v>3</v>
      </c>
      <c r="U347" s="1" t="s">
        <v>629</v>
      </c>
      <c r="V347" s="1" t="s">
        <v>460</v>
      </c>
      <c r="W347" s="1" t="s">
        <v>349</v>
      </c>
    </row>
    <row r="348" spans="1:23" x14ac:dyDescent="0.25">
      <c r="A348" s="1" t="s">
        <v>48</v>
      </c>
      <c r="B348" s="1" t="s">
        <v>1920</v>
      </c>
      <c r="C348" s="1" t="s">
        <v>50</v>
      </c>
      <c r="D348" s="1" t="s">
        <v>1921</v>
      </c>
      <c r="E348" s="1" t="s">
        <v>1922</v>
      </c>
      <c r="F348" s="22" t="s">
        <v>6085</v>
      </c>
      <c r="G348" s="1" t="s">
        <v>7</v>
      </c>
      <c r="H348" s="1" t="s">
        <v>20</v>
      </c>
      <c r="I348" s="1" t="s">
        <v>26</v>
      </c>
      <c r="J348" s="1" t="s">
        <v>9</v>
      </c>
      <c r="K348" s="1" t="s">
        <v>10</v>
      </c>
      <c r="L348" s="1" t="s">
        <v>16</v>
      </c>
      <c r="M348" s="1" t="s">
        <v>53</v>
      </c>
      <c r="N348" s="1" t="s">
        <v>188</v>
      </c>
      <c r="O348" s="1" t="s">
        <v>6037</v>
      </c>
      <c r="P348" s="1" t="s">
        <v>247</v>
      </c>
      <c r="Q348" s="18" t="s">
        <v>4621</v>
      </c>
      <c r="R348" s="1" t="s">
        <v>3796</v>
      </c>
      <c r="S348" s="8">
        <v>46063</v>
      </c>
      <c r="T348" s="1">
        <v>2</v>
      </c>
      <c r="U348" s="1" t="s">
        <v>3797</v>
      </c>
      <c r="V348" s="1" t="s">
        <v>3797</v>
      </c>
      <c r="W348" s="1" t="s">
        <v>1388</v>
      </c>
    </row>
    <row r="349" spans="1:23" x14ac:dyDescent="0.25">
      <c r="A349" s="1" t="s">
        <v>48</v>
      </c>
      <c r="B349" s="1" t="s">
        <v>1923</v>
      </c>
      <c r="C349" s="1" t="s">
        <v>50</v>
      </c>
      <c r="D349" s="1" t="s">
        <v>1924</v>
      </c>
      <c r="E349" s="1" t="s">
        <v>1925</v>
      </c>
      <c r="F349" s="22" t="s">
        <v>6085</v>
      </c>
      <c r="G349" s="1" t="s">
        <v>7</v>
      </c>
      <c r="H349" s="1" t="s">
        <v>20</v>
      </c>
      <c r="I349" s="1" t="s">
        <v>25</v>
      </c>
      <c r="J349" s="1" t="s">
        <v>9</v>
      </c>
      <c r="K349" s="1" t="s">
        <v>10</v>
      </c>
      <c r="L349" s="1" t="s">
        <v>16</v>
      </c>
      <c r="M349" s="1" t="s">
        <v>53</v>
      </c>
      <c r="N349" s="11" t="s">
        <v>188</v>
      </c>
      <c r="O349" s="1" t="s">
        <v>6037</v>
      </c>
      <c r="P349" s="1" t="s">
        <v>3798</v>
      </c>
      <c r="Q349" s="18" t="s">
        <v>5567</v>
      </c>
      <c r="R349" s="1" t="s">
        <v>3799</v>
      </c>
      <c r="S349" s="8">
        <v>46027</v>
      </c>
      <c r="T349" s="1">
        <v>2</v>
      </c>
      <c r="U349" s="1" t="s">
        <v>3800</v>
      </c>
      <c r="V349" s="1" t="s">
        <v>3800</v>
      </c>
      <c r="W349" s="1" t="s">
        <v>1388</v>
      </c>
    </row>
    <row r="350" spans="1:23" x14ac:dyDescent="0.25">
      <c r="A350" s="1" t="s">
        <v>48</v>
      </c>
      <c r="B350" s="1" t="s">
        <v>1926</v>
      </c>
      <c r="C350" s="1" t="s">
        <v>50</v>
      </c>
      <c r="D350" s="1" t="s">
        <v>1927</v>
      </c>
      <c r="E350" s="1" t="s">
        <v>1928</v>
      </c>
      <c r="F350" s="22" t="s">
        <v>6085</v>
      </c>
      <c r="G350" s="1" t="s">
        <v>5</v>
      </c>
      <c r="H350" s="1" t="s">
        <v>24</v>
      </c>
      <c r="I350" s="1" t="s">
        <v>25</v>
      </c>
      <c r="J350" s="1" t="s">
        <v>9</v>
      </c>
      <c r="K350" s="1" t="s">
        <v>12</v>
      </c>
      <c r="L350" s="1" t="s">
        <v>12</v>
      </c>
      <c r="M350" s="1" t="s">
        <v>78</v>
      </c>
      <c r="N350" s="1" t="s">
        <v>188</v>
      </c>
      <c r="O350" s="2" t="s">
        <v>6235</v>
      </c>
      <c r="P350" s="1" t="s">
        <v>3801</v>
      </c>
      <c r="Q350" s="1" t="s">
        <v>5284</v>
      </c>
      <c r="R350" s="1" t="s">
        <v>3802</v>
      </c>
      <c r="S350" s="8">
        <v>46037</v>
      </c>
      <c r="T350" s="1">
        <v>3</v>
      </c>
      <c r="U350" s="1" t="s">
        <v>3803</v>
      </c>
      <c r="V350" s="1" t="s">
        <v>3804</v>
      </c>
      <c r="W350" s="1" t="s">
        <v>3805</v>
      </c>
    </row>
    <row r="351" spans="1:23" x14ac:dyDescent="0.25">
      <c r="A351" s="1" t="s">
        <v>48</v>
      </c>
      <c r="B351" s="1" t="s">
        <v>1929</v>
      </c>
      <c r="C351" s="1" t="s">
        <v>50</v>
      </c>
      <c r="D351" s="1" t="s">
        <v>1930</v>
      </c>
      <c r="E351" s="1" t="s">
        <v>1931</v>
      </c>
      <c r="F351" s="22" t="s">
        <v>6085</v>
      </c>
      <c r="G351" s="1" t="s">
        <v>6</v>
      </c>
      <c r="H351" s="1" t="s">
        <v>20</v>
      </c>
      <c r="I351" s="1" t="s">
        <v>25</v>
      </c>
      <c r="J351" s="1" t="s">
        <v>9</v>
      </c>
      <c r="K351" s="1" t="s">
        <v>14</v>
      </c>
      <c r="L351" s="1" t="s">
        <v>14</v>
      </c>
      <c r="M351" s="1" t="s">
        <v>78</v>
      </c>
      <c r="N351" s="11" t="s">
        <v>188</v>
      </c>
      <c r="O351" s="1" t="s">
        <v>6037</v>
      </c>
      <c r="P351" s="1" t="s">
        <v>66</v>
      </c>
      <c r="Q351" s="1" t="s">
        <v>5568</v>
      </c>
      <c r="R351" s="1" t="s">
        <v>3806</v>
      </c>
      <c r="S351" s="8">
        <v>46062</v>
      </c>
      <c r="T351" s="1">
        <v>2</v>
      </c>
      <c r="U351" s="1" t="s">
        <v>3807</v>
      </c>
      <c r="V351" s="1" t="s">
        <v>3808</v>
      </c>
      <c r="W351" s="1" t="s">
        <v>1388</v>
      </c>
    </row>
    <row r="352" spans="1:23" ht="15" customHeight="1" x14ac:dyDescent="0.25">
      <c r="A352" s="1" t="s">
        <v>48</v>
      </c>
      <c r="B352" s="1" t="s">
        <v>1932</v>
      </c>
      <c r="C352" s="1" t="s">
        <v>50</v>
      </c>
      <c r="D352" s="1" t="s">
        <v>1933</v>
      </c>
      <c r="E352" s="1" t="s">
        <v>1934</v>
      </c>
      <c r="F352" s="22" t="s">
        <v>6085</v>
      </c>
      <c r="G352" s="1" t="s">
        <v>6</v>
      </c>
      <c r="H352" s="1" t="s">
        <v>24</v>
      </c>
      <c r="I352" s="1" t="s">
        <v>25</v>
      </c>
      <c r="J352" s="1" t="s">
        <v>9</v>
      </c>
      <c r="K352" s="1" t="s">
        <v>14</v>
      </c>
      <c r="L352" s="1" t="s">
        <v>14</v>
      </c>
      <c r="M352" s="1" t="s">
        <v>78</v>
      </c>
      <c r="N352" s="1" t="s">
        <v>188</v>
      </c>
      <c r="O352" s="2" t="s">
        <v>6235</v>
      </c>
      <c r="P352" s="1" t="s">
        <v>79</v>
      </c>
      <c r="Q352" s="1" t="s">
        <v>5569</v>
      </c>
      <c r="R352" s="1" t="s">
        <v>3809</v>
      </c>
      <c r="S352" s="8">
        <v>46023</v>
      </c>
      <c r="T352" s="1">
        <v>2</v>
      </c>
      <c r="U352" s="1" t="s">
        <v>201</v>
      </c>
      <c r="V352" s="1" t="s">
        <v>201</v>
      </c>
      <c r="W352" s="1" t="s">
        <v>1388</v>
      </c>
    </row>
    <row r="353" spans="1:23" x14ac:dyDescent="0.25">
      <c r="A353" s="1" t="s">
        <v>48</v>
      </c>
      <c r="B353" s="1" t="s">
        <v>1935</v>
      </c>
      <c r="C353" s="1" t="s">
        <v>50</v>
      </c>
      <c r="D353" s="1" t="s">
        <v>1936</v>
      </c>
      <c r="E353" s="1" t="s">
        <v>1937</v>
      </c>
      <c r="F353" s="22" t="s">
        <v>3</v>
      </c>
      <c r="G353" s="1" t="s">
        <v>6</v>
      </c>
      <c r="H353" s="1" t="s">
        <v>20</v>
      </c>
      <c r="I353" s="1" t="s">
        <v>25</v>
      </c>
      <c r="J353" s="1" t="s">
        <v>9</v>
      </c>
      <c r="K353" s="1" t="s">
        <v>14</v>
      </c>
      <c r="L353" s="1" t="s">
        <v>14</v>
      </c>
      <c r="M353" s="1" t="s">
        <v>78</v>
      </c>
      <c r="N353" s="1" t="s">
        <v>1013</v>
      </c>
      <c r="O353" s="1" t="s">
        <v>6037</v>
      </c>
      <c r="P353" s="1" t="s">
        <v>235</v>
      </c>
      <c r="Q353" s="1" t="s">
        <v>5570</v>
      </c>
      <c r="R353" s="7" t="s">
        <v>3810</v>
      </c>
      <c r="S353" s="8">
        <v>46052</v>
      </c>
      <c r="T353" s="1">
        <v>1</v>
      </c>
      <c r="U353" s="1" t="s">
        <v>3811</v>
      </c>
      <c r="V353" s="1" t="s">
        <v>1388</v>
      </c>
      <c r="W353" s="1" t="s">
        <v>1388</v>
      </c>
    </row>
    <row r="354" spans="1:23" x14ac:dyDescent="0.25">
      <c r="A354" s="1" t="s">
        <v>48</v>
      </c>
      <c r="B354" s="1" t="s">
        <v>1938</v>
      </c>
      <c r="C354" s="1" t="s">
        <v>50</v>
      </c>
      <c r="D354" s="1" t="s">
        <v>1939</v>
      </c>
      <c r="E354" s="1" t="s">
        <v>1940</v>
      </c>
      <c r="F354" s="22" t="s">
        <v>6085</v>
      </c>
      <c r="G354" s="1" t="s">
        <v>6</v>
      </c>
      <c r="H354" s="1" t="s">
        <v>20</v>
      </c>
      <c r="I354" s="1" t="s">
        <v>25</v>
      </c>
      <c r="J354" s="1" t="s">
        <v>9</v>
      </c>
      <c r="K354" s="1" t="s">
        <v>16</v>
      </c>
      <c r="L354" s="1" t="s">
        <v>16</v>
      </c>
      <c r="M354" s="1" t="s">
        <v>78</v>
      </c>
      <c r="N354" s="1" t="s">
        <v>1013</v>
      </c>
      <c r="O354" s="1" t="s">
        <v>6037</v>
      </c>
      <c r="P354" s="1" t="s">
        <v>66</v>
      </c>
      <c r="Q354" s="1" t="s">
        <v>5347</v>
      </c>
      <c r="R354" s="1" t="s">
        <v>3812</v>
      </c>
      <c r="S354" s="8">
        <v>46055</v>
      </c>
      <c r="T354" s="1">
        <v>2</v>
      </c>
      <c r="U354" s="1" t="s">
        <v>3800</v>
      </c>
      <c r="V354" s="1" t="s">
        <v>3800</v>
      </c>
      <c r="W354" s="1" t="s">
        <v>1388</v>
      </c>
    </row>
    <row r="355" spans="1:23" x14ac:dyDescent="0.25">
      <c r="A355" s="1" t="s">
        <v>48</v>
      </c>
      <c r="B355" s="1" t="s">
        <v>1941</v>
      </c>
      <c r="C355" s="1" t="s">
        <v>50</v>
      </c>
      <c r="D355" s="1" t="s">
        <v>1942</v>
      </c>
      <c r="E355" s="1" t="s">
        <v>1943</v>
      </c>
      <c r="F355" s="22" t="s">
        <v>6085</v>
      </c>
      <c r="G355" s="1" t="s">
        <v>6</v>
      </c>
      <c r="H355" s="1" t="s">
        <v>24</v>
      </c>
      <c r="I355" s="1" t="s">
        <v>27</v>
      </c>
      <c r="J355" s="1" t="s">
        <v>9</v>
      </c>
      <c r="K355" s="1" t="s">
        <v>13</v>
      </c>
      <c r="L355" s="1" t="s">
        <v>13</v>
      </c>
      <c r="M355" s="1" t="s">
        <v>78</v>
      </c>
      <c r="N355" s="11" t="s">
        <v>188</v>
      </c>
      <c r="O355" s="1" t="s">
        <v>6037</v>
      </c>
      <c r="P355" s="1" t="s">
        <v>421</v>
      </c>
      <c r="Q355" s="1" t="s">
        <v>5571</v>
      </c>
      <c r="R355" s="1" t="s">
        <v>3813</v>
      </c>
      <c r="S355" s="8">
        <v>46055</v>
      </c>
      <c r="T355" s="1">
        <v>1</v>
      </c>
      <c r="U355" s="1" t="s">
        <v>3814</v>
      </c>
      <c r="V355" s="1" t="s">
        <v>1388</v>
      </c>
      <c r="W355" s="1" t="s">
        <v>1388</v>
      </c>
    </row>
    <row r="356" spans="1:23" x14ac:dyDescent="0.25">
      <c r="A356" s="1" t="s">
        <v>48</v>
      </c>
      <c r="B356" s="1" t="s">
        <v>1944</v>
      </c>
      <c r="C356" s="1" t="s">
        <v>50</v>
      </c>
      <c r="D356" s="1" t="s">
        <v>1945</v>
      </c>
      <c r="E356" s="1" t="s">
        <v>1946</v>
      </c>
      <c r="F356" s="22" t="s">
        <v>3</v>
      </c>
      <c r="G356" s="1" t="s">
        <v>6</v>
      </c>
      <c r="H356" s="1" t="s">
        <v>20</v>
      </c>
      <c r="I356" s="1" t="s">
        <v>26</v>
      </c>
      <c r="J356" s="1" t="s">
        <v>9</v>
      </c>
      <c r="K356" s="1" t="s">
        <v>14</v>
      </c>
      <c r="L356" s="1" t="s">
        <v>17</v>
      </c>
      <c r="M356" s="1" t="s">
        <v>78</v>
      </c>
      <c r="N356" s="1" t="s">
        <v>5224</v>
      </c>
      <c r="O356" s="1" t="s">
        <v>6235</v>
      </c>
      <c r="P356" s="1" t="s">
        <v>707</v>
      </c>
      <c r="Q356" s="1" t="s">
        <v>5572</v>
      </c>
      <c r="R356" s="7" t="s">
        <v>3815</v>
      </c>
      <c r="S356" s="8">
        <v>46237</v>
      </c>
      <c r="T356" s="1">
        <v>2</v>
      </c>
      <c r="U356" s="1" t="s">
        <v>410</v>
      </c>
      <c r="V356" s="1" t="s">
        <v>410</v>
      </c>
      <c r="W356" s="1" t="s">
        <v>1388</v>
      </c>
    </row>
    <row r="357" spans="1:23" x14ac:dyDescent="0.25">
      <c r="A357" s="1" t="s">
        <v>48</v>
      </c>
      <c r="B357" s="1" t="s">
        <v>1947</v>
      </c>
      <c r="C357" s="1" t="s">
        <v>50</v>
      </c>
      <c r="D357" s="1" t="s">
        <v>1948</v>
      </c>
      <c r="E357" s="1" t="s">
        <v>1949</v>
      </c>
      <c r="F357" s="22" t="s">
        <v>3</v>
      </c>
      <c r="G357" s="1" t="s">
        <v>6</v>
      </c>
      <c r="H357" s="1" t="s">
        <v>20</v>
      </c>
      <c r="I357" s="1" t="s">
        <v>25</v>
      </c>
      <c r="J357" s="1" t="s">
        <v>9</v>
      </c>
      <c r="K357" s="1" t="s">
        <v>13</v>
      </c>
      <c r="L357" s="1" t="s">
        <v>13</v>
      </c>
      <c r="M357" s="1" t="s">
        <v>78</v>
      </c>
      <c r="N357" s="1" t="s">
        <v>1664</v>
      </c>
      <c r="O357" s="1" t="s">
        <v>6037</v>
      </c>
      <c r="P357" s="1" t="s">
        <v>247</v>
      </c>
      <c r="Q357" s="1" t="s">
        <v>5573</v>
      </c>
      <c r="R357" s="1" t="s">
        <v>3816</v>
      </c>
      <c r="S357" s="8">
        <v>45380</v>
      </c>
      <c r="T357" s="1">
        <v>2</v>
      </c>
      <c r="U357" s="1" t="s">
        <v>3817</v>
      </c>
      <c r="V357" s="1" t="s">
        <v>3818</v>
      </c>
      <c r="W357" s="1" t="s">
        <v>1388</v>
      </c>
    </row>
    <row r="358" spans="1:23" x14ac:dyDescent="0.25">
      <c r="A358" s="1" t="s">
        <v>48</v>
      </c>
      <c r="B358" s="1" t="s">
        <v>1950</v>
      </c>
      <c r="C358" s="1" t="s">
        <v>50</v>
      </c>
      <c r="D358" s="1" t="s">
        <v>1951</v>
      </c>
      <c r="E358" s="12" t="s">
        <v>1952</v>
      </c>
      <c r="F358" s="22" t="s">
        <v>3</v>
      </c>
      <c r="G358" s="1" t="s">
        <v>5</v>
      </c>
      <c r="H358" s="1" t="s">
        <v>20</v>
      </c>
      <c r="I358" s="1" t="s">
        <v>25</v>
      </c>
      <c r="J358" s="1" t="s">
        <v>9</v>
      </c>
      <c r="K358" s="1" t="s">
        <v>11</v>
      </c>
      <c r="L358" s="1" t="s">
        <v>11</v>
      </c>
      <c r="M358" s="1" t="s">
        <v>78</v>
      </c>
      <c r="N358" s="11" t="s">
        <v>188</v>
      </c>
      <c r="O358" s="1" t="s">
        <v>6037</v>
      </c>
      <c r="P358" s="1" t="s">
        <v>3750</v>
      </c>
      <c r="Q358" s="1" t="s">
        <v>5574</v>
      </c>
      <c r="R358" s="7" t="s">
        <v>3819</v>
      </c>
      <c r="S358" s="8">
        <v>45698</v>
      </c>
      <c r="T358" s="1">
        <v>2</v>
      </c>
      <c r="U358" s="1" t="s">
        <v>3820</v>
      </c>
      <c r="V358" s="1" t="s">
        <v>3821</v>
      </c>
      <c r="W358" s="1" t="s">
        <v>1388</v>
      </c>
    </row>
    <row r="359" spans="1:23" x14ac:dyDescent="0.25">
      <c r="A359" s="1" t="s">
        <v>48</v>
      </c>
      <c r="B359" s="1" t="s">
        <v>1953</v>
      </c>
      <c r="C359" s="1" t="s">
        <v>50</v>
      </c>
      <c r="D359" s="1" t="s">
        <v>1954</v>
      </c>
      <c r="E359" s="1" t="s">
        <v>1955</v>
      </c>
      <c r="F359" s="22" t="s">
        <v>3</v>
      </c>
      <c r="G359" s="1" t="s">
        <v>6</v>
      </c>
      <c r="H359" s="1" t="s">
        <v>20</v>
      </c>
      <c r="I359" s="1" t="s">
        <v>26</v>
      </c>
      <c r="J359" s="1" t="s">
        <v>9</v>
      </c>
      <c r="K359" s="1" t="s">
        <v>11</v>
      </c>
      <c r="L359" s="1" t="s">
        <v>11</v>
      </c>
      <c r="M359" s="1" t="s">
        <v>78</v>
      </c>
      <c r="N359" s="1" t="s">
        <v>1015</v>
      </c>
      <c r="O359" s="1" t="s">
        <v>6235</v>
      </c>
      <c r="P359" s="1" t="s">
        <v>3822</v>
      </c>
      <c r="Q359" s="1" t="s">
        <v>5382</v>
      </c>
      <c r="R359" s="7" t="s">
        <v>3823</v>
      </c>
      <c r="S359" s="8">
        <v>46027</v>
      </c>
      <c r="T359" s="1">
        <v>2</v>
      </c>
      <c r="U359" s="1" t="s">
        <v>1415</v>
      </c>
      <c r="V359" s="1" t="s">
        <v>1416</v>
      </c>
      <c r="W359" s="1" t="s">
        <v>1388</v>
      </c>
    </row>
    <row r="360" spans="1:23" x14ac:dyDescent="0.25">
      <c r="A360" s="1" t="s">
        <v>48</v>
      </c>
      <c r="B360" s="1" t="s">
        <v>1956</v>
      </c>
      <c r="C360" s="1" t="s">
        <v>50</v>
      </c>
      <c r="D360" s="1" t="s">
        <v>1957</v>
      </c>
      <c r="E360" s="1" t="s">
        <v>1958</v>
      </c>
      <c r="F360" s="22" t="s">
        <v>3</v>
      </c>
      <c r="G360" s="1" t="s">
        <v>6</v>
      </c>
      <c r="H360" s="1" t="s">
        <v>20</v>
      </c>
      <c r="I360" s="1" t="s">
        <v>25</v>
      </c>
      <c r="J360" s="1" t="s">
        <v>9</v>
      </c>
      <c r="K360" s="1" t="s">
        <v>14</v>
      </c>
      <c r="L360" s="1" t="s">
        <v>14</v>
      </c>
      <c r="M360" s="1" t="s">
        <v>78</v>
      </c>
      <c r="N360" s="1" t="s">
        <v>1015</v>
      </c>
      <c r="O360" s="1" t="s">
        <v>6235</v>
      </c>
      <c r="P360" s="1" t="s">
        <v>3824</v>
      </c>
      <c r="Q360" s="1" t="s">
        <v>5327</v>
      </c>
      <c r="R360" s="7" t="s">
        <v>3825</v>
      </c>
      <c r="S360" s="8">
        <v>46091</v>
      </c>
      <c r="T360" s="1">
        <v>2</v>
      </c>
      <c r="U360" s="1" t="s">
        <v>1446</v>
      </c>
      <c r="V360" s="1" t="s">
        <v>222</v>
      </c>
      <c r="W360" s="1" t="s">
        <v>1388</v>
      </c>
    </row>
    <row r="361" spans="1:23" x14ac:dyDescent="0.25">
      <c r="A361" s="1" t="s">
        <v>48</v>
      </c>
      <c r="B361" s="1" t="s">
        <v>1959</v>
      </c>
      <c r="C361" s="1" t="s">
        <v>50</v>
      </c>
      <c r="D361" s="1" t="s">
        <v>1960</v>
      </c>
      <c r="E361" s="1" t="s">
        <v>1961</v>
      </c>
      <c r="F361" s="22" t="s">
        <v>6085</v>
      </c>
      <c r="G361" s="1" t="s">
        <v>6</v>
      </c>
      <c r="H361" s="1" t="s">
        <v>21</v>
      </c>
      <c r="I361" s="1" t="s">
        <v>26</v>
      </c>
      <c r="J361" s="1" t="s">
        <v>9</v>
      </c>
      <c r="K361" s="1" t="s">
        <v>16</v>
      </c>
      <c r="L361" s="1" t="s">
        <v>16</v>
      </c>
      <c r="M361" s="1" t="s">
        <v>78</v>
      </c>
      <c r="N361" s="11" t="s">
        <v>188</v>
      </c>
      <c r="O361" s="1" t="s">
        <v>6037</v>
      </c>
      <c r="P361" s="1" t="s">
        <v>707</v>
      </c>
      <c r="Q361" s="1" t="s">
        <v>5575</v>
      </c>
      <c r="R361" s="1" t="s">
        <v>3826</v>
      </c>
      <c r="S361" s="8">
        <v>46047</v>
      </c>
      <c r="T361" s="1">
        <v>2</v>
      </c>
      <c r="U361" s="1" t="s">
        <v>291</v>
      </c>
      <c r="V361" s="1" t="s">
        <v>291</v>
      </c>
      <c r="W361" s="1" t="s">
        <v>1388</v>
      </c>
    </row>
    <row r="362" spans="1:23" x14ac:dyDescent="0.25">
      <c r="A362" s="1" t="s">
        <v>48</v>
      </c>
      <c r="B362" s="1" t="s">
        <v>1962</v>
      </c>
      <c r="C362" s="1" t="s">
        <v>50</v>
      </c>
      <c r="D362" s="1" t="s">
        <v>1963</v>
      </c>
      <c r="E362" s="1" t="s">
        <v>1964</v>
      </c>
      <c r="F362" s="22" t="s">
        <v>3</v>
      </c>
      <c r="G362" s="1" t="s">
        <v>6</v>
      </c>
      <c r="H362" s="1" t="s">
        <v>20</v>
      </c>
      <c r="I362" s="1" t="s">
        <v>25</v>
      </c>
      <c r="J362" s="1" t="s">
        <v>9</v>
      </c>
      <c r="K362" s="1" t="s">
        <v>15</v>
      </c>
      <c r="L362" s="1" t="s">
        <v>15</v>
      </c>
      <c r="M362" s="1" t="s">
        <v>78</v>
      </c>
      <c r="N362" s="11" t="s">
        <v>2089</v>
      </c>
      <c r="O362" s="1" t="s">
        <v>6037</v>
      </c>
      <c r="P362" s="1" t="s">
        <v>581</v>
      </c>
      <c r="Q362" s="1" t="s">
        <v>5576</v>
      </c>
      <c r="R362" s="7" t="s">
        <v>3827</v>
      </c>
      <c r="S362" s="8">
        <v>46062</v>
      </c>
      <c r="T362" s="1">
        <v>1</v>
      </c>
      <c r="U362" s="1" t="s">
        <v>1461</v>
      </c>
      <c r="V362" s="1" t="s">
        <v>1388</v>
      </c>
      <c r="W362" s="1" t="s">
        <v>1388</v>
      </c>
    </row>
    <row r="363" spans="1:23" x14ac:dyDescent="0.25">
      <c r="A363" s="1" t="s">
        <v>48</v>
      </c>
      <c r="B363" s="1" t="s">
        <v>1965</v>
      </c>
      <c r="C363" s="1" t="s">
        <v>50</v>
      </c>
      <c r="D363" s="1" t="s">
        <v>1966</v>
      </c>
      <c r="E363" s="1" t="s">
        <v>1967</v>
      </c>
      <c r="F363" s="22" t="s">
        <v>6085</v>
      </c>
      <c r="G363" s="1" t="s">
        <v>6</v>
      </c>
      <c r="H363" s="1" t="s">
        <v>24</v>
      </c>
      <c r="I363" s="1" t="s">
        <v>25</v>
      </c>
      <c r="J363" s="1" t="s">
        <v>9</v>
      </c>
      <c r="K363" s="1" t="s">
        <v>16</v>
      </c>
      <c r="L363" s="1" t="s">
        <v>10</v>
      </c>
      <c r="M363" s="1" t="s">
        <v>78</v>
      </c>
      <c r="N363" s="11" t="s">
        <v>188</v>
      </c>
      <c r="O363" s="1" t="s">
        <v>6037</v>
      </c>
      <c r="P363" s="1" t="s">
        <v>126</v>
      </c>
      <c r="Q363" s="1" t="s">
        <v>4328</v>
      </c>
      <c r="R363" s="1" t="s">
        <v>3828</v>
      </c>
      <c r="S363" s="8">
        <v>46041</v>
      </c>
      <c r="T363" s="1">
        <v>2</v>
      </c>
      <c r="U363" s="1" t="s">
        <v>3829</v>
      </c>
      <c r="V363" s="1" t="s">
        <v>3830</v>
      </c>
      <c r="W363" s="1" t="s">
        <v>1388</v>
      </c>
    </row>
    <row r="364" spans="1:23" x14ac:dyDescent="0.25">
      <c r="A364" s="1" t="s">
        <v>48</v>
      </c>
      <c r="B364" s="1" t="s">
        <v>1968</v>
      </c>
      <c r="C364" s="1" t="s">
        <v>50</v>
      </c>
      <c r="D364" s="1" t="s">
        <v>1969</v>
      </c>
      <c r="E364" s="1" t="s">
        <v>1970</v>
      </c>
      <c r="F364" s="22" t="s">
        <v>6085</v>
      </c>
      <c r="G364" s="1" t="s">
        <v>6</v>
      </c>
      <c r="H364" s="1" t="s">
        <v>20</v>
      </c>
      <c r="I364" s="1" t="s">
        <v>25</v>
      </c>
      <c r="J364" s="1" t="s">
        <v>9</v>
      </c>
      <c r="K364" s="1" t="s">
        <v>14</v>
      </c>
      <c r="L364" s="1" t="s">
        <v>14</v>
      </c>
      <c r="M364" s="1" t="s">
        <v>78</v>
      </c>
      <c r="N364" s="1" t="s">
        <v>188</v>
      </c>
      <c r="O364" s="2" t="s">
        <v>6235</v>
      </c>
      <c r="P364" s="1" t="s">
        <v>1456</v>
      </c>
      <c r="Q364" s="1" t="s">
        <v>5577</v>
      </c>
      <c r="R364" s="1" t="s">
        <v>3831</v>
      </c>
      <c r="S364" s="8">
        <v>45672</v>
      </c>
      <c r="T364" s="1">
        <v>2</v>
      </c>
      <c r="U364" s="1" t="s">
        <v>280</v>
      </c>
      <c r="V364" s="1" t="s">
        <v>280</v>
      </c>
      <c r="W364" s="1" t="s">
        <v>1388</v>
      </c>
    </row>
    <row r="365" spans="1:23" x14ac:dyDescent="0.25">
      <c r="A365" s="1" t="s">
        <v>48</v>
      </c>
      <c r="B365" s="1" t="s">
        <v>1971</v>
      </c>
      <c r="C365" s="1" t="s">
        <v>50</v>
      </c>
      <c r="D365" s="1" t="s">
        <v>1972</v>
      </c>
      <c r="E365" s="1" t="s">
        <v>1973</v>
      </c>
      <c r="F365" s="22" t="s">
        <v>6085</v>
      </c>
      <c r="G365" s="1" t="s">
        <v>5</v>
      </c>
      <c r="H365" s="1" t="s">
        <v>1974</v>
      </c>
      <c r="I365" s="1" t="s">
        <v>26</v>
      </c>
      <c r="J365" s="1" t="s">
        <v>9</v>
      </c>
      <c r="K365" s="1" t="s">
        <v>10</v>
      </c>
      <c r="L365" s="1" t="s">
        <v>10</v>
      </c>
      <c r="M365" s="1" t="s">
        <v>78</v>
      </c>
      <c r="N365" s="1" t="s">
        <v>188</v>
      </c>
      <c r="O365" s="2" t="s">
        <v>6235</v>
      </c>
      <c r="P365" s="1" t="s">
        <v>126</v>
      </c>
      <c r="Q365" s="19" t="s">
        <v>5578</v>
      </c>
      <c r="R365" s="1" t="s">
        <v>3832</v>
      </c>
      <c r="S365" s="8">
        <v>45964</v>
      </c>
      <c r="T365" s="1">
        <v>3</v>
      </c>
      <c r="U365" s="1" t="s">
        <v>1453</v>
      </c>
      <c r="V365" s="1" t="s">
        <v>1453</v>
      </c>
      <c r="W365" s="1" t="s">
        <v>1453</v>
      </c>
    </row>
    <row r="366" spans="1:23" x14ac:dyDescent="0.25">
      <c r="A366" s="1" t="s">
        <v>48</v>
      </c>
      <c r="B366" s="1" t="s">
        <v>1975</v>
      </c>
      <c r="C366" s="1" t="s">
        <v>50</v>
      </c>
      <c r="D366" s="1" t="s">
        <v>1976</v>
      </c>
      <c r="E366" s="1" t="s">
        <v>1977</v>
      </c>
      <c r="F366" s="22" t="s">
        <v>6085</v>
      </c>
      <c r="G366" s="1" t="s">
        <v>6</v>
      </c>
      <c r="H366" s="1" t="s">
        <v>20</v>
      </c>
      <c r="I366" s="1" t="s">
        <v>26</v>
      </c>
      <c r="J366" s="1" t="s">
        <v>9</v>
      </c>
      <c r="K366" s="1" t="s">
        <v>13</v>
      </c>
      <c r="L366" s="1" t="s">
        <v>17</v>
      </c>
      <c r="M366" s="1" t="s">
        <v>78</v>
      </c>
      <c r="N366" s="1" t="s">
        <v>188</v>
      </c>
      <c r="O366" s="2" t="s">
        <v>6235</v>
      </c>
      <c r="P366" s="1" t="s">
        <v>3833</v>
      </c>
      <c r="Q366" s="1" t="s">
        <v>5579</v>
      </c>
      <c r="R366" s="1" t="s">
        <v>3834</v>
      </c>
      <c r="S366" s="8">
        <v>46027</v>
      </c>
      <c r="T366" s="1">
        <v>2</v>
      </c>
      <c r="U366" s="1" t="s">
        <v>3835</v>
      </c>
      <c r="V366" s="1" t="s">
        <v>3835</v>
      </c>
      <c r="W366" s="1" t="s">
        <v>1388</v>
      </c>
    </row>
    <row r="367" spans="1:23" x14ac:dyDescent="0.25">
      <c r="A367" s="1" t="s">
        <v>48</v>
      </c>
      <c r="B367" s="1" t="s">
        <v>1978</v>
      </c>
      <c r="C367" s="1" t="s">
        <v>50</v>
      </c>
      <c r="D367" s="1" t="s">
        <v>1979</v>
      </c>
      <c r="E367" s="1" t="s">
        <v>1980</v>
      </c>
      <c r="F367" s="22" t="s">
        <v>6085</v>
      </c>
      <c r="G367" s="1" t="s">
        <v>6</v>
      </c>
      <c r="H367" s="1" t="s">
        <v>20</v>
      </c>
      <c r="I367" s="1" t="s">
        <v>25</v>
      </c>
      <c r="J367" s="1" t="s">
        <v>9</v>
      </c>
      <c r="K367" s="1" t="s">
        <v>10</v>
      </c>
      <c r="L367" s="1" t="s">
        <v>16</v>
      </c>
      <c r="M367" s="1" t="s">
        <v>78</v>
      </c>
      <c r="N367" s="11" t="s">
        <v>188</v>
      </c>
      <c r="O367" s="1" t="s">
        <v>6037</v>
      </c>
      <c r="P367" s="1" t="s">
        <v>924</v>
      </c>
      <c r="Q367" s="18" t="s">
        <v>4621</v>
      </c>
      <c r="R367" s="1" t="s">
        <v>3836</v>
      </c>
      <c r="S367" s="8">
        <v>46062</v>
      </c>
      <c r="T367" s="1">
        <v>1</v>
      </c>
      <c r="U367" s="1" t="s">
        <v>3837</v>
      </c>
      <c r="V367" s="1" t="s">
        <v>1388</v>
      </c>
      <c r="W367" s="1" t="s">
        <v>1388</v>
      </c>
    </row>
    <row r="368" spans="1:23" x14ac:dyDescent="0.25">
      <c r="A368" s="1" t="s">
        <v>48</v>
      </c>
      <c r="B368" s="1" t="s">
        <v>1981</v>
      </c>
      <c r="C368" s="1" t="s">
        <v>50</v>
      </c>
      <c r="D368" s="1" t="s">
        <v>1982</v>
      </c>
      <c r="E368" s="1" t="s">
        <v>1983</v>
      </c>
      <c r="F368" s="22" t="s">
        <v>3</v>
      </c>
      <c r="G368" s="1" t="s">
        <v>5</v>
      </c>
      <c r="H368" s="1" t="s">
        <v>20</v>
      </c>
      <c r="I368" s="1" t="s">
        <v>25</v>
      </c>
      <c r="J368" s="1" t="s">
        <v>9</v>
      </c>
      <c r="K368" s="1" t="s">
        <v>14</v>
      </c>
      <c r="L368" s="1" t="s">
        <v>14</v>
      </c>
      <c r="M368" s="1" t="s">
        <v>78</v>
      </c>
      <c r="N368" s="1" t="s">
        <v>1015</v>
      </c>
      <c r="O368" s="1" t="s">
        <v>6235</v>
      </c>
      <c r="P368" s="1" t="s">
        <v>1456</v>
      </c>
      <c r="Q368" s="1" t="s">
        <v>5580</v>
      </c>
      <c r="R368" s="7" t="s">
        <v>3838</v>
      </c>
      <c r="S368" s="8">
        <v>46023</v>
      </c>
      <c r="T368" s="1">
        <v>3</v>
      </c>
      <c r="U368" s="1" t="s">
        <v>3839</v>
      </c>
      <c r="V368" s="1" t="s">
        <v>3840</v>
      </c>
      <c r="W368" s="1" t="s">
        <v>3841</v>
      </c>
    </row>
    <row r="369" spans="1:23" x14ac:dyDescent="0.25">
      <c r="A369" s="1" t="s">
        <v>48</v>
      </c>
      <c r="B369" s="1" t="s">
        <v>1984</v>
      </c>
      <c r="C369" s="1" t="s">
        <v>50</v>
      </c>
      <c r="D369" s="1" t="s">
        <v>1985</v>
      </c>
      <c r="E369" s="1" t="s">
        <v>1986</v>
      </c>
      <c r="F369" s="22" t="s">
        <v>6085</v>
      </c>
      <c r="G369" s="1" t="s">
        <v>5</v>
      </c>
      <c r="H369" s="1" t="s">
        <v>21</v>
      </c>
      <c r="I369" s="1" t="s">
        <v>25</v>
      </c>
      <c r="J369" s="1" t="s">
        <v>9</v>
      </c>
      <c r="K369" s="1" t="s">
        <v>14</v>
      </c>
      <c r="L369" s="1" t="s">
        <v>14</v>
      </c>
      <c r="M369" s="1" t="s">
        <v>78</v>
      </c>
      <c r="N369" s="1" t="s">
        <v>188</v>
      </c>
      <c r="O369" s="2" t="s">
        <v>6235</v>
      </c>
      <c r="P369" s="1" t="s">
        <v>60</v>
      </c>
      <c r="Q369" s="1" t="s">
        <v>5581</v>
      </c>
      <c r="R369" s="1" t="s">
        <v>3842</v>
      </c>
      <c r="S369" s="8">
        <v>45747</v>
      </c>
      <c r="T369" s="1">
        <v>2</v>
      </c>
      <c r="U369" s="1" t="s">
        <v>3843</v>
      </c>
      <c r="V369" s="1" t="s">
        <v>3844</v>
      </c>
      <c r="W369" s="1" t="s">
        <v>1388</v>
      </c>
    </row>
    <row r="370" spans="1:23" x14ac:dyDescent="0.25">
      <c r="A370" s="1" t="s">
        <v>48</v>
      </c>
      <c r="B370" s="1" t="s">
        <v>1987</v>
      </c>
      <c r="C370" s="1" t="s">
        <v>50</v>
      </c>
      <c r="D370" s="1" t="s">
        <v>1988</v>
      </c>
      <c r="E370" s="1" t="s">
        <v>1989</v>
      </c>
      <c r="F370" s="22" t="s">
        <v>6085</v>
      </c>
      <c r="G370" s="1" t="s">
        <v>5</v>
      </c>
      <c r="H370" s="1" t="s">
        <v>20</v>
      </c>
      <c r="I370" s="1" t="s">
        <v>26</v>
      </c>
      <c r="J370" s="1" t="s">
        <v>9</v>
      </c>
      <c r="K370" s="1" t="s">
        <v>14</v>
      </c>
      <c r="L370" s="1" t="s">
        <v>14</v>
      </c>
      <c r="M370" s="1" t="s">
        <v>78</v>
      </c>
      <c r="N370" s="11" t="s">
        <v>188</v>
      </c>
      <c r="O370" s="1" t="s">
        <v>6037</v>
      </c>
      <c r="P370" s="1" t="s">
        <v>306</v>
      </c>
      <c r="Q370" s="1" t="s">
        <v>5582</v>
      </c>
      <c r="R370" s="1" t="s">
        <v>3845</v>
      </c>
      <c r="S370" s="8">
        <v>46028</v>
      </c>
      <c r="T370" s="1">
        <v>3</v>
      </c>
      <c r="U370" s="1" t="s">
        <v>3846</v>
      </c>
      <c r="V370" s="1" t="s">
        <v>3847</v>
      </c>
      <c r="W370" s="1" t="s">
        <v>1451</v>
      </c>
    </row>
    <row r="371" spans="1:23" x14ac:dyDescent="0.25">
      <c r="A371" s="1" t="s">
        <v>48</v>
      </c>
      <c r="B371" s="1" t="s">
        <v>1990</v>
      </c>
      <c r="C371" s="1" t="s">
        <v>50</v>
      </c>
      <c r="D371" s="1" t="s">
        <v>1991</v>
      </c>
      <c r="E371" s="1" t="s">
        <v>1992</v>
      </c>
      <c r="F371" s="22" t="s">
        <v>3</v>
      </c>
      <c r="G371" s="1" t="s">
        <v>5</v>
      </c>
      <c r="H371" s="1" t="s">
        <v>20</v>
      </c>
      <c r="I371" s="1" t="s">
        <v>25</v>
      </c>
      <c r="J371" s="1" t="s">
        <v>9</v>
      </c>
      <c r="K371" s="1" t="s">
        <v>13</v>
      </c>
      <c r="L371" s="1" t="s">
        <v>13</v>
      </c>
      <c r="M371" s="1" t="s">
        <v>78</v>
      </c>
      <c r="N371" s="1" t="s">
        <v>1013</v>
      </c>
      <c r="O371" s="1" t="s">
        <v>6235</v>
      </c>
      <c r="P371" s="1" t="s">
        <v>593</v>
      </c>
      <c r="Q371" s="1" t="s">
        <v>5433</v>
      </c>
      <c r="R371" s="7" t="s">
        <v>3848</v>
      </c>
      <c r="S371" s="8">
        <v>46023</v>
      </c>
      <c r="T371" s="1">
        <v>3</v>
      </c>
      <c r="U371" s="1" t="s">
        <v>3849</v>
      </c>
      <c r="V371" s="1" t="s">
        <v>3850</v>
      </c>
      <c r="W371" s="1" t="s">
        <v>3851</v>
      </c>
    </row>
    <row r="372" spans="1:23" x14ac:dyDescent="0.25">
      <c r="A372" s="1" t="s">
        <v>48</v>
      </c>
      <c r="B372" s="1" t="s">
        <v>1993</v>
      </c>
      <c r="C372" s="1" t="s">
        <v>50</v>
      </c>
      <c r="D372" s="1" t="s">
        <v>1994</v>
      </c>
      <c r="E372" s="1" t="s">
        <v>1995</v>
      </c>
      <c r="F372" s="22" t="s">
        <v>6085</v>
      </c>
      <c r="G372" s="1" t="s">
        <v>5</v>
      </c>
      <c r="H372" s="1" t="s">
        <v>20</v>
      </c>
      <c r="I372" s="1" t="s">
        <v>25</v>
      </c>
      <c r="J372" s="1" t="s">
        <v>9</v>
      </c>
      <c r="K372" s="1" t="s">
        <v>10</v>
      </c>
      <c r="L372" s="1" t="s">
        <v>16</v>
      </c>
      <c r="M372" s="1" t="s">
        <v>78</v>
      </c>
      <c r="N372" s="11" t="s">
        <v>188</v>
      </c>
      <c r="O372" s="1" t="s">
        <v>6037</v>
      </c>
      <c r="P372" s="1" t="s">
        <v>1456</v>
      </c>
      <c r="Q372" s="20" t="s">
        <v>5583</v>
      </c>
      <c r="R372" s="1" t="s">
        <v>3852</v>
      </c>
      <c r="S372" s="8">
        <v>46027</v>
      </c>
      <c r="T372" s="1">
        <v>3</v>
      </c>
      <c r="U372" s="1" t="s">
        <v>3853</v>
      </c>
      <c r="V372" s="1" t="s">
        <v>3854</v>
      </c>
      <c r="W372" s="1" t="s">
        <v>3853</v>
      </c>
    </row>
    <row r="373" spans="1:23" x14ac:dyDescent="0.25">
      <c r="A373" s="1" t="s">
        <v>48</v>
      </c>
      <c r="B373" s="1" t="s">
        <v>1996</v>
      </c>
      <c r="C373" s="1" t="s">
        <v>50</v>
      </c>
      <c r="D373" s="1" t="s">
        <v>1997</v>
      </c>
      <c r="E373" s="1" t="s">
        <v>1998</v>
      </c>
      <c r="F373" s="22" t="s">
        <v>6085</v>
      </c>
      <c r="G373" s="1" t="s">
        <v>5</v>
      </c>
      <c r="H373" s="1" t="s">
        <v>24</v>
      </c>
      <c r="I373" s="1" t="s">
        <v>25</v>
      </c>
      <c r="J373" s="1" t="s">
        <v>9</v>
      </c>
      <c r="K373" s="1" t="s">
        <v>13</v>
      </c>
      <c r="L373" s="1" t="s">
        <v>13</v>
      </c>
      <c r="M373" s="1" t="s">
        <v>78</v>
      </c>
      <c r="N373" s="11" t="s">
        <v>188</v>
      </c>
      <c r="O373" s="2" t="s">
        <v>6235</v>
      </c>
      <c r="P373" s="1" t="s">
        <v>1456</v>
      </c>
      <c r="Q373" s="1" t="s">
        <v>5584</v>
      </c>
      <c r="R373" s="1" t="s">
        <v>3855</v>
      </c>
      <c r="S373" s="8">
        <v>46023</v>
      </c>
      <c r="T373" s="1">
        <v>3</v>
      </c>
      <c r="U373" s="1" t="s">
        <v>3856</v>
      </c>
      <c r="V373" s="1" t="s">
        <v>3857</v>
      </c>
      <c r="W373" s="1" t="s">
        <v>3858</v>
      </c>
    </row>
    <row r="374" spans="1:23" x14ac:dyDescent="0.25">
      <c r="A374" s="1" t="s">
        <v>48</v>
      </c>
      <c r="B374" s="1" t="s">
        <v>1999</v>
      </c>
      <c r="C374" s="1" t="s">
        <v>50</v>
      </c>
      <c r="D374" s="1" t="s">
        <v>2000</v>
      </c>
      <c r="E374" s="1" t="s">
        <v>2001</v>
      </c>
      <c r="F374" s="22" t="s">
        <v>6085</v>
      </c>
      <c r="G374" s="1" t="s">
        <v>5</v>
      </c>
      <c r="H374" s="1" t="s">
        <v>20</v>
      </c>
      <c r="I374" s="1" t="s">
        <v>26</v>
      </c>
      <c r="J374" s="1" t="s">
        <v>9</v>
      </c>
      <c r="K374" s="1" t="s">
        <v>12</v>
      </c>
      <c r="L374" s="1" t="s">
        <v>12</v>
      </c>
      <c r="M374" s="1" t="s">
        <v>78</v>
      </c>
      <c r="N374" s="11" t="s">
        <v>188</v>
      </c>
      <c r="O374" s="2" t="s">
        <v>6235</v>
      </c>
      <c r="P374" s="1" t="s">
        <v>3859</v>
      </c>
      <c r="Q374" s="1" t="s">
        <v>5585</v>
      </c>
      <c r="R374" s="1" t="s">
        <v>3860</v>
      </c>
      <c r="S374" s="8">
        <v>46033</v>
      </c>
      <c r="T374" s="1">
        <v>3</v>
      </c>
      <c r="U374" s="1" t="s">
        <v>3861</v>
      </c>
      <c r="V374" s="1" t="s">
        <v>3862</v>
      </c>
      <c r="W374" s="1" t="s">
        <v>3863</v>
      </c>
    </row>
    <row r="375" spans="1:23" x14ac:dyDescent="0.25">
      <c r="A375" s="1" t="s">
        <v>48</v>
      </c>
      <c r="B375" s="1" t="s">
        <v>2002</v>
      </c>
      <c r="C375" s="1" t="s">
        <v>50</v>
      </c>
      <c r="D375" s="1" t="s">
        <v>2003</v>
      </c>
      <c r="E375" s="12" t="s">
        <v>2004</v>
      </c>
      <c r="F375" s="22" t="s">
        <v>6085</v>
      </c>
      <c r="G375" s="1" t="s">
        <v>6</v>
      </c>
      <c r="H375" s="1" t="s">
        <v>20</v>
      </c>
      <c r="I375" s="1" t="s">
        <v>26</v>
      </c>
      <c r="J375" s="1" t="s">
        <v>9</v>
      </c>
      <c r="K375" s="1" t="s">
        <v>19</v>
      </c>
      <c r="L375" s="1" t="s">
        <v>19</v>
      </c>
      <c r="M375" s="1" t="s">
        <v>78</v>
      </c>
      <c r="N375" s="11" t="s">
        <v>188</v>
      </c>
      <c r="O375" s="1" t="s">
        <v>6037</v>
      </c>
      <c r="P375" s="1" t="s">
        <v>60</v>
      </c>
      <c r="Q375" s="18" t="s">
        <v>5586</v>
      </c>
      <c r="R375" s="7" t="s">
        <v>3864</v>
      </c>
      <c r="S375" s="8">
        <v>45691</v>
      </c>
      <c r="T375" s="1">
        <v>2</v>
      </c>
      <c r="U375" s="1" t="s">
        <v>3865</v>
      </c>
      <c r="V375" s="1" t="s">
        <v>3866</v>
      </c>
      <c r="W375" s="1" t="s">
        <v>1388</v>
      </c>
    </row>
    <row r="376" spans="1:23" x14ac:dyDescent="0.25">
      <c r="A376" s="1" t="s">
        <v>48</v>
      </c>
      <c r="B376" s="1" t="s">
        <v>2005</v>
      </c>
      <c r="C376" s="1" t="s">
        <v>50</v>
      </c>
      <c r="D376" s="1" t="s">
        <v>2006</v>
      </c>
      <c r="E376" s="12" t="s">
        <v>2007</v>
      </c>
      <c r="F376" s="22" t="s">
        <v>6085</v>
      </c>
      <c r="G376" s="1" t="s">
        <v>5</v>
      </c>
      <c r="H376" s="1" t="s">
        <v>20</v>
      </c>
      <c r="I376" s="1" t="s">
        <v>25</v>
      </c>
      <c r="J376" s="1" t="s">
        <v>9</v>
      </c>
      <c r="K376" s="1" t="s">
        <v>14</v>
      </c>
      <c r="L376" s="1" t="s">
        <v>14</v>
      </c>
      <c r="M376" s="1" t="s">
        <v>78</v>
      </c>
      <c r="N376" s="11" t="s">
        <v>188</v>
      </c>
      <c r="O376" s="1" t="s">
        <v>6037</v>
      </c>
      <c r="P376" s="1" t="s">
        <v>126</v>
      </c>
      <c r="Q376" s="1" t="s">
        <v>5</v>
      </c>
      <c r="R376" s="1" t="s">
        <v>3867</v>
      </c>
      <c r="S376" s="8">
        <v>46055</v>
      </c>
      <c r="T376" s="1">
        <v>3</v>
      </c>
      <c r="U376" s="1" t="s">
        <v>3868</v>
      </c>
      <c r="V376" s="1" t="s">
        <v>3869</v>
      </c>
      <c r="W376" s="1" t="s">
        <v>3869</v>
      </c>
    </row>
    <row r="377" spans="1:23" x14ac:dyDescent="0.25">
      <c r="A377" s="1" t="s">
        <v>48</v>
      </c>
      <c r="B377" s="1" t="s">
        <v>2008</v>
      </c>
      <c r="C377" s="1" t="s">
        <v>50</v>
      </c>
      <c r="D377" s="1" t="s">
        <v>2009</v>
      </c>
      <c r="E377" s="1" t="s">
        <v>2010</v>
      </c>
      <c r="F377" s="22" t="s">
        <v>3</v>
      </c>
      <c r="G377" s="1" t="s">
        <v>5</v>
      </c>
      <c r="H377" s="1" t="s">
        <v>20</v>
      </c>
      <c r="I377" s="1" t="s">
        <v>25</v>
      </c>
      <c r="J377" s="1" t="s">
        <v>9</v>
      </c>
      <c r="K377" s="1" t="s">
        <v>15</v>
      </c>
      <c r="L377" s="1" t="s">
        <v>15</v>
      </c>
      <c r="M377" s="1" t="s">
        <v>78</v>
      </c>
      <c r="N377" s="1" t="s">
        <v>1015</v>
      </c>
      <c r="O377" s="1" t="s">
        <v>6235</v>
      </c>
      <c r="P377" s="1" t="s">
        <v>593</v>
      </c>
      <c r="Q377" s="1" t="s">
        <v>5587</v>
      </c>
      <c r="R377" s="7" t="s">
        <v>3870</v>
      </c>
      <c r="S377" s="8">
        <v>46027</v>
      </c>
      <c r="T377" s="1">
        <v>3</v>
      </c>
      <c r="U377" s="1" t="s">
        <v>744</v>
      </c>
      <c r="V377" s="1" t="s">
        <v>744</v>
      </c>
      <c r="W377" s="1" t="s">
        <v>1388</v>
      </c>
    </row>
    <row r="378" spans="1:23" x14ac:dyDescent="0.25">
      <c r="A378" s="1" t="s">
        <v>48</v>
      </c>
      <c r="B378" s="1" t="s">
        <v>2011</v>
      </c>
      <c r="C378" s="1" t="s">
        <v>50</v>
      </c>
      <c r="D378" s="1" t="s">
        <v>2012</v>
      </c>
      <c r="E378" s="1" t="s">
        <v>2013</v>
      </c>
      <c r="F378" s="22" t="s">
        <v>3</v>
      </c>
      <c r="G378" s="1" t="s">
        <v>5</v>
      </c>
      <c r="H378" s="1" t="s">
        <v>21</v>
      </c>
      <c r="I378" s="1" t="s">
        <v>26</v>
      </c>
      <c r="J378" s="1" t="s">
        <v>9</v>
      </c>
      <c r="K378" s="1" t="s">
        <v>13</v>
      </c>
      <c r="L378" s="1" t="s">
        <v>13</v>
      </c>
      <c r="M378" s="1" t="s">
        <v>78</v>
      </c>
      <c r="N378" s="11" t="s">
        <v>188</v>
      </c>
      <c r="O378" s="1" t="s">
        <v>6037</v>
      </c>
      <c r="P378" s="1" t="s">
        <v>107</v>
      </c>
      <c r="Q378" s="1" t="s">
        <v>5588</v>
      </c>
      <c r="R378" s="7" t="s">
        <v>3871</v>
      </c>
      <c r="S378" s="8">
        <v>44378</v>
      </c>
      <c r="T378" s="1">
        <v>2</v>
      </c>
      <c r="U378" s="1" t="s">
        <v>3872</v>
      </c>
      <c r="V378" s="1" t="s">
        <v>3873</v>
      </c>
      <c r="W378" s="1" t="s">
        <v>1388</v>
      </c>
    </row>
    <row r="379" spans="1:23" x14ac:dyDescent="0.25">
      <c r="A379" s="1" t="s">
        <v>48</v>
      </c>
      <c r="B379" s="1" t="s">
        <v>2014</v>
      </c>
      <c r="C379" s="1" t="s">
        <v>50</v>
      </c>
      <c r="D379" s="1" t="s">
        <v>2015</v>
      </c>
      <c r="E379" s="1" t="s">
        <v>2016</v>
      </c>
      <c r="F379" s="22" t="s">
        <v>6085</v>
      </c>
      <c r="G379" s="1" t="s">
        <v>6</v>
      </c>
      <c r="H379" s="1" t="s">
        <v>20</v>
      </c>
      <c r="I379" s="1" t="s">
        <v>25</v>
      </c>
      <c r="J379" s="1" t="s">
        <v>9</v>
      </c>
      <c r="K379" s="1" t="s">
        <v>14</v>
      </c>
      <c r="L379" s="1" t="s">
        <v>14</v>
      </c>
      <c r="M379" s="1" t="s">
        <v>78</v>
      </c>
      <c r="N379" s="11" t="s">
        <v>188</v>
      </c>
      <c r="O379" s="1" t="s">
        <v>6037</v>
      </c>
      <c r="P379" s="1" t="s">
        <v>66</v>
      </c>
      <c r="Q379" s="1" t="s">
        <v>5589</v>
      </c>
      <c r="R379" s="1" t="s">
        <v>3874</v>
      </c>
      <c r="S379" s="8">
        <v>46027</v>
      </c>
      <c r="T379" s="1">
        <v>1</v>
      </c>
      <c r="U379" s="1" t="s">
        <v>3875</v>
      </c>
      <c r="V379" s="1" t="s">
        <v>1388</v>
      </c>
      <c r="W379" s="1" t="s">
        <v>1388</v>
      </c>
    </row>
    <row r="380" spans="1:23" x14ac:dyDescent="0.25">
      <c r="A380" s="1" t="s">
        <v>48</v>
      </c>
      <c r="B380" s="1" t="s">
        <v>2017</v>
      </c>
      <c r="C380" s="1" t="s">
        <v>50</v>
      </c>
      <c r="D380" s="1" t="s">
        <v>2018</v>
      </c>
      <c r="E380" s="1" t="s">
        <v>2019</v>
      </c>
      <c r="F380" s="22" t="s">
        <v>6085</v>
      </c>
      <c r="G380" s="1" t="s">
        <v>6</v>
      </c>
      <c r="H380" s="1" t="s">
        <v>20</v>
      </c>
      <c r="I380" s="1" t="s">
        <v>25</v>
      </c>
      <c r="J380" s="1" t="s">
        <v>9</v>
      </c>
      <c r="K380" s="1" t="s">
        <v>19</v>
      </c>
      <c r="L380" s="1" t="s">
        <v>19</v>
      </c>
      <c r="M380" s="1" t="s">
        <v>78</v>
      </c>
      <c r="N380" s="11" t="s">
        <v>188</v>
      </c>
      <c r="O380" s="1" t="s">
        <v>6037</v>
      </c>
      <c r="P380" s="1" t="s">
        <v>66</v>
      </c>
      <c r="Q380" s="1" t="s">
        <v>5590</v>
      </c>
      <c r="R380" s="1" t="s">
        <v>3876</v>
      </c>
      <c r="S380" s="8">
        <v>45662</v>
      </c>
      <c r="T380" s="1">
        <v>1</v>
      </c>
      <c r="U380" s="1" t="s">
        <v>3877</v>
      </c>
      <c r="V380" s="1" t="s">
        <v>1388</v>
      </c>
      <c r="W380" s="1" t="s">
        <v>1388</v>
      </c>
    </row>
    <row r="381" spans="1:23" x14ac:dyDescent="0.25">
      <c r="A381" s="1" t="s">
        <v>48</v>
      </c>
      <c r="B381" s="1" t="s">
        <v>2020</v>
      </c>
      <c r="C381" s="1" t="s">
        <v>50</v>
      </c>
      <c r="D381" s="1" t="s">
        <v>2021</v>
      </c>
      <c r="E381" s="1" t="s">
        <v>2022</v>
      </c>
      <c r="F381" s="22" t="s">
        <v>6085</v>
      </c>
      <c r="G381" s="1" t="s">
        <v>7</v>
      </c>
      <c r="H381" s="1" t="s">
        <v>20</v>
      </c>
      <c r="I381" s="1" t="s">
        <v>25</v>
      </c>
      <c r="J381" s="1" t="s">
        <v>9</v>
      </c>
      <c r="K381" s="1" t="s">
        <v>10</v>
      </c>
      <c r="L381" s="1" t="s">
        <v>10</v>
      </c>
      <c r="M381" s="1" t="s">
        <v>78</v>
      </c>
      <c r="N381" s="11" t="s">
        <v>188</v>
      </c>
      <c r="O381" s="1" t="s">
        <v>6037</v>
      </c>
      <c r="P381" s="1" t="s">
        <v>1519</v>
      </c>
      <c r="Q381" s="20" t="s">
        <v>5591</v>
      </c>
      <c r="R381" s="1" t="s">
        <v>3878</v>
      </c>
      <c r="S381" s="8">
        <v>45663</v>
      </c>
      <c r="T381" s="1">
        <v>2</v>
      </c>
      <c r="U381" s="1" t="s">
        <v>3879</v>
      </c>
      <c r="V381" s="1" t="s">
        <v>3879</v>
      </c>
      <c r="W381" s="1" t="s">
        <v>3879</v>
      </c>
    </row>
    <row r="382" spans="1:23" ht="13.8" customHeight="1" x14ac:dyDescent="0.25">
      <c r="A382" s="1" t="s">
        <v>48</v>
      </c>
      <c r="B382" s="1" t="s">
        <v>2023</v>
      </c>
      <c r="C382" s="1" t="s">
        <v>50</v>
      </c>
      <c r="D382" s="1" t="s">
        <v>2024</v>
      </c>
      <c r="E382" s="1" t="s">
        <v>2025</v>
      </c>
      <c r="F382" s="22" t="s">
        <v>6085</v>
      </c>
      <c r="G382" s="1" t="s">
        <v>6</v>
      </c>
      <c r="H382" s="1" t="s">
        <v>20</v>
      </c>
      <c r="I382" s="1" t="s">
        <v>25</v>
      </c>
      <c r="J382" s="1" t="s">
        <v>9</v>
      </c>
      <c r="K382" s="1" t="s">
        <v>11</v>
      </c>
      <c r="L382" s="1" t="s">
        <v>11</v>
      </c>
      <c r="M382" s="1" t="s">
        <v>78</v>
      </c>
      <c r="N382" s="11" t="s">
        <v>188</v>
      </c>
      <c r="O382" s="1" t="s">
        <v>6037</v>
      </c>
      <c r="P382" s="1" t="s">
        <v>60</v>
      </c>
      <c r="Q382" s="1" t="s">
        <v>5592</v>
      </c>
      <c r="R382" s="1" t="s">
        <v>3880</v>
      </c>
      <c r="S382" s="8">
        <v>46048</v>
      </c>
      <c r="T382" s="1">
        <v>2</v>
      </c>
      <c r="U382" s="1" t="s">
        <v>1416</v>
      </c>
      <c r="V382" s="1" t="s">
        <v>1416</v>
      </c>
      <c r="W382" s="1" t="s">
        <v>1388</v>
      </c>
    </row>
    <row r="383" spans="1:23" x14ac:dyDescent="0.25">
      <c r="A383" s="1" t="s">
        <v>48</v>
      </c>
      <c r="B383" s="1" t="s">
        <v>2026</v>
      </c>
      <c r="C383" s="1" t="s">
        <v>50</v>
      </c>
      <c r="D383" s="1" t="s">
        <v>2027</v>
      </c>
      <c r="E383" s="1" t="s">
        <v>2028</v>
      </c>
      <c r="F383" s="22" t="s">
        <v>6085</v>
      </c>
      <c r="G383" s="1" t="s">
        <v>6</v>
      </c>
      <c r="H383" s="1" t="s">
        <v>24</v>
      </c>
      <c r="I383" s="1" t="s">
        <v>26</v>
      </c>
      <c r="J383" s="1" t="s">
        <v>9</v>
      </c>
      <c r="K383" s="1" t="s">
        <v>11</v>
      </c>
      <c r="L383" s="1" t="s">
        <v>11</v>
      </c>
      <c r="M383" s="1" t="s">
        <v>78</v>
      </c>
      <c r="N383" s="1" t="s">
        <v>188</v>
      </c>
      <c r="O383" s="1" t="s">
        <v>6037</v>
      </c>
      <c r="P383" s="1" t="s">
        <v>126</v>
      </c>
      <c r="Q383" s="1" t="s">
        <v>5593</v>
      </c>
      <c r="R383" s="1" t="s">
        <v>3881</v>
      </c>
      <c r="S383" s="8">
        <v>46041</v>
      </c>
      <c r="T383" s="1">
        <v>1</v>
      </c>
      <c r="U383" s="1" t="s">
        <v>1588</v>
      </c>
      <c r="V383" s="1" t="s">
        <v>1388</v>
      </c>
      <c r="W383" s="1" t="s">
        <v>1388</v>
      </c>
    </row>
    <row r="384" spans="1:23" x14ac:dyDescent="0.25">
      <c r="A384" s="1" t="s">
        <v>48</v>
      </c>
      <c r="B384" s="1" t="s">
        <v>2029</v>
      </c>
      <c r="C384" s="1" t="s">
        <v>50</v>
      </c>
      <c r="D384" s="1" t="s">
        <v>2030</v>
      </c>
      <c r="E384" s="1" t="s">
        <v>2031</v>
      </c>
      <c r="F384" s="22" t="s">
        <v>3</v>
      </c>
      <c r="G384" s="1" t="s">
        <v>5</v>
      </c>
      <c r="H384" s="1" t="s">
        <v>24</v>
      </c>
      <c r="I384" s="1" t="s">
        <v>26</v>
      </c>
      <c r="J384" s="1" t="s">
        <v>9</v>
      </c>
      <c r="K384" s="1" t="s">
        <v>11</v>
      </c>
      <c r="L384" s="1" t="s">
        <v>11</v>
      </c>
      <c r="M384" s="1" t="s">
        <v>78</v>
      </c>
      <c r="N384" s="11" t="s">
        <v>188</v>
      </c>
      <c r="O384" s="1" t="s">
        <v>6037</v>
      </c>
      <c r="P384" s="1" t="s">
        <v>60</v>
      </c>
      <c r="Q384" s="1" t="s">
        <v>5594</v>
      </c>
      <c r="R384" s="7" t="s">
        <v>3882</v>
      </c>
      <c r="S384" s="8">
        <v>46023</v>
      </c>
      <c r="T384" s="1">
        <v>3</v>
      </c>
      <c r="U384" s="1" t="s">
        <v>291</v>
      </c>
      <c r="V384" s="1" t="s">
        <v>236</v>
      </c>
      <c r="W384" s="1" t="s">
        <v>208</v>
      </c>
    </row>
    <row r="385" spans="1:23" x14ac:dyDescent="0.25">
      <c r="A385" s="1" t="s">
        <v>48</v>
      </c>
      <c r="B385" s="1" t="s">
        <v>2032</v>
      </c>
      <c r="C385" s="1" t="s">
        <v>50</v>
      </c>
      <c r="D385" s="1" t="s">
        <v>2033</v>
      </c>
      <c r="E385" s="1" t="s">
        <v>2034</v>
      </c>
      <c r="F385" s="22" t="s">
        <v>6085</v>
      </c>
      <c r="G385" s="1" t="s">
        <v>7</v>
      </c>
      <c r="H385" s="1" t="s">
        <v>22</v>
      </c>
      <c r="I385" s="1" t="s">
        <v>26</v>
      </c>
      <c r="J385" s="1" t="s">
        <v>9</v>
      </c>
      <c r="K385" s="1" t="s">
        <v>12</v>
      </c>
      <c r="L385" s="1" t="s">
        <v>12</v>
      </c>
      <c r="M385" s="1" t="s">
        <v>78</v>
      </c>
      <c r="N385" s="11" t="s">
        <v>188</v>
      </c>
      <c r="O385" s="1" t="s">
        <v>6037</v>
      </c>
      <c r="P385" s="1" t="s">
        <v>247</v>
      </c>
      <c r="Q385" s="1" t="s">
        <v>5595</v>
      </c>
      <c r="R385" s="1" t="s">
        <v>3883</v>
      </c>
      <c r="S385" s="8">
        <v>46023</v>
      </c>
      <c r="T385" s="1">
        <v>2</v>
      </c>
      <c r="U385" s="1" t="s">
        <v>3884</v>
      </c>
      <c r="V385" s="1" t="s">
        <v>3885</v>
      </c>
      <c r="W385" s="1" t="s">
        <v>1388</v>
      </c>
    </row>
    <row r="386" spans="1:23" x14ac:dyDescent="0.25">
      <c r="A386" s="1" t="s">
        <v>48</v>
      </c>
      <c r="B386" s="1" t="s">
        <v>2035</v>
      </c>
      <c r="C386" s="1" t="s">
        <v>50</v>
      </c>
      <c r="D386" s="1" t="s">
        <v>2036</v>
      </c>
      <c r="E386" s="1" t="s">
        <v>2037</v>
      </c>
      <c r="F386" s="22" t="s">
        <v>3</v>
      </c>
      <c r="G386" s="1" t="s">
        <v>6</v>
      </c>
      <c r="H386" s="1" t="s">
        <v>20</v>
      </c>
      <c r="I386" s="1" t="s">
        <v>25</v>
      </c>
      <c r="J386" s="1" t="s">
        <v>9</v>
      </c>
      <c r="K386" s="1" t="s">
        <v>13</v>
      </c>
      <c r="L386" s="1" t="s">
        <v>13</v>
      </c>
      <c r="M386" s="1" t="s">
        <v>78</v>
      </c>
      <c r="N386" s="11" t="s">
        <v>188</v>
      </c>
      <c r="O386" s="1" t="s">
        <v>6037</v>
      </c>
      <c r="P386" s="1" t="s">
        <v>126</v>
      </c>
      <c r="Q386" s="1" t="s">
        <v>5596</v>
      </c>
      <c r="R386" s="7" t="s">
        <v>3886</v>
      </c>
      <c r="S386" s="8">
        <v>46069</v>
      </c>
      <c r="T386" s="1">
        <v>2</v>
      </c>
      <c r="U386" s="1" t="s">
        <v>3887</v>
      </c>
      <c r="V386" s="1" t="s">
        <v>3888</v>
      </c>
      <c r="W386" s="1" t="s">
        <v>1388</v>
      </c>
    </row>
    <row r="387" spans="1:23" x14ac:dyDescent="0.25">
      <c r="A387" s="1" t="s">
        <v>48</v>
      </c>
      <c r="B387" s="1" t="s">
        <v>2038</v>
      </c>
      <c r="C387" s="1" t="s">
        <v>50</v>
      </c>
      <c r="D387" s="1" t="s">
        <v>2039</v>
      </c>
      <c r="E387" s="1" t="s">
        <v>2040</v>
      </c>
      <c r="F387" s="22" t="s">
        <v>3</v>
      </c>
      <c r="G387" s="1" t="s">
        <v>6</v>
      </c>
      <c r="H387" s="1" t="s">
        <v>20</v>
      </c>
      <c r="I387" s="1" t="s">
        <v>26</v>
      </c>
      <c r="J387" s="1" t="s">
        <v>9</v>
      </c>
      <c r="K387" s="1" t="s">
        <v>14</v>
      </c>
      <c r="L387" s="1" t="s">
        <v>17</v>
      </c>
      <c r="M387" s="1" t="s">
        <v>78</v>
      </c>
      <c r="N387" s="10" t="s">
        <v>5245</v>
      </c>
      <c r="O387" s="1" t="s">
        <v>6235</v>
      </c>
      <c r="P387" s="1" t="s">
        <v>3889</v>
      </c>
      <c r="Q387" s="1" t="s">
        <v>5597</v>
      </c>
      <c r="R387" s="7" t="s">
        <v>3890</v>
      </c>
      <c r="S387" s="8">
        <v>45888</v>
      </c>
      <c r="T387" s="1">
        <v>2</v>
      </c>
      <c r="U387" s="1" t="s">
        <v>128</v>
      </c>
      <c r="V387" s="1" t="s">
        <v>128</v>
      </c>
      <c r="W387" s="1" t="s">
        <v>1388</v>
      </c>
    </row>
    <row r="388" spans="1:23" x14ac:dyDescent="0.25">
      <c r="A388" s="1" t="s">
        <v>48</v>
      </c>
      <c r="B388" s="1" t="s">
        <v>2041</v>
      </c>
      <c r="C388" s="1" t="s">
        <v>50</v>
      </c>
      <c r="D388" s="1" t="s">
        <v>2042</v>
      </c>
      <c r="E388" s="1" t="s">
        <v>2043</v>
      </c>
      <c r="F388" s="22" t="s">
        <v>3</v>
      </c>
      <c r="G388" s="1" t="s">
        <v>6</v>
      </c>
      <c r="H388" s="1" t="s">
        <v>20</v>
      </c>
      <c r="I388" s="1" t="s">
        <v>25</v>
      </c>
      <c r="J388" s="1" t="s">
        <v>9</v>
      </c>
      <c r="K388" s="1" t="s">
        <v>14</v>
      </c>
      <c r="L388" s="1" t="s">
        <v>14</v>
      </c>
      <c r="M388" s="1" t="s">
        <v>78</v>
      </c>
      <c r="N388" s="14" t="s">
        <v>5226</v>
      </c>
      <c r="O388" s="1" t="s">
        <v>6037</v>
      </c>
      <c r="P388" s="1" t="s">
        <v>1519</v>
      </c>
      <c r="Q388" s="1" t="s">
        <v>5598</v>
      </c>
      <c r="R388" s="1" t="s">
        <v>3891</v>
      </c>
      <c r="S388" s="8">
        <v>46055</v>
      </c>
      <c r="T388" s="1">
        <v>3</v>
      </c>
      <c r="U388" s="1" t="s">
        <v>3892</v>
      </c>
      <c r="V388" s="1" t="s">
        <v>3893</v>
      </c>
      <c r="W388" s="1" t="s">
        <v>3893</v>
      </c>
    </row>
    <row r="389" spans="1:23" x14ac:dyDescent="0.25">
      <c r="A389" s="1" t="s">
        <v>48</v>
      </c>
      <c r="B389" s="1" t="s">
        <v>2044</v>
      </c>
      <c r="C389" s="1" t="s">
        <v>50</v>
      </c>
      <c r="D389" s="1" t="s">
        <v>2045</v>
      </c>
      <c r="E389" s="1" t="s">
        <v>2046</v>
      </c>
      <c r="F389" s="22" t="s">
        <v>3</v>
      </c>
      <c r="G389" s="1" t="s">
        <v>6</v>
      </c>
      <c r="H389" s="1" t="s">
        <v>20</v>
      </c>
      <c r="I389" s="1" t="s">
        <v>25</v>
      </c>
      <c r="J389" s="1" t="s">
        <v>9</v>
      </c>
      <c r="K389" s="1" t="s">
        <v>16</v>
      </c>
      <c r="L389" s="1" t="s">
        <v>16</v>
      </c>
      <c r="M389" s="1" t="s">
        <v>78</v>
      </c>
      <c r="N389" s="1" t="s">
        <v>1013</v>
      </c>
      <c r="O389" s="1" t="s">
        <v>6037</v>
      </c>
      <c r="P389" s="1" t="s">
        <v>175</v>
      </c>
      <c r="Q389" s="1" t="s">
        <v>4621</v>
      </c>
      <c r="R389" s="7" t="s">
        <v>3894</v>
      </c>
      <c r="S389" s="8">
        <v>45702</v>
      </c>
      <c r="T389" s="1">
        <v>1</v>
      </c>
      <c r="U389" s="1" t="s">
        <v>3895</v>
      </c>
      <c r="V389" s="1" t="s">
        <v>1388</v>
      </c>
      <c r="W389" s="1" t="s">
        <v>1388</v>
      </c>
    </row>
    <row r="390" spans="1:23" x14ac:dyDescent="0.25">
      <c r="A390" s="1" t="s">
        <v>48</v>
      </c>
      <c r="B390" s="1" t="s">
        <v>2047</v>
      </c>
      <c r="C390" s="1" t="s">
        <v>50</v>
      </c>
      <c r="D390" s="1" t="s">
        <v>2048</v>
      </c>
      <c r="E390" s="1" t="s">
        <v>2049</v>
      </c>
      <c r="F390" s="22" t="s">
        <v>6085</v>
      </c>
      <c r="G390" s="1" t="s">
        <v>1383</v>
      </c>
      <c r="H390" s="1" t="s">
        <v>24</v>
      </c>
      <c r="I390" s="1" t="s">
        <v>25</v>
      </c>
      <c r="J390" s="1" t="s">
        <v>9</v>
      </c>
      <c r="K390" s="1" t="s">
        <v>13</v>
      </c>
      <c r="L390" s="1" t="s">
        <v>13</v>
      </c>
      <c r="M390" s="1" t="s">
        <v>78</v>
      </c>
      <c r="N390" s="1" t="s">
        <v>2090</v>
      </c>
      <c r="O390" s="1" t="s">
        <v>6037</v>
      </c>
      <c r="P390" s="1" t="s">
        <v>3896</v>
      </c>
      <c r="Q390" s="1" t="s">
        <v>5599</v>
      </c>
      <c r="R390" s="1" t="s">
        <v>3897</v>
      </c>
      <c r="S390" s="8">
        <v>45658</v>
      </c>
      <c r="T390" s="1">
        <v>1</v>
      </c>
      <c r="U390" s="1" t="s">
        <v>3898</v>
      </c>
      <c r="V390" s="1" t="s">
        <v>1388</v>
      </c>
      <c r="W390" s="1" t="s">
        <v>1388</v>
      </c>
    </row>
    <row r="391" spans="1:23" x14ac:dyDescent="0.25">
      <c r="A391" s="1" t="s">
        <v>48</v>
      </c>
      <c r="B391" s="1" t="s">
        <v>2050</v>
      </c>
      <c r="C391" s="1" t="s">
        <v>50</v>
      </c>
      <c r="D391" s="1" t="s">
        <v>2051</v>
      </c>
      <c r="E391" s="1" t="s">
        <v>2052</v>
      </c>
      <c r="F391" s="22" t="s">
        <v>6085</v>
      </c>
      <c r="G391" s="1" t="s">
        <v>7</v>
      </c>
      <c r="H391" s="1" t="s">
        <v>24</v>
      </c>
      <c r="I391" s="1" t="s">
        <v>25</v>
      </c>
      <c r="J391" s="1" t="s">
        <v>9</v>
      </c>
      <c r="K391" s="1" t="s">
        <v>14</v>
      </c>
      <c r="L391" s="1" t="s">
        <v>14</v>
      </c>
      <c r="M391" s="1" t="s">
        <v>78</v>
      </c>
      <c r="N391" s="11" t="s">
        <v>188</v>
      </c>
      <c r="O391" s="1" t="s">
        <v>6037</v>
      </c>
      <c r="P391" s="1" t="s">
        <v>60</v>
      </c>
      <c r="Q391" s="1" t="s">
        <v>5600</v>
      </c>
      <c r="R391" s="1" t="s">
        <v>3899</v>
      </c>
      <c r="S391" s="8">
        <v>46023</v>
      </c>
      <c r="T391" s="1">
        <v>2</v>
      </c>
      <c r="U391" s="1" t="s">
        <v>3900</v>
      </c>
      <c r="V391" s="1" t="s">
        <v>3901</v>
      </c>
      <c r="W391" s="1" t="s">
        <v>1388</v>
      </c>
    </row>
    <row r="392" spans="1:23" x14ac:dyDescent="0.25">
      <c r="A392" s="1" t="s">
        <v>48</v>
      </c>
      <c r="B392" s="1" t="s">
        <v>2053</v>
      </c>
      <c r="C392" s="1" t="s">
        <v>50</v>
      </c>
      <c r="D392" s="1" t="s">
        <v>2054</v>
      </c>
      <c r="E392" s="1" t="s">
        <v>2055</v>
      </c>
      <c r="F392" s="22" t="s">
        <v>6085</v>
      </c>
      <c r="G392" s="1" t="s">
        <v>7</v>
      </c>
      <c r="H392" s="1" t="s">
        <v>20</v>
      </c>
      <c r="I392" s="1" t="s">
        <v>26</v>
      </c>
      <c r="J392" s="1" t="s">
        <v>9</v>
      </c>
      <c r="K392" s="1" t="s">
        <v>13</v>
      </c>
      <c r="L392" s="1" t="s">
        <v>13</v>
      </c>
      <c r="M392" s="1" t="s">
        <v>78</v>
      </c>
      <c r="N392" s="1" t="s">
        <v>188</v>
      </c>
      <c r="O392" s="2" t="s">
        <v>6235</v>
      </c>
      <c r="P392" s="1" t="s">
        <v>3902</v>
      </c>
      <c r="Q392" s="1" t="s">
        <v>5601</v>
      </c>
      <c r="R392" s="1" t="s">
        <v>3903</v>
      </c>
      <c r="S392" s="8">
        <v>46082</v>
      </c>
      <c r="T392" s="1">
        <v>2</v>
      </c>
      <c r="U392" s="1" t="s">
        <v>3904</v>
      </c>
      <c r="V392" s="1" t="s">
        <v>3904</v>
      </c>
      <c r="W392" s="1" t="s">
        <v>1388</v>
      </c>
    </row>
    <row r="393" spans="1:23" x14ac:dyDescent="0.25">
      <c r="A393" s="1" t="s">
        <v>48</v>
      </c>
      <c r="B393" s="1" t="s">
        <v>2056</v>
      </c>
      <c r="C393" s="1" t="s">
        <v>50</v>
      </c>
      <c r="D393" s="1" t="s">
        <v>1116</v>
      </c>
      <c r="E393" s="1" t="s">
        <v>2057</v>
      </c>
      <c r="F393" s="22" t="s">
        <v>5259</v>
      </c>
      <c r="G393" s="1" t="s">
        <v>1383</v>
      </c>
      <c r="H393" s="1" t="s">
        <v>20</v>
      </c>
      <c r="I393" s="1" t="s">
        <v>26</v>
      </c>
      <c r="J393" s="1" t="s">
        <v>9</v>
      </c>
      <c r="K393" s="1" t="s">
        <v>12</v>
      </c>
      <c r="L393" s="1" t="s">
        <v>12</v>
      </c>
      <c r="M393" s="1" t="s">
        <v>78</v>
      </c>
      <c r="N393" s="1" t="s">
        <v>6237</v>
      </c>
      <c r="O393" s="1" t="s">
        <v>6037</v>
      </c>
      <c r="P393" s="1" t="e">
        <v>#N/A</v>
      </c>
      <c r="Q393" s="1" t="e">
        <v>#N/A</v>
      </c>
      <c r="R393" s="1" t="e">
        <v>#N/A</v>
      </c>
      <c r="S393" s="1" t="e">
        <v>#N/A</v>
      </c>
      <c r="T393" s="1" t="e">
        <v>#N/A</v>
      </c>
      <c r="U393" s="1" t="e">
        <v>#N/A</v>
      </c>
      <c r="V393" s="1" t="e">
        <v>#N/A</v>
      </c>
      <c r="W393" s="1" t="e">
        <v>#N/A</v>
      </c>
    </row>
    <row r="394" spans="1:23" x14ac:dyDescent="0.25">
      <c r="A394" s="1" t="s">
        <v>48</v>
      </c>
      <c r="B394" s="1" t="s">
        <v>2058</v>
      </c>
      <c r="C394" s="1" t="s">
        <v>50</v>
      </c>
      <c r="D394" s="1" t="s">
        <v>2059</v>
      </c>
      <c r="E394" s="1" t="s">
        <v>2060</v>
      </c>
      <c r="F394" s="22" t="s">
        <v>6085</v>
      </c>
      <c r="G394" s="1" t="s">
        <v>6</v>
      </c>
      <c r="H394" s="1" t="s">
        <v>20</v>
      </c>
      <c r="I394" s="1" t="s">
        <v>25</v>
      </c>
      <c r="J394" s="1" t="s">
        <v>9</v>
      </c>
      <c r="K394" s="1" t="s">
        <v>16</v>
      </c>
      <c r="L394" s="1" t="s">
        <v>16</v>
      </c>
      <c r="M394" s="1" t="s">
        <v>78</v>
      </c>
      <c r="N394" s="11" t="s">
        <v>188</v>
      </c>
      <c r="O394" s="1" t="s">
        <v>6037</v>
      </c>
      <c r="P394" s="1" t="s">
        <v>3905</v>
      </c>
      <c r="Q394" s="1" t="s">
        <v>5602</v>
      </c>
      <c r="R394" s="1" t="s">
        <v>3906</v>
      </c>
      <c r="S394" s="8">
        <v>45818</v>
      </c>
      <c r="T394" s="1">
        <v>1</v>
      </c>
      <c r="U394" s="1" t="s">
        <v>629</v>
      </c>
      <c r="V394" s="1" t="s">
        <v>1388</v>
      </c>
      <c r="W394" s="1" t="s">
        <v>1388</v>
      </c>
    </row>
    <row r="395" spans="1:23" x14ac:dyDescent="0.25">
      <c r="A395" s="1" t="s">
        <v>48</v>
      </c>
      <c r="B395" s="1" t="s">
        <v>2061</v>
      </c>
      <c r="C395" s="1" t="s">
        <v>50</v>
      </c>
      <c r="D395" s="1" t="s">
        <v>2062</v>
      </c>
      <c r="E395" s="1" t="s">
        <v>2063</v>
      </c>
      <c r="F395" s="22" t="s">
        <v>6085</v>
      </c>
      <c r="G395" s="1" t="s">
        <v>7</v>
      </c>
      <c r="H395" s="1" t="s">
        <v>24</v>
      </c>
      <c r="I395" s="1" t="s">
        <v>26</v>
      </c>
      <c r="J395" s="1" t="s">
        <v>9</v>
      </c>
      <c r="K395" s="1" t="s">
        <v>14</v>
      </c>
      <c r="L395" s="1" t="s">
        <v>14</v>
      </c>
      <c r="M395" s="1" t="s">
        <v>78</v>
      </c>
      <c r="N395" s="11" t="s">
        <v>188</v>
      </c>
      <c r="O395" s="1" t="s">
        <v>6037</v>
      </c>
      <c r="P395" s="1" t="s">
        <v>1456</v>
      </c>
      <c r="Q395" s="1" t="s">
        <v>5603</v>
      </c>
      <c r="R395" s="1" t="s">
        <v>3907</v>
      </c>
      <c r="S395" s="8">
        <v>45870</v>
      </c>
      <c r="T395" s="1">
        <v>1</v>
      </c>
      <c r="U395" s="1" t="s">
        <v>3908</v>
      </c>
      <c r="V395" s="1" t="s">
        <v>1388</v>
      </c>
      <c r="W395" s="1" t="s">
        <v>1388</v>
      </c>
    </row>
    <row r="396" spans="1:23" x14ac:dyDescent="0.25">
      <c r="A396" s="1" t="s">
        <v>48</v>
      </c>
      <c r="B396" s="1" t="s">
        <v>2064</v>
      </c>
      <c r="C396" s="1" t="s">
        <v>50</v>
      </c>
      <c r="D396" s="1" t="s">
        <v>2065</v>
      </c>
      <c r="E396" s="1" t="s">
        <v>2066</v>
      </c>
      <c r="F396" s="22" t="s">
        <v>6085</v>
      </c>
      <c r="G396" s="1" t="s">
        <v>6</v>
      </c>
      <c r="H396" s="1" t="s">
        <v>20</v>
      </c>
      <c r="I396" s="1" t="s">
        <v>25</v>
      </c>
      <c r="J396" s="1" t="s">
        <v>9</v>
      </c>
      <c r="K396" s="1" t="s">
        <v>11</v>
      </c>
      <c r="L396" s="1" t="s">
        <v>11</v>
      </c>
      <c r="M396" s="1" t="s">
        <v>78</v>
      </c>
      <c r="N396" s="11" t="s">
        <v>188</v>
      </c>
      <c r="O396" s="1" t="s">
        <v>6037</v>
      </c>
      <c r="P396" s="1" t="s">
        <v>247</v>
      </c>
      <c r="Q396" s="1" t="s">
        <v>5604</v>
      </c>
      <c r="R396" s="1" t="s">
        <v>3909</v>
      </c>
      <c r="S396" s="8">
        <v>46062</v>
      </c>
      <c r="T396" s="1">
        <v>1</v>
      </c>
      <c r="U396" s="1" t="s">
        <v>3910</v>
      </c>
      <c r="V396" s="1" t="s">
        <v>1388</v>
      </c>
      <c r="W396" s="1" t="s">
        <v>1388</v>
      </c>
    </row>
    <row r="397" spans="1:23" x14ac:dyDescent="0.25">
      <c r="A397" s="1" t="s">
        <v>48</v>
      </c>
      <c r="B397" s="1" t="s">
        <v>2067</v>
      </c>
      <c r="C397" s="1" t="s">
        <v>50</v>
      </c>
      <c r="D397" s="1" t="s">
        <v>2068</v>
      </c>
      <c r="E397" s="1" t="s">
        <v>2069</v>
      </c>
      <c r="F397" s="22" t="s">
        <v>3</v>
      </c>
      <c r="G397" s="1" t="s">
        <v>6</v>
      </c>
      <c r="H397" s="1" t="s">
        <v>20</v>
      </c>
      <c r="I397" s="1" t="s">
        <v>26</v>
      </c>
      <c r="J397" s="1" t="s">
        <v>9</v>
      </c>
      <c r="K397" s="1" t="s">
        <v>13</v>
      </c>
      <c r="L397" s="1" t="s">
        <v>13</v>
      </c>
      <c r="M397" s="1" t="s">
        <v>78</v>
      </c>
      <c r="N397" s="11" t="s">
        <v>188</v>
      </c>
      <c r="O397" s="1" t="s">
        <v>6037</v>
      </c>
      <c r="P397" s="1" t="s">
        <v>3911</v>
      </c>
      <c r="Q397" s="1" t="s">
        <v>5605</v>
      </c>
      <c r="R397" s="7" t="s">
        <v>3912</v>
      </c>
      <c r="S397" s="8">
        <v>46027</v>
      </c>
      <c r="T397" s="1">
        <v>2</v>
      </c>
      <c r="U397" s="1" t="s">
        <v>3913</v>
      </c>
      <c r="V397" s="1" t="s">
        <v>3914</v>
      </c>
      <c r="W397" s="1" t="s">
        <v>1388</v>
      </c>
    </row>
    <row r="398" spans="1:23" x14ac:dyDescent="0.25">
      <c r="A398" s="1" t="s">
        <v>48</v>
      </c>
      <c r="B398" s="1" t="s">
        <v>2070</v>
      </c>
      <c r="C398" s="1" t="s">
        <v>50</v>
      </c>
      <c r="D398" s="1" t="s">
        <v>2071</v>
      </c>
      <c r="E398" s="12" t="s">
        <v>2072</v>
      </c>
      <c r="F398" s="22" t="s">
        <v>5259</v>
      </c>
      <c r="G398" s="1" t="s">
        <v>1383</v>
      </c>
      <c r="H398" s="1" t="s">
        <v>20</v>
      </c>
      <c r="I398" s="1" t="s">
        <v>26</v>
      </c>
      <c r="J398" s="1" t="s">
        <v>9</v>
      </c>
      <c r="K398" s="1" t="s">
        <v>12</v>
      </c>
      <c r="L398" s="1" t="s">
        <v>12</v>
      </c>
      <c r="M398" s="1" t="s">
        <v>78</v>
      </c>
      <c r="N398" s="14" t="s">
        <v>6237</v>
      </c>
      <c r="O398" s="1" t="s">
        <v>6037</v>
      </c>
      <c r="P398" s="1" t="e">
        <v>#N/A</v>
      </c>
      <c r="Q398" s="1" t="e">
        <v>#N/A</v>
      </c>
      <c r="R398" s="1" t="e">
        <v>#N/A</v>
      </c>
      <c r="S398" s="1" t="e">
        <v>#N/A</v>
      </c>
      <c r="T398" s="1" t="e">
        <v>#N/A</v>
      </c>
      <c r="U398" s="1" t="e">
        <v>#N/A</v>
      </c>
      <c r="V398" s="1" t="e">
        <v>#N/A</v>
      </c>
      <c r="W398" s="1" t="e">
        <v>#N/A</v>
      </c>
    </row>
    <row r="399" spans="1:23" x14ac:dyDescent="0.25">
      <c r="A399" s="1" t="s">
        <v>48</v>
      </c>
      <c r="B399" s="1" t="s">
        <v>2073</v>
      </c>
      <c r="C399" s="1" t="s">
        <v>50</v>
      </c>
      <c r="D399" s="1" t="s">
        <v>2074</v>
      </c>
      <c r="E399" s="1" t="s">
        <v>2075</v>
      </c>
      <c r="F399" s="22" t="s">
        <v>6085</v>
      </c>
      <c r="G399" s="1" t="s">
        <v>5</v>
      </c>
      <c r="H399" s="1" t="s">
        <v>20</v>
      </c>
      <c r="I399" s="1" t="s">
        <v>25</v>
      </c>
      <c r="J399" s="1" t="s">
        <v>9</v>
      </c>
      <c r="K399" s="1" t="s">
        <v>13</v>
      </c>
      <c r="L399" s="1" t="s">
        <v>13</v>
      </c>
      <c r="M399" s="1" t="s">
        <v>78</v>
      </c>
      <c r="N399" s="11" t="s">
        <v>188</v>
      </c>
      <c r="O399" s="1" t="s">
        <v>6037</v>
      </c>
      <c r="P399" s="1" t="s">
        <v>126</v>
      </c>
      <c r="Q399" s="1" t="s">
        <v>5384</v>
      </c>
      <c r="R399" s="1" t="s">
        <v>3915</v>
      </c>
      <c r="S399" s="8">
        <v>46035</v>
      </c>
      <c r="T399" s="1">
        <v>2</v>
      </c>
      <c r="U399" s="1" t="s">
        <v>3916</v>
      </c>
      <c r="V399" s="1" t="s">
        <v>3917</v>
      </c>
      <c r="W399" s="1" t="s">
        <v>3918</v>
      </c>
    </row>
    <row r="400" spans="1:23" x14ac:dyDescent="0.25">
      <c r="A400" s="1" t="s">
        <v>48</v>
      </c>
      <c r="B400" s="1" t="s">
        <v>2076</v>
      </c>
      <c r="C400" s="1" t="s">
        <v>50</v>
      </c>
      <c r="D400" s="1" t="s">
        <v>2077</v>
      </c>
      <c r="E400" s="1" t="s">
        <v>2078</v>
      </c>
      <c r="F400" s="22" t="s">
        <v>6085</v>
      </c>
      <c r="G400" s="1" t="s">
        <v>5</v>
      </c>
      <c r="H400" s="1" t="s">
        <v>24</v>
      </c>
      <c r="I400" s="1" t="s">
        <v>26</v>
      </c>
      <c r="J400" s="1" t="s">
        <v>9</v>
      </c>
      <c r="K400" s="1" t="s">
        <v>16</v>
      </c>
      <c r="L400" s="1" t="s">
        <v>16</v>
      </c>
      <c r="M400" s="1" t="s">
        <v>78</v>
      </c>
      <c r="N400" s="11" t="s">
        <v>188</v>
      </c>
      <c r="O400" s="1" t="s">
        <v>6037</v>
      </c>
      <c r="P400" s="1" t="s">
        <v>1456</v>
      </c>
      <c r="Q400" s="1" t="s">
        <v>5606</v>
      </c>
      <c r="R400" s="1" t="s">
        <v>3919</v>
      </c>
      <c r="S400" s="8">
        <v>45689</v>
      </c>
      <c r="T400" s="1">
        <v>2</v>
      </c>
      <c r="U400" s="1" t="s">
        <v>3920</v>
      </c>
      <c r="V400" s="1" t="s">
        <v>3921</v>
      </c>
      <c r="W400" s="1" t="s">
        <v>1388</v>
      </c>
    </row>
    <row r="401" spans="1:23" x14ac:dyDescent="0.25">
      <c r="A401" s="1" t="s">
        <v>48</v>
      </c>
      <c r="B401" s="1" t="s">
        <v>2079</v>
      </c>
      <c r="C401" s="1" t="s">
        <v>50</v>
      </c>
      <c r="D401" s="1" t="s">
        <v>2080</v>
      </c>
      <c r="E401" s="1" t="s">
        <v>2081</v>
      </c>
      <c r="F401" s="22" t="s">
        <v>6085</v>
      </c>
      <c r="G401" s="1" t="s">
        <v>7</v>
      </c>
      <c r="H401" s="1" t="s">
        <v>24</v>
      </c>
      <c r="I401" s="1" t="s">
        <v>25</v>
      </c>
      <c r="J401" s="1" t="s">
        <v>9</v>
      </c>
      <c r="K401" s="1" t="s">
        <v>13</v>
      </c>
      <c r="L401" s="1" t="s">
        <v>13</v>
      </c>
      <c r="M401" s="1" t="s">
        <v>78</v>
      </c>
      <c r="N401" s="11" t="s">
        <v>188</v>
      </c>
      <c r="O401" s="1" t="s">
        <v>6037</v>
      </c>
      <c r="P401" s="1" t="s">
        <v>1456</v>
      </c>
      <c r="Q401" s="1" t="s">
        <v>5607</v>
      </c>
      <c r="R401" s="1" t="s">
        <v>3922</v>
      </c>
      <c r="S401" s="8">
        <v>46023</v>
      </c>
      <c r="T401" s="1">
        <v>2</v>
      </c>
      <c r="U401" s="1" t="s">
        <v>3923</v>
      </c>
      <c r="V401" s="1" t="s">
        <v>3885</v>
      </c>
      <c r="W401" s="1" t="s">
        <v>1388</v>
      </c>
    </row>
    <row r="402" spans="1:23" x14ac:dyDescent="0.25">
      <c r="A402" s="1" t="s">
        <v>48</v>
      </c>
      <c r="B402" s="1" t="s">
        <v>2082</v>
      </c>
      <c r="C402" s="1" t="s">
        <v>50</v>
      </c>
      <c r="D402" s="1" t="s">
        <v>2083</v>
      </c>
      <c r="E402" s="1" t="s">
        <v>2084</v>
      </c>
      <c r="F402" s="22" t="s">
        <v>6085</v>
      </c>
      <c r="G402" s="1" t="s">
        <v>6</v>
      </c>
      <c r="H402" s="1" t="s">
        <v>20</v>
      </c>
      <c r="I402" s="1" t="s">
        <v>25</v>
      </c>
      <c r="J402" s="1" t="s">
        <v>9</v>
      </c>
      <c r="K402" s="1" t="s">
        <v>13</v>
      </c>
      <c r="L402" s="1" t="s">
        <v>16</v>
      </c>
      <c r="M402" s="1" t="s">
        <v>78</v>
      </c>
      <c r="N402" s="11" t="s">
        <v>188</v>
      </c>
      <c r="O402" s="1" t="s">
        <v>6037</v>
      </c>
      <c r="P402" s="1" t="s">
        <v>213</v>
      </c>
      <c r="Q402" s="1" t="s">
        <v>5608</v>
      </c>
      <c r="R402" s="1" t="s">
        <v>3924</v>
      </c>
      <c r="S402" s="8">
        <v>45692</v>
      </c>
      <c r="T402" s="1">
        <v>1</v>
      </c>
      <c r="U402" s="1" t="s">
        <v>3925</v>
      </c>
      <c r="V402" s="1" t="s">
        <v>1388</v>
      </c>
      <c r="W402" s="1" t="s">
        <v>1388</v>
      </c>
    </row>
    <row r="403" spans="1:23" x14ac:dyDescent="0.25">
      <c r="A403" s="11" t="s">
        <v>48</v>
      </c>
      <c r="B403" s="1" t="s">
        <v>2085</v>
      </c>
      <c r="C403" s="11" t="s">
        <v>50</v>
      </c>
      <c r="D403" s="1" t="s">
        <v>2086</v>
      </c>
      <c r="E403" s="11" t="s">
        <v>2087</v>
      </c>
      <c r="F403" s="22" t="s">
        <v>6085</v>
      </c>
      <c r="G403" s="1" t="s">
        <v>6</v>
      </c>
      <c r="H403" s="11" t="s">
        <v>20</v>
      </c>
      <c r="I403" s="11" t="s">
        <v>25</v>
      </c>
      <c r="J403" s="11" t="s">
        <v>9</v>
      </c>
      <c r="K403" s="1" t="s">
        <v>19</v>
      </c>
      <c r="L403" s="1" t="s">
        <v>19</v>
      </c>
      <c r="M403" s="11" t="s">
        <v>78</v>
      </c>
      <c r="N403" s="11" t="s">
        <v>188</v>
      </c>
      <c r="O403" s="1" t="s">
        <v>6037</v>
      </c>
      <c r="P403" s="1" t="s">
        <v>175</v>
      </c>
      <c r="Q403" s="1" t="s">
        <v>5306</v>
      </c>
      <c r="R403" s="1" t="s">
        <v>3926</v>
      </c>
      <c r="S403" s="8">
        <v>42783</v>
      </c>
      <c r="T403" s="1">
        <v>1</v>
      </c>
      <c r="U403" s="1" t="s">
        <v>3927</v>
      </c>
      <c r="V403" s="1" t="s">
        <v>1388</v>
      </c>
      <c r="W403" s="1" t="s">
        <v>1388</v>
      </c>
    </row>
    <row r="404" spans="1:23" x14ac:dyDescent="0.25">
      <c r="A404" s="1" t="s">
        <v>48</v>
      </c>
      <c r="B404" s="1" t="s">
        <v>2092</v>
      </c>
      <c r="C404" s="1" t="s">
        <v>50</v>
      </c>
      <c r="D404" s="1" t="s">
        <v>2636</v>
      </c>
      <c r="E404" s="1" t="s">
        <v>2637</v>
      </c>
      <c r="F404" s="22" t="s">
        <v>6085</v>
      </c>
      <c r="G404" s="1" t="s">
        <v>7</v>
      </c>
      <c r="H404" s="1" t="s">
        <v>20</v>
      </c>
      <c r="I404" s="1" t="s">
        <v>26</v>
      </c>
      <c r="J404" s="1" t="s">
        <v>9</v>
      </c>
      <c r="K404" s="1" t="s">
        <v>13</v>
      </c>
      <c r="L404" s="1" t="s">
        <v>13</v>
      </c>
      <c r="M404" s="1" t="s">
        <v>53</v>
      </c>
      <c r="N404" s="1" t="s">
        <v>188</v>
      </c>
      <c r="O404" s="1" t="s">
        <v>6037</v>
      </c>
      <c r="P404" s="1" t="s">
        <v>66</v>
      </c>
      <c r="Q404" s="1" t="s">
        <v>7</v>
      </c>
      <c r="R404" s="1" t="s">
        <v>3942</v>
      </c>
      <c r="S404" s="8">
        <v>46023</v>
      </c>
      <c r="T404" s="1">
        <v>2</v>
      </c>
      <c r="U404" s="1" t="s">
        <v>3943</v>
      </c>
      <c r="V404" s="1" t="s">
        <v>3943</v>
      </c>
      <c r="W404" s="1" t="s">
        <v>1388</v>
      </c>
    </row>
    <row r="405" spans="1:23" x14ac:dyDescent="0.25">
      <c r="A405" s="1" t="s">
        <v>48</v>
      </c>
      <c r="B405" s="1" t="s">
        <v>2093</v>
      </c>
      <c r="C405" s="1" t="s">
        <v>50</v>
      </c>
      <c r="D405" s="1" t="s">
        <v>2638</v>
      </c>
      <c r="E405" s="1" t="s">
        <v>2639</v>
      </c>
      <c r="F405" s="22" t="s">
        <v>6085</v>
      </c>
      <c r="G405" s="1" t="s">
        <v>5</v>
      </c>
      <c r="H405" s="1" t="s">
        <v>20</v>
      </c>
      <c r="I405" s="1" t="s">
        <v>26</v>
      </c>
      <c r="J405" s="1" t="s">
        <v>9</v>
      </c>
      <c r="K405" s="1" t="s">
        <v>13</v>
      </c>
      <c r="L405" s="1" t="s">
        <v>13</v>
      </c>
      <c r="M405" s="1" t="s">
        <v>53</v>
      </c>
      <c r="N405" s="1" t="s">
        <v>188</v>
      </c>
      <c r="O405" s="1" t="s">
        <v>6037</v>
      </c>
      <c r="P405" s="1" t="s">
        <v>3944</v>
      </c>
      <c r="Q405" s="1" t="s">
        <v>5609</v>
      </c>
      <c r="R405" s="1" t="s">
        <v>3945</v>
      </c>
      <c r="S405" s="8">
        <v>45658</v>
      </c>
      <c r="T405" s="1">
        <v>3</v>
      </c>
      <c r="U405" s="1" t="s">
        <v>3946</v>
      </c>
      <c r="V405" s="1" t="s">
        <v>3947</v>
      </c>
      <c r="W405" s="1" t="s">
        <v>3948</v>
      </c>
    </row>
    <row r="406" spans="1:23" x14ac:dyDescent="0.25">
      <c r="A406" s="1" t="s">
        <v>48</v>
      </c>
      <c r="B406" s="1" t="s">
        <v>2094</v>
      </c>
      <c r="C406" s="1" t="s">
        <v>50</v>
      </c>
      <c r="D406" s="1" t="s">
        <v>2640</v>
      </c>
      <c r="E406" s="1" t="s">
        <v>2641</v>
      </c>
      <c r="F406" s="22" t="s">
        <v>3</v>
      </c>
      <c r="G406" s="1" t="s">
        <v>5</v>
      </c>
      <c r="H406" s="1" t="s">
        <v>20</v>
      </c>
      <c r="I406" s="1" t="s">
        <v>26</v>
      </c>
      <c r="J406" s="1" t="s">
        <v>9</v>
      </c>
      <c r="K406" s="1" t="s">
        <v>15</v>
      </c>
      <c r="L406" s="1" t="s">
        <v>15</v>
      </c>
      <c r="M406" s="1" t="s">
        <v>53</v>
      </c>
      <c r="N406" s="11" t="s">
        <v>188</v>
      </c>
      <c r="O406" s="1" t="s">
        <v>6037</v>
      </c>
      <c r="P406" s="1" t="s">
        <v>593</v>
      </c>
      <c r="Q406" s="1" t="s">
        <v>5380</v>
      </c>
      <c r="R406" s="7" t="s">
        <v>3949</v>
      </c>
      <c r="S406" s="8">
        <v>45839</v>
      </c>
      <c r="T406" s="1">
        <v>3</v>
      </c>
      <c r="U406" s="1" t="s">
        <v>3775</v>
      </c>
      <c r="V406" s="1" t="s">
        <v>3775</v>
      </c>
      <c r="W406" s="1" t="s">
        <v>3775</v>
      </c>
    </row>
    <row r="407" spans="1:23" x14ac:dyDescent="0.25">
      <c r="A407" s="1" t="s">
        <v>48</v>
      </c>
      <c r="B407" s="1" t="s">
        <v>2095</v>
      </c>
      <c r="C407" s="1" t="s">
        <v>50</v>
      </c>
      <c r="D407" s="1" t="s">
        <v>2642</v>
      </c>
      <c r="E407" s="1" t="s">
        <v>2643</v>
      </c>
      <c r="F407" s="22" t="s">
        <v>6085</v>
      </c>
      <c r="G407" s="1" t="s">
        <v>6</v>
      </c>
      <c r="H407" s="1" t="s">
        <v>20</v>
      </c>
      <c r="I407" s="1" t="s">
        <v>26</v>
      </c>
      <c r="J407" s="1" t="s">
        <v>9</v>
      </c>
      <c r="K407" s="1" t="s">
        <v>13</v>
      </c>
      <c r="L407" s="1" t="s">
        <v>13</v>
      </c>
      <c r="M407" s="1" t="s">
        <v>53</v>
      </c>
      <c r="N407" s="11" t="s">
        <v>188</v>
      </c>
      <c r="O407" s="1" t="s">
        <v>6235</v>
      </c>
      <c r="P407" s="1" t="s">
        <v>247</v>
      </c>
      <c r="Q407" s="1" t="s">
        <v>5610</v>
      </c>
      <c r="R407" s="1" t="s">
        <v>3950</v>
      </c>
      <c r="S407" s="8">
        <v>45672</v>
      </c>
      <c r="T407" s="1">
        <v>2</v>
      </c>
      <c r="U407" s="1" t="s">
        <v>410</v>
      </c>
      <c r="V407" s="1" t="s">
        <v>410</v>
      </c>
      <c r="W407" s="1" t="s">
        <v>1388</v>
      </c>
    </row>
    <row r="408" spans="1:23" x14ac:dyDescent="0.25">
      <c r="A408" s="1" t="s">
        <v>48</v>
      </c>
      <c r="B408" s="1" t="s">
        <v>2096</v>
      </c>
      <c r="C408" s="1" t="s">
        <v>50</v>
      </c>
      <c r="D408" s="1" t="s">
        <v>2644</v>
      </c>
      <c r="E408" s="1" t="s">
        <v>2645</v>
      </c>
      <c r="F408" s="22" t="s">
        <v>6085</v>
      </c>
      <c r="G408" s="1" t="s">
        <v>6</v>
      </c>
      <c r="H408" s="1" t="s">
        <v>20</v>
      </c>
      <c r="I408" s="1" t="s">
        <v>25</v>
      </c>
      <c r="J408" s="1" t="s">
        <v>9</v>
      </c>
      <c r="K408" s="1" t="s">
        <v>19</v>
      </c>
      <c r="L408" s="1" t="s">
        <v>19</v>
      </c>
      <c r="M408" s="1" t="s">
        <v>53</v>
      </c>
      <c r="N408" s="11" t="s">
        <v>188</v>
      </c>
      <c r="O408" s="1" t="s">
        <v>6235</v>
      </c>
      <c r="P408" s="1" t="s">
        <v>761</v>
      </c>
      <c r="Q408" s="18" t="s">
        <v>5611</v>
      </c>
      <c r="R408" s="1" t="s">
        <v>3951</v>
      </c>
      <c r="S408" s="8">
        <v>46023</v>
      </c>
      <c r="T408" s="1">
        <v>1</v>
      </c>
      <c r="U408" s="1" t="s">
        <v>3952</v>
      </c>
      <c r="V408" s="1" t="s">
        <v>1388</v>
      </c>
      <c r="W408" s="1" t="s">
        <v>1388</v>
      </c>
    </row>
    <row r="409" spans="1:23" x14ac:dyDescent="0.25">
      <c r="A409" s="1" t="s">
        <v>48</v>
      </c>
      <c r="B409" s="1" t="s">
        <v>2097</v>
      </c>
      <c r="C409" s="1" t="s">
        <v>50</v>
      </c>
      <c r="D409" s="1" t="s">
        <v>2646</v>
      </c>
      <c r="E409" s="1" t="s">
        <v>2647</v>
      </c>
      <c r="F409" s="22" t="s">
        <v>6085</v>
      </c>
      <c r="G409" s="1" t="s">
        <v>6</v>
      </c>
      <c r="H409" s="1" t="s">
        <v>21</v>
      </c>
      <c r="I409" s="1" t="s">
        <v>25</v>
      </c>
      <c r="J409" s="1" t="s">
        <v>9</v>
      </c>
      <c r="K409" s="1" t="s">
        <v>14</v>
      </c>
      <c r="L409" s="1" t="s">
        <v>14</v>
      </c>
      <c r="M409" s="1" t="s">
        <v>53</v>
      </c>
      <c r="N409" s="1" t="s">
        <v>1190</v>
      </c>
      <c r="O409" s="1" t="s">
        <v>6235</v>
      </c>
      <c r="P409" s="1" t="s">
        <v>421</v>
      </c>
      <c r="Q409" s="1" t="s">
        <v>5284</v>
      </c>
      <c r="R409" s="1" t="s">
        <v>3953</v>
      </c>
      <c r="S409" s="8">
        <v>45701</v>
      </c>
      <c r="T409" s="1">
        <v>1</v>
      </c>
      <c r="U409" s="1" t="s">
        <v>750</v>
      </c>
      <c r="V409" s="1" t="s">
        <v>1388</v>
      </c>
      <c r="W409" s="1" t="s">
        <v>1388</v>
      </c>
    </row>
    <row r="410" spans="1:23" x14ac:dyDescent="0.25">
      <c r="A410" s="1" t="s">
        <v>48</v>
      </c>
      <c r="B410" s="1" t="s">
        <v>2098</v>
      </c>
      <c r="C410" s="1" t="s">
        <v>50</v>
      </c>
      <c r="D410" s="1" t="s">
        <v>2648</v>
      </c>
      <c r="E410" s="1" t="s">
        <v>2649</v>
      </c>
      <c r="F410" s="22" t="s">
        <v>6085</v>
      </c>
      <c r="G410" s="1" t="s">
        <v>6</v>
      </c>
      <c r="H410" s="1" t="s">
        <v>20</v>
      </c>
      <c r="I410" s="1" t="s">
        <v>25</v>
      </c>
      <c r="J410" s="1" t="s">
        <v>9</v>
      </c>
      <c r="K410" s="1" t="s">
        <v>12</v>
      </c>
      <c r="L410" s="1" t="s">
        <v>12</v>
      </c>
      <c r="M410" s="1" t="s">
        <v>53</v>
      </c>
      <c r="N410" s="1" t="s">
        <v>188</v>
      </c>
      <c r="O410" s="1" t="s">
        <v>6037</v>
      </c>
      <c r="P410" s="1" t="s">
        <v>126</v>
      </c>
      <c r="Q410" s="1" t="s">
        <v>5612</v>
      </c>
      <c r="R410" s="1" t="s">
        <v>3954</v>
      </c>
      <c r="S410" s="8">
        <v>45691</v>
      </c>
      <c r="T410" s="1">
        <v>1</v>
      </c>
      <c r="U410" s="1" t="s">
        <v>3955</v>
      </c>
      <c r="V410" s="1" t="s">
        <v>1388</v>
      </c>
      <c r="W410" s="1" t="s">
        <v>1388</v>
      </c>
    </row>
    <row r="411" spans="1:23" x14ac:dyDescent="0.25">
      <c r="A411" s="1" t="s">
        <v>48</v>
      </c>
      <c r="B411" s="1" t="s">
        <v>2099</v>
      </c>
      <c r="C411" s="1" t="s">
        <v>50</v>
      </c>
      <c r="D411" s="1" t="s">
        <v>2650</v>
      </c>
      <c r="E411" s="1" t="s">
        <v>2651</v>
      </c>
      <c r="F411" s="22" t="s">
        <v>6085</v>
      </c>
      <c r="G411" s="1" t="s">
        <v>7</v>
      </c>
      <c r="H411" s="1" t="s">
        <v>20</v>
      </c>
      <c r="I411" s="1" t="s">
        <v>26</v>
      </c>
      <c r="J411" s="1" t="s">
        <v>9</v>
      </c>
      <c r="K411" s="1" t="s">
        <v>13</v>
      </c>
      <c r="L411" s="1" t="s">
        <v>16</v>
      </c>
      <c r="M411" s="1" t="s">
        <v>53</v>
      </c>
      <c r="N411" s="11" t="s">
        <v>188</v>
      </c>
      <c r="O411" s="1" t="s">
        <v>6037</v>
      </c>
      <c r="P411" s="1" t="s">
        <v>126</v>
      </c>
      <c r="Q411" s="1" t="s">
        <v>5613</v>
      </c>
      <c r="R411" s="1" t="s">
        <v>3956</v>
      </c>
      <c r="S411" s="8">
        <v>46048</v>
      </c>
      <c r="T411" s="1">
        <v>2</v>
      </c>
      <c r="U411" s="1" t="s">
        <v>3957</v>
      </c>
      <c r="V411" s="1" t="s">
        <v>3958</v>
      </c>
      <c r="W411" s="1" t="s">
        <v>1388</v>
      </c>
    </row>
    <row r="412" spans="1:23" x14ac:dyDescent="0.25">
      <c r="A412" s="1" t="s">
        <v>48</v>
      </c>
      <c r="B412" s="1" t="s">
        <v>2100</v>
      </c>
      <c r="C412" s="1" t="s">
        <v>50</v>
      </c>
      <c r="D412" s="1" t="s">
        <v>2652</v>
      </c>
      <c r="E412" s="1" t="s">
        <v>2653</v>
      </c>
      <c r="F412" s="22" t="s">
        <v>3</v>
      </c>
      <c r="G412" s="1" t="s">
        <v>6</v>
      </c>
      <c r="H412" s="1" t="s">
        <v>20</v>
      </c>
      <c r="I412" s="1" t="s">
        <v>25</v>
      </c>
      <c r="J412" s="1" t="s">
        <v>9</v>
      </c>
      <c r="K412" s="1" t="s">
        <v>14</v>
      </c>
      <c r="L412" s="1" t="s">
        <v>14</v>
      </c>
      <c r="M412" s="1" t="s">
        <v>53</v>
      </c>
      <c r="N412" s="1" t="s">
        <v>5224</v>
      </c>
      <c r="O412" s="1" t="s">
        <v>6235</v>
      </c>
      <c r="P412" s="1" t="s">
        <v>126</v>
      </c>
      <c r="Q412" s="1" t="s">
        <v>6</v>
      </c>
      <c r="R412" s="7" t="s">
        <v>3959</v>
      </c>
      <c r="S412" s="8">
        <v>45684</v>
      </c>
      <c r="T412" s="1">
        <v>1</v>
      </c>
      <c r="U412" s="1" t="s">
        <v>280</v>
      </c>
      <c r="V412" s="1" t="s">
        <v>1388</v>
      </c>
      <c r="W412" s="1" t="s">
        <v>1388</v>
      </c>
    </row>
    <row r="413" spans="1:23" x14ac:dyDescent="0.25">
      <c r="A413" s="1" t="s">
        <v>48</v>
      </c>
      <c r="B413" s="1" t="s">
        <v>2101</v>
      </c>
      <c r="C413" s="1" t="s">
        <v>50</v>
      </c>
      <c r="D413" s="1" t="s">
        <v>2654</v>
      </c>
      <c r="E413" s="1" t="s">
        <v>2655</v>
      </c>
      <c r="F413" s="22" t="s">
        <v>6085</v>
      </c>
      <c r="G413" s="1" t="s">
        <v>6</v>
      </c>
      <c r="H413" s="1" t="s">
        <v>20</v>
      </c>
      <c r="I413" s="1" t="s">
        <v>25</v>
      </c>
      <c r="J413" s="1" t="s">
        <v>9</v>
      </c>
      <c r="K413" s="1" t="s">
        <v>18</v>
      </c>
      <c r="L413" s="1" t="s">
        <v>14</v>
      </c>
      <c r="M413" s="1" t="s">
        <v>53</v>
      </c>
      <c r="N413" s="1" t="s">
        <v>188</v>
      </c>
      <c r="O413" s="1" t="s">
        <v>6037</v>
      </c>
      <c r="P413" s="1" t="s">
        <v>126</v>
      </c>
      <c r="Q413" s="1" t="s">
        <v>5614</v>
      </c>
      <c r="R413" s="20" t="s">
        <v>3960</v>
      </c>
      <c r="S413" s="8">
        <v>42416</v>
      </c>
      <c r="T413" s="1">
        <v>1</v>
      </c>
      <c r="U413" s="1" t="s">
        <v>3961</v>
      </c>
      <c r="V413" s="1" t="s">
        <v>1388</v>
      </c>
      <c r="W413" s="1" t="s">
        <v>1388</v>
      </c>
    </row>
    <row r="414" spans="1:23" x14ac:dyDescent="0.25">
      <c r="A414" s="1" t="s">
        <v>48</v>
      </c>
      <c r="B414" s="2" t="s">
        <v>2102</v>
      </c>
      <c r="C414" s="1" t="s">
        <v>50</v>
      </c>
      <c r="D414" s="2" t="s">
        <v>2656</v>
      </c>
      <c r="E414" s="1" t="s">
        <v>2657</v>
      </c>
      <c r="F414" s="22" t="s">
        <v>5259</v>
      </c>
      <c r="G414" s="2" t="s">
        <v>6</v>
      </c>
      <c r="H414" s="2" t="s">
        <v>24</v>
      </c>
      <c r="I414" s="2" t="s">
        <v>25</v>
      </c>
      <c r="J414" s="2" t="s">
        <v>9</v>
      </c>
      <c r="K414" s="2" t="s">
        <v>19</v>
      </c>
      <c r="L414" s="2" t="s">
        <v>19</v>
      </c>
      <c r="M414" s="2" t="s">
        <v>53</v>
      </c>
      <c r="N414" s="14" t="s">
        <v>6237</v>
      </c>
      <c r="O414" s="1" t="s">
        <v>6037</v>
      </c>
      <c r="P414" s="2" t="s">
        <v>60</v>
      </c>
      <c r="Q414" s="2" t="s">
        <v>5615</v>
      </c>
      <c r="R414" s="2" t="s">
        <v>3962</v>
      </c>
      <c r="S414" s="9">
        <v>46050</v>
      </c>
      <c r="T414" s="2">
        <v>2</v>
      </c>
      <c r="U414" s="2" t="s">
        <v>3963</v>
      </c>
      <c r="V414" s="2" t="s">
        <v>3964</v>
      </c>
      <c r="W414" s="2" t="s">
        <v>1388</v>
      </c>
    </row>
    <row r="415" spans="1:23" x14ac:dyDescent="0.25">
      <c r="A415" s="1" t="s">
        <v>48</v>
      </c>
      <c r="B415" s="1" t="s">
        <v>2103</v>
      </c>
      <c r="C415" s="1" t="s">
        <v>50</v>
      </c>
      <c r="D415" s="1" t="s">
        <v>2658</v>
      </c>
      <c r="E415" s="1" t="s">
        <v>2659</v>
      </c>
      <c r="F415" s="22" t="s">
        <v>6085</v>
      </c>
      <c r="G415" s="1" t="s">
        <v>6</v>
      </c>
      <c r="H415" s="1" t="s">
        <v>20</v>
      </c>
      <c r="I415" s="1" t="s">
        <v>25</v>
      </c>
      <c r="J415" s="1" t="s">
        <v>9</v>
      </c>
      <c r="K415" s="1" t="s">
        <v>16</v>
      </c>
      <c r="L415" s="1" t="s">
        <v>16</v>
      </c>
      <c r="M415" s="1" t="s">
        <v>53</v>
      </c>
      <c r="N415" s="11" t="s">
        <v>188</v>
      </c>
      <c r="O415" s="1" t="s">
        <v>6037</v>
      </c>
      <c r="P415" s="1" t="s">
        <v>60</v>
      </c>
      <c r="Q415" s="1" t="s">
        <v>4621</v>
      </c>
      <c r="R415" s="1" t="s">
        <v>3965</v>
      </c>
      <c r="S415" s="8">
        <v>46037</v>
      </c>
      <c r="T415" s="1">
        <v>2</v>
      </c>
      <c r="U415" s="1" t="s">
        <v>993</v>
      </c>
      <c r="V415" s="1" t="s">
        <v>3966</v>
      </c>
      <c r="W415" s="1" t="s">
        <v>1388</v>
      </c>
    </row>
    <row r="416" spans="1:23" x14ac:dyDescent="0.25">
      <c r="A416" s="1" t="s">
        <v>48</v>
      </c>
      <c r="B416" s="1" t="s">
        <v>2104</v>
      </c>
      <c r="C416" s="1" t="s">
        <v>50</v>
      </c>
      <c r="D416" s="1" t="s">
        <v>2660</v>
      </c>
      <c r="E416" s="1" t="s">
        <v>2661</v>
      </c>
      <c r="F416" s="22" t="s">
        <v>6085</v>
      </c>
      <c r="G416" s="1" t="s">
        <v>5</v>
      </c>
      <c r="H416" s="1" t="s">
        <v>24</v>
      </c>
      <c r="I416" s="1" t="s">
        <v>26</v>
      </c>
      <c r="J416" s="1" t="s">
        <v>9</v>
      </c>
      <c r="K416" s="1" t="s">
        <v>13</v>
      </c>
      <c r="L416" s="1" t="s">
        <v>13</v>
      </c>
      <c r="M416" s="1" t="s">
        <v>53</v>
      </c>
      <c r="N416" s="11" t="s">
        <v>188</v>
      </c>
      <c r="O416" s="1" t="s">
        <v>6037</v>
      </c>
      <c r="P416" s="1" t="s">
        <v>247</v>
      </c>
      <c r="Q416" s="1" t="s">
        <v>5616</v>
      </c>
      <c r="R416" s="1" t="s">
        <v>3967</v>
      </c>
      <c r="S416" s="8">
        <v>46054</v>
      </c>
      <c r="T416" s="1">
        <v>3</v>
      </c>
      <c r="U416" s="1" t="s">
        <v>3968</v>
      </c>
      <c r="V416" s="1" t="s">
        <v>3968</v>
      </c>
      <c r="W416" s="1" t="s">
        <v>3969</v>
      </c>
    </row>
    <row r="417" spans="1:23" x14ac:dyDescent="0.25">
      <c r="A417" s="1" t="s">
        <v>48</v>
      </c>
      <c r="B417" s="1" t="s">
        <v>2105</v>
      </c>
      <c r="C417" s="1" t="s">
        <v>50</v>
      </c>
      <c r="D417" s="1" t="s">
        <v>2662</v>
      </c>
      <c r="E417" s="1" t="s">
        <v>2663</v>
      </c>
      <c r="F417" s="22" t="s">
        <v>6085</v>
      </c>
      <c r="G417" s="1" t="s">
        <v>1383</v>
      </c>
      <c r="H417" s="1" t="s">
        <v>20</v>
      </c>
      <c r="I417" s="1" t="s">
        <v>26</v>
      </c>
      <c r="J417" s="1" t="s">
        <v>8</v>
      </c>
      <c r="K417" s="1" t="s">
        <v>12</v>
      </c>
      <c r="L417" s="1" t="s">
        <v>12</v>
      </c>
      <c r="M417" s="1" t="s">
        <v>53</v>
      </c>
      <c r="N417" s="11" t="s">
        <v>188</v>
      </c>
      <c r="O417" s="1" t="s">
        <v>6037</v>
      </c>
      <c r="P417" s="1" t="s">
        <v>3970</v>
      </c>
      <c r="Q417" s="1" t="s">
        <v>5617</v>
      </c>
      <c r="R417" s="1" t="s">
        <v>3971</v>
      </c>
      <c r="S417" s="8">
        <v>46023</v>
      </c>
      <c r="T417" s="1">
        <v>1</v>
      </c>
      <c r="U417" s="1" t="s">
        <v>3972</v>
      </c>
      <c r="V417" s="1" t="s">
        <v>1388</v>
      </c>
      <c r="W417" s="1" t="s">
        <v>1388</v>
      </c>
    </row>
    <row r="418" spans="1:23" x14ac:dyDescent="0.25">
      <c r="A418" s="1" t="s">
        <v>48</v>
      </c>
      <c r="B418" s="1" t="s">
        <v>2106</v>
      </c>
      <c r="C418" s="1" t="s">
        <v>50</v>
      </c>
      <c r="D418" s="1" t="s">
        <v>2664</v>
      </c>
      <c r="E418" s="1" t="s">
        <v>2665</v>
      </c>
      <c r="F418" s="22" t="s">
        <v>6085</v>
      </c>
      <c r="G418" s="1" t="s">
        <v>6</v>
      </c>
      <c r="H418" s="1" t="s">
        <v>20</v>
      </c>
      <c r="I418" s="1" t="s">
        <v>26</v>
      </c>
      <c r="J418" s="1" t="s">
        <v>9</v>
      </c>
      <c r="K418" s="1" t="s">
        <v>15</v>
      </c>
      <c r="L418" s="1" t="s">
        <v>15</v>
      </c>
      <c r="M418" s="1" t="s">
        <v>53</v>
      </c>
      <c r="N418" s="1" t="s">
        <v>1828</v>
      </c>
      <c r="O418" s="1" t="s">
        <v>6037</v>
      </c>
      <c r="P418" s="1" t="s">
        <v>3973</v>
      </c>
      <c r="Q418" s="1" t="s">
        <v>5618</v>
      </c>
      <c r="R418" s="1" t="s">
        <v>3974</v>
      </c>
      <c r="S418" s="8">
        <v>46053</v>
      </c>
      <c r="T418" s="1">
        <v>2</v>
      </c>
      <c r="U418" s="1" t="s">
        <v>3975</v>
      </c>
      <c r="V418" s="1" t="s">
        <v>3976</v>
      </c>
      <c r="W418" s="1" t="s">
        <v>1388</v>
      </c>
    </row>
    <row r="419" spans="1:23" x14ac:dyDescent="0.25">
      <c r="A419" s="1" t="s">
        <v>48</v>
      </c>
      <c r="B419" s="1" t="s">
        <v>2107</v>
      </c>
      <c r="C419" s="1" t="s">
        <v>50</v>
      </c>
      <c r="D419" s="1" t="s">
        <v>2666</v>
      </c>
      <c r="E419" s="1" t="s">
        <v>2667</v>
      </c>
      <c r="F419" s="22" t="s">
        <v>6085</v>
      </c>
      <c r="G419" s="1" t="s">
        <v>7</v>
      </c>
      <c r="H419" s="1" t="s">
        <v>20</v>
      </c>
      <c r="I419" s="1" t="s">
        <v>26</v>
      </c>
      <c r="J419" s="1" t="s">
        <v>9</v>
      </c>
      <c r="K419" s="1" t="s">
        <v>16</v>
      </c>
      <c r="L419" s="1" t="s">
        <v>10</v>
      </c>
      <c r="M419" s="1" t="s">
        <v>53</v>
      </c>
      <c r="N419" s="11" t="s">
        <v>188</v>
      </c>
      <c r="O419" s="1" t="s">
        <v>6037</v>
      </c>
      <c r="P419" s="1" t="s">
        <v>60</v>
      </c>
      <c r="Q419" s="1" t="s">
        <v>5591</v>
      </c>
      <c r="R419" s="1" t="s">
        <v>3977</v>
      </c>
      <c r="S419" s="8">
        <v>46023</v>
      </c>
      <c r="T419" s="1">
        <v>2</v>
      </c>
      <c r="U419" s="1" t="s">
        <v>3976</v>
      </c>
      <c r="V419" s="1" t="s">
        <v>3976</v>
      </c>
      <c r="W419" s="1" t="s">
        <v>1388</v>
      </c>
    </row>
    <row r="420" spans="1:23" x14ac:dyDescent="0.25">
      <c r="A420" s="1" t="s">
        <v>48</v>
      </c>
      <c r="B420" s="1" t="s">
        <v>2108</v>
      </c>
      <c r="C420" s="1" t="s">
        <v>50</v>
      </c>
      <c r="D420" s="1" t="s">
        <v>2668</v>
      </c>
      <c r="E420" s="1" t="s">
        <v>2669</v>
      </c>
      <c r="F420" s="22" t="s">
        <v>6085</v>
      </c>
      <c r="G420" s="1" t="s">
        <v>6</v>
      </c>
      <c r="H420" s="1" t="s">
        <v>24</v>
      </c>
      <c r="I420" s="1" t="s">
        <v>26</v>
      </c>
      <c r="J420" s="1" t="s">
        <v>9</v>
      </c>
      <c r="K420" s="1" t="s">
        <v>14</v>
      </c>
      <c r="L420" s="1" t="s">
        <v>17</v>
      </c>
      <c r="M420" s="1" t="s">
        <v>53</v>
      </c>
      <c r="N420" s="11" t="s">
        <v>188</v>
      </c>
      <c r="O420" s="1" t="s">
        <v>6037</v>
      </c>
      <c r="P420" s="1" t="s">
        <v>66</v>
      </c>
      <c r="Q420" s="1" t="s">
        <v>5619</v>
      </c>
      <c r="R420" s="1" t="s">
        <v>3978</v>
      </c>
      <c r="S420" s="8">
        <v>46023</v>
      </c>
      <c r="T420" s="1">
        <v>2</v>
      </c>
      <c r="U420" s="1" t="s">
        <v>3979</v>
      </c>
      <c r="V420" s="1" t="s">
        <v>3980</v>
      </c>
      <c r="W420" s="1" t="s">
        <v>1388</v>
      </c>
    </row>
    <row r="421" spans="1:23" x14ac:dyDescent="0.25">
      <c r="A421" s="1" t="s">
        <v>48</v>
      </c>
      <c r="B421" s="1" t="s">
        <v>2109</v>
      </c>
      <c r="C421" s="1" t="s">
        <v>50</v>
      </c>
      <c r="D421" s="1" t="s">
        <v>2670</v>
      </c>
      <c r="E421" s="1" t="s">
        <v>2671</v>
      </c>
      <c r="F421" s="22" t="s">
        <v>5259</v>
      </c>
      <c r="G421" s="1" t="s">
        <v>6</v>
      </c>
      <c r="H421" s="1" t="s">
        <v>20</v>
      </c>
      <c r="I421" s="1" t="s">
        <v>25</v>
      </c>
      <c r="J421" s="1" t="s">
        <v>9</v>
      </c>
      <c r="K421" s="1" t="s">
        <v>15</v>
      </c>
      <c r="L421" s="1" t="s">
        <v>15</v>
      </c>
      <c r="M421" s="1" t="s">
        <v>53</v>
      </c>
      <c r="N421" s="1" t="s">
        <v>6027</v>
      </c>
      <c r="O421" s="1" t="s">
        <v>6037</v>
      </c>
      <c r="P421" s="1" t="s">
        <v>3981</v>
      </c>
      <c r="Q421" s="1" t="s">
        <v>5620</v>
      </c>
      <c r="R421" s="1" t="s">
        <v>3982</v>
      </c>
      <c r="S421" s="8">
        <v>45688</v>
      </c>
      <c r="T421" s="1">
        <v>1</v>
      </c>
      <c r="U421" s="1" t="s">
        <v>3983</v>
      </c>
      <c r="V421" s="1" t="s">
        <v>1388</v>
      </c>
      <c r="W421" s="1" t="s">
        <v>1388</v>
      </c>
    </row>
    <row r="422" spans="1:23" x14ac:dyDescent="0.25">
      <c r="A422" s="1" t="s">
        <v>48</v>
      </c>
      <c r="B422" s="1" t="s">
        <v>2110</v>
      </c>
      <c r="C422" s="1" t="s">
        <v>50</v>
      </c>
      <c r="D422" s="1" t="s">
        <v>2672</v>
      </c>
      <c r="E422" s="1" t="s">
        <v>2673</v>
      </c>
      <c r="F422" s="22" t="s">
        <v>6085</v>
      </c>
      <c r="G422" s="1" t="s">
        <v>7</v>
      </c>
      <c r="H422" s="1" t="s">
        <v>20</v>
      </c>
      <c r="I422" s="1" t="s">
        <v>26</v>
      </c>
      <c r="J422" s="1" t="s">
        <v>9</v>
      </c>
      <c r="K422" s="1" t="s">
        <v>13</v>
      </c>
      <c r="L422" s="1" t="s">
        <v>13</v>
      </c>
      <c r="M422" s="1" t="s">
        <v>53</v>
      </c>
      <c r="N422" s="11" t="s">
        <v>188</v>
      </c>
      <c r="O422" s="1" t="s">
        <v>6037</v>
      </c>
      <c r="P422" s="1" t="s">
        <v>126</v>
      </c>
      <c r="Q422" s="1" t="s">
        <v>5621</v>
      </c>
      <c r="R422" s="1" t="s">
        <v>3984</v>
      </c>
      <c r="S422" s="8">
        <v>46113</v>
      </c>
      <c r="T422" s="1">
        <v>2</v>
      </c>
      <c r="U422" s="1" t="s">
        <v>3985</v>
      </c>
      <c r="V422" s="1" t="s">
        <v>3985</v>
      </c>
      <c r="W422" s="1" t="s">
        <v>1388</v>
      </c>
    </row>
    <row r="423" spans="1:23" x14ac:dyDescent="0.25">
      <c r="A423" s="1" t="s">
        <v>48</v>
      </c>
      <c r="B423" s="1" t="s">
        <v>2111</v>
      </c>
      <c r="C423" s="1" t="s">
        <v>50</v>
      </c>
      <c r="D423" s="1" t="s">
        <v>2674</v>
      </c>
      <c r="E423" s="1" t="s">
        <v>2675</v>
      </c>
      <c r="F423" s="22" t="s">
        <v>6085</v>
      </c>
      <c r="G423" s="1" t="s">
        <v>5</v>
      </c>
      <c r="H423" s="1" t="s">
        <v>20</v>
      </c>
      <c r="I423" s="1" t="s">
        <v>25</v>
      </c>
      <c r="J423" s="1" t="s">
        <v>9</v>
      </c>
      <c r="K423" s="1" t="s">
        <v>19</v>
      </c>
      <c r="L423" s="1" t="s">
        <v>19</v>
      </c>
      <c r="M423" s="1" t="s">
        <v>53</v>
      </c>
      <c r="N423" s="11" t="s">
        <v>188</v>
      </c>
      <c r="O423" s="1" t="s">
        <v>6037</v>
      </c>
      <c r="P423" s="1" t="s">
        <v>3986</v>
      </c>
      <c r="Q423" s="1" t="s">
        <v>5622</v>
      </c>
      <c r="R423" s="1" t="s">
        <v>3987</v>
      </c>
      <c r="S423" s="8">
        <v>46041</v>
      </c>
      <c r="T423" s="1">
        <v>3</v>
      </c>
      <c r="U423" s="1" t="s">
        <v>3988</v>
      </c>
      <c r="V423" s="1" t="s">
        <v>3989</v>
      </c>
      <c r="W423" s="1" t="s">
        <v>3990</v>
      </c>
    </row>
    <row r="424" spans="1:23" x14ac:dyDescent="0.25">
      <c r="A424" s="1" t="s">
        <v>48</v>
      </c>
      <c r="B424" s="1" t="s">
        <v>2112</v>
      </c>
      <c r="C424" s="1" t="s">
        <v>50</v>
      </c>
      <c r="D424" s="1" t="s">
        <v>2676</v>
      </c>
      <c r="E424" s="1" t="s">
        <v>2677</v>
      </c>
      <c r="F424" s="22" t="s">
        <v>3</v>
      </c>
      <c r="G424" s="1" t="s">
        <v>6</v>
      </c>
      <c r="H424" s="1" t="s">
        <v>20</v>
      </c>
      <c r="I424" s="1" t="s">
        <v>26</v>
      </c>
      <c r="J424" s="1" t="s">
        <v>9</v>
      </c>
      <c r="K424" s="1" t="s">
        <v>14</v>
      </c>
      <c r="L424" s="1" t="s">
        <v>14</v>
      </c>
      <c r="M424" s="1" t="s">
        <v>53</v>
      </c>
      <c r="N424" s="11" t="s">
        <v>2091</v>
      </c>
      <c r="O424" s="1" t="s">
        <v>6037</v>
      </c>
      <c r="P424" s="1" t="s">
        <v>66</v>
      </c>
      <c r="Q424" s="1" t="s">
        <v>5623</v>
      </c>
      <c r="R424" s="7" t="s">
        <v>3991</v>
      </c>
      <c r="S424" s="8">
        <v>46055</v>
      </c>
      <c r="T424" s="1">
        <v>2</v>
      </c>
      <c r="U424" s="1" t="s">
        <v>236</v>
      </c>
      <c r="V424" s="1" t="s">
        <v>309</v>
      </c>
      <c r="W424" s="1" t="s">
        <v>1388</v>
      </c>
    </row>
    <row r="425" spans="1:23" x14ac:dyDescent="0.25">
      <c r="A425" s="1" t="s">
        <v>48</v>
      </c>
      <c r="B425" s="1" t="s">
        <v>2113</v>
      </c>
      <c r="C425" s="1" t="s">
        <v>50</v>
      </c>
      <c r="D425" s="1" t="s">
        <v>2678</v>
      </c>
      <c r="E425" s="1" t="s">
        <v>2679</v>
      </c>
      <c r="F425" s="22" t="s">
        <v>6085</v>
      </c>
      <c r="G425" s="1" t="s">
        <v>6</v>
      </c>
      <c r="H425" s="1" t="s">
        <v>24</v>
      </c>
      <c r="I425" s="1" t="s">
        <v>25</v>
      </c>
      <c r="J425" s="1" t="s">
        <v>9</v>
      </c>
      <c r="K425" s="1" t="s">
        <v>11</v>
      </c>
      <c r="L425" s="1" t="s">
        <v>19</v>
      </c>
      <c r="M425" s="1" t="s">
        <v>53</v>
      </c>
      <c r="O425" s="2" t="s">
        <v>6235</v>
      </c>
      <c r="P425" s="1" t="s">
        <v>126</v>
      </c>
      <c r="Q425" s="1" t="s">
        <v>5624</v>
      </c>
      <c r="R425" s="1" t="s">
        <v>3992</v>
      </c>
      <c r="S425" s="8">
        <v>46037</v>
      </c>
      <c r="T425" s="1">
        <v>1</v>
      </c>
      <c r="U425" s="1" t="s">
        <v>135</v>
      </c>
      <c r="V425" s="1" t="s">
        <v>1388</v>
      </c>
      <c r="W425" s="1" t="s">
        <v>1388</v>
      </c>
    </row>
    <row r="426" spans="1:23" x14ac:dyDescent="0.25">
      <c r="A426" s="1" t="s">
        <v>48</v>
      </c>
      <c r="B426" s="1" t="s">
        <v>2114</v>
      </c>
      <c r="C426" s="1" t="s">
        <v>50</v>
      </c>
      <c r="D426" s="1" t="s">
        <v>2680</v>
      </c>
      <c r="E426" s="1" t="s">
        <v>2681</v>
      </c>
      <c r="F426" s="22" t="s">
        <v>6085</v>
      </c>
      <c r="G426" s="1" t="s">
        <v>5</v>
      </c>
      <c r="H426" s="1" t="s">
        <v>20</v>
      </c>
      <c r="I426" s="1" t="s">
        <v>25</v>
      </c>
      <c r="J426" s="1" t="s">
        <v>9</v>
      </c>
      <c r="K426" s="1" t="s">
        <v>13</v>
      </c>
      <c r="L426" s="1" t="s">
        <v>16</v>
      </c>
      <c r="M426" s="1" t="s">
        <v>53</v>
      </c>
      <c r="N426" s="11" t="s">
        <v>2091</v>
      </c>
      <c r="O426" s="1" t="s">
        <v>6037</v>
      </c>
      <c r="P426" s="1" t="s">
        <v>1456</v>
      </c>
      <c r="Q426" s="1" t="s">
        <v>5384</v>
      </c>
      <c r="R426" s="1" t="s">
        <v>3993</v>
      </c>
      <c r="S426" s="8">
        <v>45510</v>
      </c>
      <c r="T426" s="1">
        <v>2</v>
      </c>
      <c r="U426" s="1" t="s">
        <v>3994</v>
      </c>
      <c r="V426" s="1" t="s">
        <v>3995</v>
      </c>
      <c r="W426" s="1" t="s">
        <v>1388</v>
      </c>
    </row>
    <row r="427" spans="1:23" x14ac:dyDescent="0.25">
      <c r="A427" s="1" t="s">
        <v>48</v>
      </c>
      <c r="B427" s="1" t="s">
        <v>2115</v>
      </c>
      <c r="C427" s="1" t="s">
        <v>50</v>
      </c>
      <c r="D427" s="1" t="s">
        <v>2682</v>
      </c>
      <c r="E427" s="1" t="s">
        <v>2683</v>
      </c>
      <c r="F427" s="22" t="s">
        <v>6085</v>
      </c>
      <c r="G427" s="1" t="s">
        <v>5</v>
      </c>
      <c r="H427" s="1" t="s">
        <v>21</v>
      </c>
      <c r="I427" s="1" t="s">
        <v>26</v>
      </c>
      <c r="J427" s="1" t="s">
        <v>8</v>
      </c>
      <c r="K427" s="1" t="s">
        <v>18</v>
      </c>
      <c r="L427" s="1" t="s">
        <v>18</v>
      </c>
      <c r="M427" s="1" t="s">
        <v>53</v>
      </c>
      <c r="N427" s="11" t="s">
        <v>2091</v>
      </c>
      <c r="O427" s="1" t="s">
        <v>6037</v>
      </c>
      <c r="P427" s="1" t="s">
        <v>3996</v>
      </c>
      <c r="Q427" s="1" t="s">
        <v>5625</v>
      </c>
      <c r="R427" s="20" t="s">
        <v>3997</v>
      </c>
      <c r="S427" s="8">
        <v>46043</v>
      </c>
      <c r="T427" s="1">
        <v>3</v>
      </c>
      <c r="U427" s="1" t="s">
        <v>3998</v>
      </c>
      <c r="V427" s="1" t="s">
        <v>3998</v>
      </c>
      <c r="W427" s="1" t="s">
        <v>3998</v>
      </c>
    </row>
    <row r="428" spans="1:23" x14ac:dyDescent="0.25">
      <c r="A428" s="1" t="s">
        <v>48</v>
      </c>
      <c r="B428" s="1" t="s">
        <v>2116</v>
      </c>
      <c r="C428" s="1" t="s">
        <v>50</v>
      </c>
      <c r="D428" s="1" t="s">
        <v>2684</v>
      </c>
      <c r="E428" s="1" t="s">
        <v>2685</v>
      </c>
      <c r="F428" s="22" t="s">
        <v>6085</v>
      </c>
      <c r="G428" s="1" t="s">
        <v>6</v>
      </c>
      <c r="H428" s="1" t="s">
        <v>24</v>
      </c>
      <c r="I428" s="1" t="s">
        <v>26</v>
      </c>
      <c r="J428" s="1" t="s">
        <v>9</v>
      </c>
      <c r="K428" s="1" t="s">
        <v>11</v>
      </c>
      <c r="L428" s="1" t="s">
        <v>11</v>
      </c>
      <c r="M428" s="1" t="s">
        <v>53</v>
      </c>
      <c r="N428" s="11" t="s">
        <v>188</v>
      </c>
      <c r="O428" s="1" t="s">
        <v>6037</v>
      </c>
      <c r="P428" s="1" t="s">
        <v>3999</v>
      </c>
      <c r="Q428" s="1" t="s">
        <v>5626</v>
      </c>
      <c r="R428" s="1" t="s">
        <v>4000</v>
      </c>
      <c r="S428" s="8">
        <v>46027</v>
      </c>
      <c r="T428" s="1">
        <v>2</v>
      </c>
      <c r="U428" s="1" t="s">
        <v>4001</v>
      </c>
      <c r="V428" s="1" t="s">
        <v>4002</v>
      </c>
      <c r="W428" s="1" t="s">
        <v>1388</v>
      </c>
    </row>
    <row r="429" spans="1:23" x14ac:dyDescent="0.25">
      <c r="A429" s="1" t="s">
        <v>48</v>
      </c>
      <c r="B429" s="1" t="s">
        <v>2117</v>
      </c>
      <c r="C429" s="1" t="s">
        <v>50</v>
      </c>
      <c r="D429" s="1" t="s">
        <v>2686</v>
      </c>
      <c r="E429" s="1" t="s">
        <v>2687</v>
      </c>
      <c r="F429" s="22" t="s">
        <v>6085</v>
      </c>
      <c r="G429" s="1" t="s">
        <v>5</v>
      </c>
      <c r="H429" s="1" t="s">
        <v>24</v>
      </c>
      <c r="I429" s="1" t="s">
        <v>25</v>
      </c>
      <c r="J429" s="1" t="s">
        <v>9</v>
      </c>
      <c r="K429" s="1" t="s">
        <v>19</v>
      </c>
      <c r="L429" s="1" t="s">
        <v>19</v>
      </c>
      <c r="M429" s="1" t="s">
        <v>53</v>
      </c>
      <c r="N429" s="11" t="s">
        <v>188</v>
      </c>
      <c r="O429" s="1" t="s">
        <v>6037</v>
      </c>
      <c r="P429" s="1" t="s">
        <v>60</v>
      </c>
      <c r="Q429" s="1" t="s">
        <v>5539</v>
      </c>
      <c r="R429" s="1" t="s">
        <v>4003</v>
      </c>
      <c r="S429" s="8">
        <v>46032</v>
      </c>
      <c r="T429" s="1">
        <v>3</v>
      </c>
      <c r="U429" s="1" t="s">
        <v>4004</v>
      </c>
      <c r="V429" s="1" t="s">
        <v>4005</v>
      </c>
      <c r="W429" s="1" t="s">
        <v>4006</v>
      </c>
    </row>
    <row r="430" spans="1:23" x14ac:dyDescent="0.25">
      <c r="A430" s="1" t="s">
        <v>48</v>
      </c>
      <c r="B430" s="1" t="s">
        <v>2118</v>
      </c>
      <c r="C430" s="1" t="s">
        <v>50</v>
      </c>
      <c r="D430" s="1" t="s">
        <v>2688</v>
      </c>
      <c r="E430" s="1" t="s">
        <v>2689</v>
      </c>
      <c r="F430" s="22" t="s">
        <v>6085</v>
      </c>
      <c r="G430" s="1" t="s">
        <v>6</v>
      </c>
      <c r="H430" s="1" t="s">
        <v>20</v>
      </c>
      <c r="I430" s="1" t="s">
        <v>25</v>
      </c>
      <c r="J430" s="1" t="s">
        <v>9</v>
      </c>
      <c r="K430" s="1" t="s">
        <v>10</v>
      </c>
      <c r="L430" s="1" t="s">
        <v>10</v>
      </c>
      <c r="M430" s="1" t="s">
        <v>53</v>
      </c>
      <c r="N430" s="11" t="s">
        <v>2091</v>
      </c>
      <c r="O430" s="1" t="s">
        <v>6037</v>
      </c>
      <c r="P430" s="1" t="s">
        <v>126</v>
      </c>
      <c r="Q430" s="18" t="s">
        <v>4621</v>
      </c>
      <c r="R430" s="1" t="s">
        <v>4007</v>
      </c>
      <c r="S430" s="8">
        <v>46041</v>
      </c>
      <c r="T430" s="1">
        <v>1</v>
      </c>
      <c r="U430" s="1" t="s">
        <v>1407</v>
      </c>
      <c r="V430" s="1" t="s">
        <v>1388</v>
      </c>
      <c r="W430" s="1" t="s">
        <v>1388</v>
      </c>
    </row>
    <row r="431" spans="1:23" x14ac:dyDescent="0.25">
      <c r="A431" s="1" t="s">
        <v>48</v>
      </c>
      <c r="B431" s="1" t="s">
        <v>2119</v>
      </c>
      <c r="C431" s="1" t="s">
        <v>50</v>
      </c>
      <c r="D431" s="1" t="s">
        <v>2690</v>
      </c>
      <c r="E431" s="1" t="s">
        <v>2691</v>
      </c>
      <c r="F431" s="22" t="s">
        <v>6085</v>
      </c>
      <c r="G431" s="1" t="s">
        <v>5</v>
      </c>
      <c r="H431" s="1" t="s">
        <v>20</v>
      </c>
      <c r="I431" s="1" t="s">
        <v>26</v>
      </c>
      <c r="J431" s="1" t="s">
        <v>9</v>
      </c>
      <c r="K431" s="1" t="s">
        <v>16</v>
      </c>
      <c r="L431" s="1" t="s">
        <v>16</v>
      </c>
      <c r="M431" s="1" t="s">
        <v>53</v>
      </c>
      <c r="N431" s="11" t="s">
        <v>188</v>
      </c>
      <c r="O431" s="1" t="s">
        <v>6037</v>
      </c>
      <c r="P431" s="1" t="s">
        <v>60</v>
      </c>
      <c r="Q431" s="1" t="s">
        <v>5380</v>
      </c>
      <c r="R431" s="1" t="s">
        <v>4008</v>
      </c>
      <c r="S431" s="8">
        <v>45292</v>
      </c>
      <c r="T431" s="1">
        <v>1</v>
      </c>
      <c r="U431" s="1" t="s">
        <v>1813</v>
      </c>
      <c r="V431" s="1" t="s">
        <v>1388</v>
      </c>
      <c r="W431" s="1" t="s">
        <v>1388</v>
      </c>
    </row>
    <row r="432" spans="1:23" x14ac:dyDescent="0.25">
      <c r="A432" s="1" t="s">
        <v>48</v>
      </c>
      <c r="B432" s="1" t="s">
        <v>2120</v>
      </c>
      <c r="C432" s="1" t="s">
        <v>50</v>
      </c>
      <c r="D432" s="1" t="s">
        <v>2692</v>
      </c>
      <c r="E432" s="1" t="s">
        <v>2693</v>
      </c>
      <c r="F432" s="22" t="s">
        <v>6085</v>
      </c>
      <c r="G432" s="1" t="s">
        <v>7</v>
      </c>
      <c r="H432" s="1" t="s">
        <v>21</v>
      </c>
      <c r="I432" s="1" t="s">
        <v>26</v>
      </c>
      <c r="J432" s="1" t="s">
        <v>9</v>
      </c>
      <c r="K432" s="1" t="s">
        <v>13</v>
      </c>
      <c r="L432" s="1" t="s">
        <v>16</v>
      </c>
      <c r="M432" s="1" t="s">
        <v>53</v>
      </c>
      <c r="N432" s="11" t="s">
        <v>188</v>
      </c>
      <c r="O432" s="1" t="s">
        <v>6037</v>
      </c>
      <c r="P432" s="1" t="s">
        <v>126</v>
      </c>
      <c r="Q432" s="1" t="s">
        <v>4621</v>
      </c>
      <c r="R432" s="1" t="s">
        <v>4009</v>
      </c>
      <c r="S432" s="8">
        <v>46083</v>
      </c>
      <c r="T432" s="1">
        <v>2</v>
      </c>
      <c r="U432" s="1" t="s">
        <v>4010</v>
      </c>
      <c r="V432" s="1" t="s">
        <v>4011</v>
      </c>
      <c r="W432" s="1" t="s">
        <v>1388</v>
      </c>
    </row>
    <row r="433" spans="1:23" x14ac:dyDescent="0.25">
      <c r="A433" s="1" t="s">
        <v>48</v>
      </c>
      <c r="B433" s="1" t="s">
        <v>2121</v>
      </c>
      <c r="C433" s="1" t="s">
        <v>50</v>
      </c>
      <c r="D433" s="1" t="s">
        <v>2694</v>
      </c>
      <c r="E433" s="1" t="s">
        <v>2695</v>
      </c>
      <c r="F433" s="22" t="s">
        <v>6085</v>
      </c>
      <c r="G433" s="1" t="s">
        <v>6</v>
      </c>
      <c r="H433" s="1" t="s">
        <v>22</v>
      </c>
      <c r="I433" s="1" t="s">
        <v>25</v>
      </c>
      <c r="J433" s="1" t="s">
        <v>9</v>
      </c>
      <c r="K433" s="1" t="s">
        <v>16</v>
      </c>
      <c r="L433" s="1" t="s">
        <v>16</v>
      </c>
      <c r="M433" s="1" t="s">
        <v>53</v>
      </c>
      <c r="N433" s="11" t="s">
        <v>188</v>
      </c>
      <c r="O433" s="1" t="s">
        <v>6037</v>
      </c>
      <c r="P433" s="1" t="s">
        <v>707</v>
      </c>
      <c r="Q433" s="1" t="s">
        <v>5627</v>
      </c>
      <c r="R433" s="1" t="s">
        <v>4012</v>
      </c>
      <c r="S433" s="8">
        <v>46052</v>
      </c>
      <c r="T433" s="1">
        <v>1</v>
      </c>
      <c r="U433" s="1" t="s">
        <v>1813</v>
      </c>
      <c r="V433" s="1" t="s">
        <v>1388</v>
      </c>
      <c r="W433" s="1" t="s">
        <v>1388</v>
      </c>
    </row>
    <row r="434" spans="1:23" x14ac:dyDescent="0.25">
      <c r="A434" s="1" t="s">
        <v>48</v>
      </c>
      <c r="B434" s="1" t="s">
        <v>2122</v>
      </c>
      <c r="C434" s="1" t="s">
        <v>50</v>
      </c>
      <c r="D434" s="1" t="s">
        <v>2696</v>
      </c>
      <c r="E434" s="1" t="s">
        <v>2697</v>
      </c>
      <c r="F434" s="22" t="s">
        <v>6085</v>
      </c>
      <c r="G434" s="1" t="s">
        <v>6</v>
      </c>
      <c r="H434" s="1" t="s">
        <v>20</v>
      </c>
      <c r="I434" s="1" t="s">
        <v>25</v>
      </c>
      <c r="J434" s="1" t="s">
        <v>9</v>
      </c>
      <c r="K434" s="1" t="s">
        <v>19</v>
      </c>
      <c r="L434" s="1" t="s">
        <v>19</v>
      </c>
      <c r="M434" s="1" t="s">
        <v>53</v>
      </c>
      <c r="N434" s="11" t="s">
        <v>188</v>
      </c>
      <c r="O434" s="1" t="s">
        <v>6037</v>
      </c>
      <c r="P434" s="1" t="s">
        <v>60</v>
      </c>
      <c r="Q434" s="1" t="s">
        <v>5628</v>
      </c>
      <c r="R434" s="1" t="s">
        <v>4013</v>
      </c>
      <c r="S434" s="8">
        <v>46034</v>
      </c>
      <c r="T434" s="1">
        <v>2</v>
      </c>
      <c r="U434" s="1" t="s">
        <v>4014</v>
      </c>
      <c r="V434" s="1" t="s">
        <v>4015</v>
      </c>
      <c r="W434" s="1" t="s">
        <v>1388</v>
      </c>
    </row>
    <row r="435" spans="1:23" x14ac:dyDescent="0.25">
      <c r="A435" s="1" t="s">
        <v>48</v>
      </c>
      <c r="B435" s="1" t="s">
        <v>2123</v>
      </c>
      <c r="C435" s="1" t="s">
        <v>50</v>
      </c>
      <c r="D435" s="1" t="s">
        <v>2698</v>
      </c>
      <c r="E435" s="1" t="s">
        <v>2699</v>
      </c>
      <c r="F435" s="22" t="s">
        <v>6085</v>
      </c>
      <c r="G435" s="1" t="s">
        <v>6</v>
      </c>
      <c r="H435" s="1" t="s">
        <v>22</v>
      </c>
      <c r="I435" s="1" t="s">
        <v>26</v>
      </c>
      <c r="J435" s="1" t="s">
        <v>9</v>
      </c>
      <c r="K435" s="1" t="s">
        <v>16</v>
      </c>
      <c r="L435" s="1" t="s">
        <v>16</v>
      </c>
      <c r="M435" s="1" t="s">
        <v>53</v>
      </c>
      <c r="N435" s="11" t="s">
        <v>188</v>
      </c>
      <c r="O435" s="1" t="s">
        <v>6037</v>
      </c>
      <c r="P435" s="1" t="s">
        <v>60</v>
      </c>
      <c r="Q435" s="1" t="s">
        <v>5392</v>
      </c>
      <c r="R435" s="1" t="s">
        <v>4016</v>
      </c>
      <c r="S435" s="8">
        <v>46023</v>
      </c>
      <c r="T435" s="1">
        <v>2</v>
      </c>
      <c r="U435" s="1" t="s">
        <v>1588</v>
      </c>
      <c r="V435" s="1" t="s">
        <v>1588</v>
      </c>
      <c r="W435" s="1" t="s">
        <v>1388</v>
      </c>
    </row>
    <row r="436" spans="1:23" x14ac:dyDescent="0.25">
      <c r="A436" s="1" t="s">
        <v>48</v>
      </c>
      <c r="B436" s="1" t="s">
        <v>2124</v>
      </c>
      <c r="C436" s="1" t="s">
        <v>50</v>
      </c>
      <c r="D436" s="1" t="s">
        <v>2700</v>
      </c>
      <c r="E436" s="1" t="s">
        <v>2701</v>
      </c>
      <c r="F436" s="22" t="s">
        <v>6085</v>
      </c>
      <c r="G436" s="1" t="s">
        <v>5</v>
      </c>
      <c r="H436" s="1" t="s">
        <v>20</v>
      </c>
      <c r="I436" s="1" t="s">
        <v>25</v>
      </c>
      <c r="J436" s="1" t="s">
        <v>9</v>
      </c>
      <c r="K436" s="1" t="s">
        <v>14</v>
      </c>
      <c r="L436" s="1" t="s">
        <v>14</v>
      </c>
      <c r="M436" s="1" t="s">
        <v>53</v>
      </c>
      <c r="N436" s="1" t="s">
        <v>1190</v>
      </c>
      <c r="O436" s="1" t="s">
        <v>6235</v>
      </c>
      <c r="P436" s="1" t="s">
        <v>126</v>
      </c>
      <c r="Q436" s="1" t="s">
        <v>5629</v>
      </c>
      <c r="R436" s="1" t="s">
        <v>4017</v>
      </c>
      <c r="S436" s="8">
        <v>45323</v>
      </c>
      <c r="T436" s="1">
        <v>2</v>
      </c>
      <c r="U436" s="1" t="s">
        <v>4018</v>
      </c>
      <c r="V436" s="1" t="s">
        <v>4018</v>
      </c>
      <c r="W436" s="1" t="s">
        <v>1388</v>
      </c>
    </row>
    <row r="437" spans="1:23" x14ac:dyDescent="0.25">
      <c r="A437" s="1" t="s">
        <v>48</v>
      </c>
      <c r="B437" s="1" t="s">
        <v>2125</v>
      </c>
      <c r="C437" s="1" t="s">
        <v>50</v>
      </c>
      <c r="D437" s="1" t="s">
        <v>2702</v>
      </c>
      <c r="E437" s="1" t="s">
        <v>2703</v>
      </c>
      <c r="F437" s="22" t="s">
        <v>6085</v>
      </c>
      <c r="G437" s="1" t="s">
        <v>7</v>
      </c>
      <c r="H437" s="1" t="s">
        <v>20</v>
      </c>
      <c r="I437" s="1" t="s">
        <v>26</v>
      </c>
      <c r="J437" s="1" t="s">
        <v>9</v>
      </c>
      <c r="K437" s="1" t="s">
        <v>11</v>
      </c>
      <c r="L437" s="1" t="s">
        <v>11</v>
      </c>
      <c r="M437" s="1" t="s">
        <v>53</v>
      </c>
      <c r="N437" s="11" t="s">
        <v>188</v>
      </c>
      <c r="O437" s="1" t="s">
        <v>6037</v>
      </c>
      <c r="P437" s="1" t="s">
        <v>4019</v>
      </c>
      <c r="Q437" s="1" t="s">
        <v>5630</v>
      </c>
      <c r="R437" s="1" t="s">
        <v>4020</v>
      </c>
      <c r="S437" s="8">
        <v>46023</v>
      </c>
      <c r="T437" s="1">
        <v>2</v>
      </c>
      <c r="U437" s="1" t="s">
        <v>4021</v>
      </c>
      <c r="V437" s="1" t="s">
        <v>4022</v>
      </c>
      <c r="W437" s="1" t="s">
        <v>1388</v>
      </c>
    </row>
    <row r="438" spans="1:23" x14ac:dyDescent="0.25">
      <c r="A438" s="1" t="s">
        <v>48</v>
      </c>
      <c r="B438" s="1" t="s">
        <v>2126</v>
      </c>
      <c r="C438" s="1" t="s">
        <v>50</v>
      </c>
      <c r="D438" s="1" t="s">
        <v>2704</v>
      </c>
      <c r="E438" s="1" t="s">
        <v>2705</v>
      </c>
      <c r="F438" s="22" t="s">
        <v>6085</v>
      </c>
      <c r="G438" s="1" t="s">
        <v>6</v>
      </c>
      <c r="H438" s="1" t="s">
        <v>20</v>
      </c>
      <c r="I438" s="1" t="s">
        <v>25</v>
      </c>
      <c r="J438" s="1" t="s">
        <v>9</v>
      </c>
      <c r="K438" s="1" t="s">
        <v>14</v>
      </c>
      <c r="L438" s="1" t="s">
        <v>14</v>
      </c>
      <c r="M438" s="1" t="s">
        <v>53</v>
      </c>
      <c r="N438" s="11" t="s">
        <v>188</v>
      </c>
      <c r="O438" s="1" t="s">
        <v>6037</v>
      </c>
      <c r="P438" s="1" t="s">
        <v>126</v>
      </c>
      <c r="Q438" s="1" t="s">
        <v>5631</v>
      </c>
      <c r="R438" s="1" t="s">
        <v>4023</v>
      </c>
      <c r="S438" s="8">
        <v>46069</v>
      </c>
      <c r="T438" s="1">
        <v>1</v>
      </c>
      <c r="U438" s="1" t="s">
        <v>209</v>
      </c>
      <c r="V438" s="1" t="s">
        <v>1388</v>
      </c>
      <c r="W438" s="1" t="s">
        <v>1388</v>
      </c>
    </row>
    <row r="439" spans="1:23" x14ac:dyDescent="0.25">
      <c r="A439" s="1" t="s">
        <v>48</v>
      </c>
      <c r="B439" s="1" t="s">
        <v>2127</v>
      </c>
      <c r="C439" s="1" t="s">
        <v>50</v>
      </c>
      <c r="D439" s="1" t="s">
        <v>2706</v>
      </c>
      <c r="E439" s="1" t="s">
        <v>2707</v>
      </c>
      <c r="F439" s="22" t="s">
        <v>6085</v>
      </c>
      <c r="G439" s="1" t="s">
        <v>7</v>
      </c>
      <c r="H439" s="1" t="s">
        <v>20</v>
      </c>
      <c r="I439" s="1" t="s">
        <v>25</v>
      </c>
      <c r="J439" s="1" t="s">
        <v>9</v>
      </c>
      <c r="K439" s="1" t="s">
        <v>10</v>
      </c>
      <c r="L439" s="1" t="s">
        <v>10</v>
      </c>
      <c r="M439" s="1" t="s">
        <v>53</v>
      </c>
      <c r="N439" s="11" t="s">
        <v>188</v>
      </c>
      <c r="O439" s="1" t="s">
        <v>6037</v>
      </c>
      <c r="P439" s="1" t="s">
        <v>247</v>
      </c>
      <c r="Q439" s="18" t="s">
        <v>7</v>
      </c>
      <c r="R439" s="1" t="s">
        <v>4024</v>
      </c>
      <c r="S439" s="8">
        <v>46027</v>
      </c>
      <c r="T439" s="1">
        <v>2</v>
      </c>
      <c r="U439" s="1" t="s">
        <v>4025</v>
      </c>
      <c r="V439" s="1" t="s">
        <v>3985</v>
      </c>
      <c r="W439" s="1" t="s">
        <v>1388</v>
      </c>
    </row>
    <row r="440" spans="1:23" x14ac:dyDescent="0.25">
      <c r="A440" s="1" t="s">
        <v>48</v>
      </c>
      <c r="B440" s="1" t="s">
        <v>2128</v>
      </c>
      <c r="C440" s="1" t="s">
        <v>50</v>
      </c>
      <c r="D440" s="1" t="s">
        <v>2708</v>
      </c>
      <c r="E440" s="1" t="s">
        <v>2709</v>
      </c>
      <c r="F440" s="22" t="s">
        <v>6085</v>
      </c>
      <c r="G440" s="1" t="s">
        <v>7</v>
      </c>
      <c r="H440" s="1" t="s">
        <v>20</v>
      </c>
      <c r="I440" s="1" t="s">
        <v>25</v>
      </c>
      <c r="J440" s="1" t="s">
        <v>9</v>
      </c>
      <c r="K440" s="1" t="s">
        <v>16</v>
      </c>
      <c r="L440" s="1" t="s">
        <v>16</v>
      </c>
      <c r="M440" s="1" t="s">
        <v>53</v>
      </c>
      <c r="N440" s="11" t="s">
        <v>188</v>
      </c>
      <c r="O440" s="1" t="s">
        <v>6037</v>
      </c>
      <c r="P440" s="1" t="s">
        <v>60</v>
      </c>
      <c r="Q440" s="1" t="s">
        <v>7</v>
      </c>
      <c r="R440" s="1" t="s">
        <v>4026</v>
      </c>
      <c r="S440" s="8">
        <v>45743</v>
      </c>
      <c r="T440" s="1">
        <v>2</v>
      </c>
      <c r="U440" s="1" t="s">
        <v>4027</v>
      </c>
      <c r="V440" s="1" t="s">
        <v>4014</v>
      </c>
      <c r="W440" s="1" t="s">
        <v>1388</v>
      </c>
    </row>
    <row r="441" spans="1:23" x14ac:dyDescent="0.25">
      <c r="A441" s="1" t="s">
        <v>48</v>
      </c>
      <c r="B441" s="1" t="s">
        <v>2129</v>
      </c>
      <c r="C441" s="1" t="s">
        <v>50</v>
      </c>
      <c r="D441" s="1" t="s">
        <v>2710</v>
      </c>
      <c r="E441" s="1" t="s">
        <v>2711</v>
      </c>
      <c r="F441" s="22" t="s">
        <v>6085</v>
      </c>
      <c r="G441" s="1" t="s">
        <v>6</v>
      </c>
      <c r="H441" s="1" t="s">
        <v>20</v>
      </c>
      <c r="I441" s="1" t="s">
        <v>26</v>
      </c>
      <c r="J441" s="1" t="s">
        <v>9</v>
      </c>
      <c r="K441" s="1" t="s">
        <v>13</v>
      </c>
      <c r="L441" s="1" t="s">
        <v>13</v>
      </c>
      <c r="M441" s="1" t="s">
        <v>53</v>
      </c>
      <c r="N441" s="11" t="s">
        <v>188</v>
      </c>
      <c r="O441" s="1" t="s">
        <v>6235</v>
      </c>
      <c r="P441" s="1" t="s">
        <v>4028</v>
      </c>
      <c r="Q441" s="1" t="s">
        <v>5632</v>
      </c>
      <c r="R441" s="1" t="s">
        <v>4029</v>
      </c>
      <c r="S441" s="8">
        <v>46041</v>
      </c>
      <c r="T441" s="1">
        <v>2</v>
      </c>
      <c r="U441" s="1" t="s">
        <v>4030</v>
      </c>
      <c r="V441" s="1" t="s">
        <v>4030</v>
      </c>
      <c r="W441" s="1" t="s">
        <v>1388</v>
      </c>
    </row>
    <row r="442" spans="1:23" x14ac:dyDescent="0.25">
      <c r="A442" s="1" t="s">
        <v>48</v>
      </c>
      <c r="B442" s="1" t="s">
        <v>2130</v>
      </c>
      <c r="C442" s="1" t="s">
        <v>50</v>
      </c>
      <c r="D442" s="1" t="s">
        <v>2712</v>
      </c>
      <c r="E442" s="1" t="s">
        <v>2713</v>
      </c>
      <c r="F442" s="22" t="s">
        <v>6085</v>
      </c>
      <c r="G442" s="1" t="s">
        <v>5</v>
      </c>
      <c r="H442" s="1" t="s">
        <v>20</v>
      </c>
      <c r="I442" s="1" t="s">
        <v>26</v>
      </c>
      <c r="J442" s="1" t="s">
        <v>9</v>
      </c>
      <c r="K442" s="1" t="s">
        <v>13</v>
      </c>
      <c r="L442" s="1" t="s">
        <v>13</v>
      </c>
      <c r="M442" s="1" t="s">
        <v>53</v>
      </c>
      <c r="N442" s="11" t="s">
        <v>188</v>
      </c>
      <c r="O442" s="1" t="s">
        <v>6037</v>
      </c>
      <c r="P442" s="1" t="s">
        <v>60</v>
      </c>
      <c r="Q442" s="1" t="s">
        <v>5633</v>
      </c>
      <c r="R442" s="1" t="s">
        <v>4031</v>
      </c>
      <c r="S442" s="8">
        <v>46055</v>
      </c>
      <c r="T442" s="1">
        <v>3</v>
      </c>
      <c r="U442" s="1" t="s">
        <v>349</v>
      </c>
      <c r="V442" s="1" t="s">
        <v>128</v>
      </c>
      <c r="W442" s="1" t="s">
        <v>128</v>
      </c>
    </row>
    <row r="443" spans="1:23" x14ac:dyDescent="0.25">
      <c r="A443" s="1" t="s">
        <v>48</v>
      </c>
      <c r="B443" s="1" t="s">
        <v>2131</v>
      </c>
      <c r="C443" s="1" t="s">
        <v>50</v>
      </c>
      <c r="D443" s="1" t="s">
        <v>2714</v>
      </c>
      <c r="E443" s="1" t="s">
        <v>2715</v>
      </c>
      <c r="F443" s="22" t="s">
        <v>6085</v>
      </c>
      <c r="G443" s="1" t="s">
        <v>5</v>
      </c>
      <c r="H443" s="1" t="s">
        <v>20</v>
      </c>
      <c r="I443" s="1" t="s">
        <v>25</v>
      </c>
      <c r="J443" s="1" t="s">
        <v>9</v>
      </c>
      <c r="K443" s="1" t="s">
        <v>13</v>
      </c>
      <c r="L443" s="1" t="s">
        <v>13</v>
      </c>
      <c r="M443" s="1" t="s">
        <v>53</v>
      </c>
      <c r="N443" s="11" t="s">
        <v>188</v>
      </c>
      <c r="O443" s="1" t="s">
        <v>6037</v>
      </c>
      <c r="P443" s="1" t="s">
        <v>593</v>
      </c>
      <c r="Q443" s="1" t="s">
        <v>5433</v>
      </c>
      <c r="R443" s="1" t="s">
        <v>4032</v>
      </c>
      <c r="S443" s="8">
        <v>46055</v>
      </c>
      <c r="T443" s="1">
        <v>3</v>
      </c>
      <c r="U443" s="1" t="s">
        <v>4033</v>
      </c>
      <c r="V443" s="1" t="s">
        <v>4034</v>
      </c>
      <c r="W443" s="1" t="s">
        <v>4035</v>
      </c>
    </row>
    <row r="444" spans="1:23" x14ac:dyDescent="0.25">
      <c r="A444" s="1" t="s">
        <v>48</v>
      </c>
      <c r="B444" s="1" t="s">
        <v>2132</v>
      </c>
      <c r="C444" s="1" t="s">
        <v>50</v>
      </c>
      <c r="D444" s="1" t="s">
        <v>2716</v>
      </c>
      <c r="E444" s="1" t="s">
        <v>2717</v>
      </c>
      <c r="F444" s="22" t="s">
        <v>6085</v>
      </c>
      <c r="G444" s="1" t="s">
        <v>5</v>
      </c>
      <c r="H444" s="1" t="s">
        <v>21</v>
      </c>
      <c r="I444" s="1" t="s">
        <v>26</v>
      </c>
      <c r="J444" s="1" t="s">
        <v>9</v>
      </c>
      <c r="K444" s="1" t="s">
        <v>10</v>
      </c>
      <c r="L444" s="1" t="s">
        <v>16</v>
      </c>
      <c r="M444" s="1" t="s">
        <v>53</v>
      </c>
      <c r="N444" s="11" t="s">
        <v>2091</v>
      </c>
      <c r="O444" s="1" t="s">
        <v>6037</v>
      </c>
      <c r="P444" s="1" t="s">
        <v>107</v>
      </c>
      <c r="Q444" s="18" t="s">
        <v>5634</v>
      </c>
      <c r="R444" s="1" t="s">
        <v>4036</v>
      </c>
      <c r="S444" s="8">
        <v>46034</v>
      </c>
      <c r="T444" s="1">
        <v>3</v>
      </c>
      <c r="U444" s="1" t="s">
        <v>1813</v>
      </c>
      <c r="V444" s="1" t="s">
        <v>4037</v>
      </c>
      <c r="W444" s="1" t="s">
        <v>4037</v>
      </c>
    </row>
    <row r="445" spans="1:23" x14ac:dyDescent="0.25">
      <c r="A445" s="1" t="s">
        <v>48</v>
      </c>
      <c r="B445" s="1" t="s">
        <v>2133</v>
      </c>
      <c r="C445" s="1" t="s">
        <v>50</v>
      </c>
      <c r="D445" s="1" t="s">
        <v>2718</v>
      </c>
      <c r="E445" s="1" t="s">
        <v>2719</v>
      </c>
      <c r="F445" s="22" t="s">
        <v>6085</v>
      </c>
      <c r="G445" s="1" t="s">
        <v>5</v>
      </c>
      <c r="H445" s="1" t="s">
        <v>20</v>
      </c>
      <c r="I445" s="1" t="s">
        <v>25</v>
      </c>
      <c r="J445" s="1" t="s">
        <v>9</v>
      </c>
      <c r="K445" s="1" t="s">
        <v>15</v>
      </c>
      <c r="L445" s="1" t="s">
        <v>15</v>
      </c>
      <c r="M445" s="1" t="s">
        <v>53</v>
      </c>
      <c r="N445" s="11" t="s">
        <v>188</v>
      </c>
      <c r="O445" s="1" t="s">
        <v>6037</v>
      </c>
      <c r="P445" s="1" t="s">
        <v>126</v>
      </c>
      <c r="Q445" s="1" t="s">
        <v>5635</v>
      </c>
      <c r="R445" s="1" t="s">
        <v>4038</v>
      </c>
      <c r="S445" s="8">
        <v>46069</v>
      </c>
      <c r="T445" s="1">
        <v>2</v>
      </c>
      <c r="U445" s="1" t="s">
        <v>4039</v>
      </c>
      <c r="V445" s="1" t="s">
        <v>499</v>
      </c>
      <c r="W445" s="1" t="s">
        <v>1388</v>
      </c>
    </row>
    <row r="446" spans="1:23" x14ac:dyDescent="0.25">
      <c r="A446" s="1" t="s">
        <v>48</v>
      </c>
      <c r="B446" s="1" t="s">
        <v>2134</v>
      </c>
      <c r="C446" s="1" t="s">
        <v>50</v>
      </c>
      <c r="D446" s="1" t="s">
        <v>2720</v>
      </c>
      <c r="E446" s="1" t="s">
        <v>2721</v>
      </c>
      <c r="F446" s="22" t="s">
        <v>6085</v>
      </c>
      <c r="G446" s="1" t="s">
        <v>5</v>
      </c>
      <c r="H446" s="1" t="s">
        <v>20</v>
      </c>
      <c r="I446" s="1" t="s">
        <v>25</v>
      </c>
      <c r="J446" s="1" t="s">
        <v>9</v>
      </c>
      <c r="K446" s="1" t="s">
        <v>13</v>
      </c>
      <c r="L446" s="1" t="s">
        <v>13</v>
      </c>
      <c r="M446" s="1" t="s">
        <v>53</v>
      </c>
      <c r="N446" s="11" t="s">
        <v>6032</v>
      </c>
      <c r="O446" s="1" t="s">
        <v>6037</v>
      </c>
      <c r="P446" s="1" t="s">
        <v>343</v>
      </c>
      <c r="Q446" s="1" t="s">
        <v>5636</v>
      </c>
      <c r="R446" s="1" t="s">
        <v>4040</v>
      </c>
      <c r="S446" s="8">
        <v>46023</v>
      </c>
      <c r="T446" s="1">
        <v>3</v>
      </c>
      <c r="U446" s="1" t="s">
        <v>4041</v>
      </c>
      <c r="V446" s="1" t="s">
        <v>4041</v>
      </c>
      <c r="W446" s="1" t="s">
        <v>4041</v>
      </c>
    </row>
    <row r="447" spans="1:23" x14ac:dyDescent="0.25">
      <c r="A447" s="1" t="s">
        <v>48</v>
      </c>
      <c r="B447" s="1" t="s">
        <v>2135</v>
      </c>
      <c r="C447" s="1" t="s">
        <v>50</v>
      </c>
      <c r="D447" s="1" t="s">
        <v>2722</v>
      </c>
      <c r="E447" s="1" t="s">
        <v>2723</v>
      </c>
      <c r="F447" s="22" t="s">
        <v>6085</v>
      </c>
      <c r="G447" s="1" t="s">
        <v>6</v>
      </c>
      <c r="H447" s="1" t="s">
        <v>20</v>
      </c>
      <c r="I447" s="1" t="s">
        <v>25</v>
      </c>
      <c r="J447" s="1" t="s">
        <v>9</v>
      </c>
      <c r="K447" s="1" t="s">
        <v>14</v>
      </c>
      <c r="L447" s="1" t="s">
        <v>14</v>
      </c>
      <c r="M447" s="1" t="s">
        <v>53</v>
      </c>
      <c r="N447" s="11" t="s">
        <v>188</v>
      </c>
      <c r="O447" s="1" t="s">
        <v>6037</v>
      </c>
      <c r="P447" s="1" t="s">
        <v>1456</v>
      </c>
      <c r="Q447" s="1" t="s">
        <v>5637</v>
      </c>
      <c r="R447" s="1" t="s">
        <v>4042</v>
      </c>
      <c r="S447" s="8">
        <v>46023</v>
      </c>
      <c r="T447" s="1">
        <v>2</v>
      </c>
      <c r="U447" s="1" t="s">
        <v>410</v>
      </c>
      <c r="V447" s="1" t="s">
        <v>410</v>
      </c>
      <c r="W447" s="1" t="s">
        <v>1388</v>
      </c>
    </row>
    <row r="448" spans="1:23" x14ac:dyDescent="0.25">
      <c r="A448" s="1" t="s">
        <v>48</v>
      </c>
      <c r="B448" s="1" t="s">
        <v>2136</v>
      </c>
      <c r="C448" s="1" t="s">
        <v>50</v>
      </c>
      <c r="D448" s="1" t="s">
        <v>2724</v>
      </c>
      <c r="E448" s="1" t="s">
        <v>2725</v>
      </c>
      <c r="F448" s="22" t="s">
        <v>6085</v>
      </c>
      <c r="G448" s="1" t="s">
        <v>6</v>
      </c>
      <c r="H448" s="1" t="s">
        <v>20</v>
      </c>
      <c r="I448" s="1" t="s">
        <v>27</v>
      </c>
      <c r="J448" s="1" t="s">
        <v>9</v>
      </c>
      <c r="K448" s="1" t="s">
        <v>19</v>
      </c>
      <c r="L448" s="1" t="s">
        <v>19</v>
      </c>
      <c r="M448" s="1" t="s">
        <v>53</v>
      </c>
      <c r="N448" s="11" t="s">
        <v>188</v>
      </c>
      <c r="O448" s="1" t="s">
        <v>6037</v>
      </c>
      <c r="P448" s="1" t="s">
        <v>4043</v>
      </c>
      <c r="Q448" s="1" t="s">
        <v>5638</v>
      </c>
      <c r="R448" s="1" t="s">
        <v>4044</v>
      </c>
      <c r="S448" s="8">
        <v>46040</v>
      </c>
      <c r="T448" s="1">
        <v>2</v>
      </c>
      <c r="U448" s="1" t="s">
        <v>4045</v>
      </c>
      <c r="V448" s="1" t="s">
        <v>4046</v>
      </c>
      <c r="W448" s="1" t="s">
        <v>1388</v>
      </c>
    </row>
    <row r="449" spans="1:23" x14ac:dyDescent="0.25">
      <c r="A449" s="1" t="s">
        <v>48</v>
      </c>
      <c r="B449" s="1" t="s">
        <v>2137</v>
      </c>
      <c r="C449" s="1" t="s">
        <v>50</v>
      </c>
      <c r="D449" s="1" t="s">
        <v>2726</v>
      </c>
      <c r="E449" s="1" t="s">
        <v>2727</v>
      </c>
      <c r="F449" s="22" t="s">
        <v>6085</v>
      </c>
      <c r="G449" s="1" t="s">
        <v>6</v>
      </c>
      <c r="H449" s="1" t="s">
        <v>24</v>
      </c>
      <c r="I449" s="1" t="s">
        <v>25</v>
      </c>
      <c r="J449" s="1" t="s">
        <v>9</v>
      </c>
      <c r="K449" s="1" t="s">
        <v>14</v>
      </c>
      <c r="L449" s="1" t="s">
        <v>14</v>
      </c>
      <c r="M449" s="1" t="s">
        <v>53</v>
      </c>
      <c r="N449" s="11" t="s">
        <v>188</v>
      </c>
      <c r="O449" s="1" t="s">
        <v>6235</v>
      </c>
      <c r="P449" s="1" t="s">
        <v>60</v>
      </c>
      <c r="Q449" s="1" t="s">
        <v>5639</v>
      </c>
      <c r="R449" s="1" t="s">
        <v>4047</v>
      </c>
      <c r="S449" s="8">
        <v>46055</v>
      </c>
      <c r="T449" s="1">
        <v>2</v>
      </c>
      <c r="U449" s="1" t="s">
        <v>4048</v>
      </c>
      <c r="V449" s="1" t="s">
        <v>4048</v>
      </c>
      <c r="W449" s="1" t="s">
        <v>1388</v>
      </c>
    </row>
    <row r="450" spans="1:23" x14ac:dyDescent="0.25">
      <c r="A450" s="1" t="s">
        <v>48</v>
      </c>
      <c r="B450" s="1" t="s">
        <v>2138</v>
      </c>
      <c r="C450" s="1" t="s">
        <v>50</v>
      </c>
      <c r="D450" s="1" t="s">
        <v>2728</v>
      </c>
      <c r="E450" s="1" t="s">
        <v>2729</v>
      </c>
      <c r="F450" s="22" t="s">
        <v>5259</v>
      </c>
      <c r="G450" s="1" t="s">
        <v>6</v>
      </c>
      <c r="H450" s="1" t="s">
        <v>20</v>
      </c>
      <c r="I450" s="1" t="s">
        <v>25</v>
      </c>
      <c r="J450" s="1" t="s">
        <v>8</v>
      </c>
      <c r="K450" s="1" t="s">
        <v>10</v>
      </c>
      <c r="L450" s="1" t="s">
        <v>10</v>
      </c>
      <c r="M450" s="1" t="s">
        <v>53</v>
      </c>
      <c r="N450" s="14" t="s">
        <v>1664</v>
      </c>
      <c r="O450" s="1" t="s">
        <v>6037</v>
      </c>
      <c r="P450" s="1" t="s">
        <v>4049</v>
      </c>
      <c r="Q450" s="1" t="s">
        <v>5640</v>
      </c>
      <c r="R450" s="1" t="s">
        <v>4050</v>
      </c>
      <c r="S450" s="9">
        <v>45991</v>
      </c>
      <c r="T450" s="1">
        <v>2</v>
      </c>
      <c r="U450" s="1" t="s">
        <v>4051</v>
      </c>
      <c r="V450" s="1" t="s">
        <v>4052</v>
      </c>
      <c r="W450" s="1" t="s">
        <v>1388</v>
      </c>
    </row>
    <row r="451" spans="1:23" x14ac:dyDescent="0.25">
      <c r="A451" s="1" t="s">
        <v>48</v>
      </c>
      <c r="B451" s="1" t="s">
        <v>2139</v>
      </c>
      <c r="C451" s="1" t="s">
        <v>50</v>
      </c>
      <c r="D451" s="1" t="s">
        <v>2730</v>
      </c>
      <c r="E451" s="1" t="s">
        <v>2731</v>
      </c>
      <c r="F451" s="22" t="s">
        <v>6085</v>
      </c>
      <c r="G451" s="1" t="s">
        <v>7</v>
      </c>
      <c r="H451" s="1" t="s">
        <v>20</v>
      </c>
      <c r="I451" s="1" t="s">
        <v>26</v>
      </c>
      <c r="J451" s="1" t="s">
        <v>9</v>
      </c>
      <c r="K451" s="1" t="s">
        <v>13</v>
      </c>
      <c r="L451" s="1" t="s">
        <v>16</v>
      </c>
      <c r="M451" s="1" t="s">
        <v>53</v>
      </c>
      <c r="N451" s="1" t="s">
        <v>1190</v>
      </c>
      <c r="O451" s="1" t="s">
        <v>6235</v>
      </c>
      <c r="P451" s="1" t="s">
        <v>60</v>
      </c>
      <c r="Q451" s="1" t="s">
        <v>5641</v>
      </c>
      <c r="R451" s="1" t="s">
        <v>4053</v>
      </c>
      <c r="S451" s="8">
        <v>45691</v>
      </c>
      <c r="T451" s="1">
        <v>2</v>
      </c>
      <c r="U451" s="1" t="s">
        <v>4054</v>
      </c>
      <c r="V451" s="1" t="s">
        <v>4055</v>
      </c>
      <c r="W451" s="1" t="s">
        <v>1388</v>
      </c>
    </row>
    <row r="452" spans="1:23" x14ac:dyDescent="0.25">
      <c r="A452" s="1" t="s">
        <v>48</v>
      </c>
      <c r="B452" s="1" t="s">
        <v>2140</v>
      </c>
      <c r="C452" s="1" t="s">
        <v>50</v>
      </c>
      <c r="D452" s="1" t="s">
        <v>346</v>
      </c>
      <c r="E452" s="1" t="s">
        <v>347</v>
      </c>
      <c r="F452" s="22" t="s">
        <v>5259</v>
      </c>
      <c r="G452" s="1" t="s">
        <v>6</v>
      </c>
      <c r="H452" s="1" t="s">
        <v>20</v>
      </c>
      <c r="I452" s="1" t="s">
        <v>25</v>
      </c>
      <c r="J452" s="1" t="s">
        <v>9</v>
      </c>
      <c r="K452" s="1" t="s">
        <v>14</v>
      </c>
      <c r="L452" s="1" t="s">
        <v>14</v>
      </c>
      <c r="M452" s="1" t="s">
        <v>53</v>
      </c>
      <c r="N452" s="14" t="s">
        <v>5231</v>
      </c>
      <c r="O452" s="1" t="s">
        <v>6037</v>
      </c>
      <c r="P452" s="1" t="s">
        <v>181</v>
      </c>
      <c r="Q452" s="1" t="s">
        <v>5311</v>
      </c>
      <c r="R452" s="7" t="s">
        <v>4056</v>
      </c>
      <c r="S452" s="8">
        <v>45668</v>
      </c>
      <c r="T452" s="1">
        <v>3</v>
      </c>
      <c r="U452" s="1" t="s">
        <v>1443</v>
      </c>
      <c r="V452" s="1" t="s">
        <v>1775</v>
      </c>
      <c r="W452" s="1" t="s">
        <v>1775</v>
      </c>
    </row>
    <row r="453" spans="1:23" x14ac:dyDescent="0.25">
      <c r="A453" s="1" t="s">
        <v>48</v>
      </c>
      <c r="B453" s="1" t="s">
        <v>2141</v>
      </c>
      <c r="C453" s="1" t="s">
        <v>50</v>
      </c>
      <c r="D453" s="1" t="s">
        <v>2732</v>
      </c>
      <c r="E453" s="1" t="s">
        <v>2733</v>
      </c>
      <c r="F453" s="22" t="s">
        <v>6085</v>
      </c>
      <c r="G453" s="1" t="s">
        <v>5</v>
      </c>
      <c r="H453" s="1" t="s">
        <v>20</v>
      </c>
      <c r="I453" s="1" t="s">
        <v>26</v>
      </c>
      <c r="J453" s="1" t="s">
        <v>9</v>
      </c>
      <c r="K453" s="1" t="s">
        <v>10</v>
      </c>
      <c r="L453" s="1" t="s">
        <v>16</v>
      </c>
      <c r="M453" s="1" t="s">
        <v>53</v>
      </c>
      <c r="N453" s="11" t="s">
        <v>2091</v>
      </c>
      <c r="O453" s="1" t="s">
        <v>6037</v>
      </c>
      <c r="P453" s="1" t="s">
        <v>306</v>
      </c>
      <c r="Q453" s="18" t="s">
        <v>5642</v>
      </c>
      <c r="R453" s="1" t="s">
        <v>4057</v>
      </c>
      <c r="S453" s="8">
        <v>45689</v>
      </c>
      <c r="T453" s="1">
        <v>2</v>
      </c>
      <c r="U453" s="1" t="s">
        <v>4058</v>
      </c>
      <c r="V453" s="1" t="s">
        <v>4059</v>
      </c>
      <c r="W453" s="1" t="s">
        <v>1388</v>
      </c>
    </row>
    <row r="454" spans="1:23" x14ac:dyDescent="0.25">
      <c r="A454" s="1" t="s">
        <v>48</v>
      </c>
      <c r="B454" s="1" t="s">
        <v>2142</v>
      </c>
      <c r="C454" s="1" t="s">
        <v>50</v>
      </c>
      <c r="D454" s="1" t="s">
        <v>2734</v>
      </c>
      <c r="E454" s="1" t="s">
        <v>2735</v>
      </c>
      <c r="F454" s="22" t="s">
        <v>6085</v>
      </c>
      <c r="G454" s="1" t="s">
        <v>6</v>
      </c>
      <c r="H454" s="1" t="s">
        <v>20</v>
      </c>
      <c r="I454" s="1" t="s">
        <v>25</v>
      </c>
      <c r="J454" s="1" t="s">
        <v>9</v>
      </c>
      <c r="K454" s="1" t="s">
        <v>14</v>
      </c>
      <c r="L454" s="1" t="s">
        <v>14</v>
      </c>
      <c r="M454" s="1" t="s">
        <v>53</v>
      </c>
      <c r="N454" s="11" t="s">
        <v>2091</v>
      </c>
      <c r="O454" s="1" t="s">
        <v>6037</v>
      </c>
      <c r="P454" s="1" t="s">
        <v>656</v>
      </c>
      <c r="Q454" s="1" t="s">
        <v>5643</v>
      </c>
      <c r="R454" s="1" t="s">
        <v>4060</v>
      </c>
      <c r="S454" s="8">
        <v>46063</v>
      </c>
      <c r="T454" s="1">
        <v>1</v>
      </c>
      <c r="U454" s="1" t="s">
        <v>4061</v>
      </c>
      <c r="V454" s="1" t="s">
        <v>1388</v>
      </c>
      <c r="W454" s="1" t="s">
        <v>1388</v>
      </c>
    </row>
    <row r="455" spans="1:23" x14ac:dyDescent="0.25">
      <c r="A455" s="1" t="s">
        <v>48</v>
      </c>
      <c r="B455" s="1" t="s">
        <v>2143</v>
      </c>
      <c r="C455" s="1" t="s">
        <v>50</v>
      </c>
      <c r="D455" s="1" t="s">
        <v>2736</v>
      </c>
      <c r="E455" s="1" t="s">
        <v>2737</v>
      </c>
      <c r="F455" s="22" t="s">
        <v>6085</v>
      </c>
      <c r="G455" s="1" t="s">
        <v>6</v>
      </c>
      <c r="H455" s="1" t="s">
        <v>24</v>
      </c>
      <c r="I455" s="1" t="s">
        <v>25</v>
      </c>
      <c r="J455" s="1" t="s">
        <v>9</v>
      </c>
      <c r="K455" s="1" t="s">
        <v>16</v>
      </c>
      <c r="L455" s="1" t="s">
        <v>16</v>
      </c>
      <c r="M455" s="1" t="s">
        <v>53</v>
      </c>
      <c r="N455" s="11" t="s">
        <v>188</v>
      </c>
      <c r="O455" s="1" t="s">
        <v>6037</v>
      </c>
      <c r="P455" s="1" t="s">
        <v>1456</v>
      </c>
      <c r="Q455" s="1" t="s">
        <v>5644</v>
      </c>
      <c r="R455" s="1" t="s">
        <v>4062</v>
      </c>
      <c r="S455" s="8">
        <v>46023</v>
      </c>
      <c r="T455" s="1">
        <v>2</v>
      </c>
      <c r="U455" s="1" t="s">
        <v>471</v>
      </c>
      <c r="V455" s="1" t="s">
        <v>4063</v>
      </c>
      <c r="W455" s="1" t="s">
        <v>1388</v>
      </c>
    </row>
    <row r="456" spans="1:23" x14ac:dyDescent="0.25">
      <c r="A456" s="1" t="s">
        <v>48</v>
      </c>
      <c r="B456" s="1" t="s">
        <v>2144</v>
      </c>
      <c r="C456" s="1" t="s">
        <v>50</v>
      </c>
      <c r="D456" s="1" t="s">
        <v>2738</v>
      </c>
      <c r="E456" s="1" t="s">
        <v>2739</v>
      </c>
      <c r="F456" s="22" t="s">
        <v>6085</v>
      </c>
      <c r="G456" s="1" t="s">
        <v>6</v>
      </c>
      <c r="H456" s="1" t="s">
        <v>20</v>
      </c>
      <c r="I456" s="1" t="s">
        <v>25</v>
      </c>
      <c r="J456" s="1" t="s">
        <v>9</v>
      </c>
      <c r="K456" s="1" t="s">
        <v>13</v>
      </c>
      <c r="L456" s="1" t="s">
        <v>16</v>
      </c>
      <c r="M456" s="1" t="s">
        <v>53</v>
      </c>
      <c r="N456" s="11" t="s">
        <v>188</v>
      </c>
      <c r="O456" s="1" t="s">
        <v>6037</v>
      </c>
      <c r="P456" s="1" t="s">
        <v>1389</v>
      </c>
      <c r="Q456" s="1" t="s">
        <v>5645</v>
      </c>
      <c r="R456" s="1" t="s">
        <v>4064</v>
      </c>
      <c r="S456" s="8">
        <v>46023</v>
      </c>
      <c r="T456" s="1">
        <v>1</v>
      </c>
      <c r="U456" s="1" t="s">
        <v>1407</v>
      </c>
      <c r="V456" s="1" t="s">
        <v>1388</v>
      </c>
      <c r="W456" s="1" t="s">
        <v>1388</v>
      </c>
    </row>
    <row r="457" spans="1:23" x14ac:dyDescent="0.25">
      <c r="A457" s="1" t="s">
        <v>48</v>
      </c>
      <c r="B457" s="1" t="s">
        <v>2145</v>
      </c>
      <c r="C457" s="1" t="s">
        <v>50</v>
      </c>
      <c r="D457" s="1" t="s">
        <v>2740</v>
      </c>
      <c r="E457" s="1" t="s">
        <v>2741</v>
      </c>
      <c r="F457" s="22" t="s">
        <v>6085</v>
      </c>
      <c r="G457" s="1" t="s">
        <v>5</v>
      </c>
      <c r="H457" s="1" t="s">
        <v>20</v>
      </c>
      <c r="I457" s="1" t="s">
        <v>25</v>
      </c>
      <c r="J457" s="1" t="s">
        <v>9</v>
      </c>
      <c r="K457" s="1" t="s">
        <v>16</v>
      </c>
      <c r="L457" s="1" t="s">
        <v>16</v>
      </c>
      <c r="M457" s="1" t="s">
        <v>53</v>
      </c>
      <c r="N457" s="11" t="s">
        <v>188</v>
      </c>
      <c r="O457" s="1" t="s">
        <v>6037</v>
      </c>
      <c r="P457" s="1" t="s">
        <v>4065</v>
      </c>
      <c r="Q457" s="1" t="s">
        <v>5646</v>
      </c>
      <c r="R457" s="1" t="s">
        <v>4066</v>
      </c>
      <c r="S457" s="8">
        <v>46062</v>
      </c>
      <c r="T457" s="1">
        <v>3</v>
      </c>
      <c r="U457" s="1" t="s">
        <v>4067</v>
      </c>
      <c r="V457" s="1" t="s">
        <v>4068</v>
      </c>
      <c r="W457" s="1" t="s">
        <v>4069</v>
      </c>
    </row>
    <row r="458" spans="1:23" x14ac:dyDescent="0.25">
      <c r="A458" s="1" t="s">
        <v>48</v>
      </c>
      <c r="B458" s="1" t="s">
        <v>2146</v>
      </c>
      <c r="C458" s="1" t="s">
        <v>50</v>
      </c>
      <c r="D458" s="1" t="s">
        <v>2742</v>
      </c>
      <c r="E458" s="1" t="s">
        <v>2743</v>
      </c>
      <c r="F458" s="22" t="s">
        <v>6085</v>
      </c>
      <c r="G458" s="1" t="s">
        <v>6</v>
      </c>
      <c r="H458" s="1" t="s">
        <v>20</v>
      </c>
      <c r="I458" s="1" t="s">
        <v>25</v>
      </c>
      <c r="J458" s="1" t="s">
        <v>9</v>
      </c>
      <c r="K458" s="1" t="s">
        <v>13</v>
      </c>
      <c r="L458" s="1" t="s">
        <v>13</v>
      </c>
      <c r="M458" s="1" t="s">
        <v>53</v>
      </c>
      <c r="N458" s="11" t="s">
        <v>188</v>
      </c>
      <c r="O458" s="1" t="s">
        <v>6037</v>
      </c>
      <c r="P458" s="1" t="s">
        <v>126</v>
      </c>
      <c r="Q458" s="1" t="s">
        <v>5647</v>
      </c>
      <c r="R458" s="1" t="s">
        <v>4070</v>
      </c>
      <c r="S458" s="8">
        <v>45691</v>
      </c>
      <c r="T458" s="1">
        <v>2</v>
      </c>
      <c r="U458" s="1" t="s">
        <v>411</v>
      </c>
      <c r="V458" s="1" t="s">
        <v>411</v>
      </c>
      <c r="W458" s="1" t="s">
        <v>1388</v>
      </c>
    </row>
    <row r="459" spans="1:23" x14ac:dyDescent="0.25">
      <c r="A459" s="1" t="s">
        <v>48</v>
      </c>
      <c r="B459" s="1" t="s">
        <v>2147</v>
      </c>
      <c r="C459" s="1" t="s">
        <v>50</v>
      </c>
      <c r="D459" s="1" t="s">
        <v>2744</v>
      </c>
      <c r="E459" s="1" t="s">
        <v>2745</v>
      </c>
      <c r="F459" s="22" t="s">
        <v>6085</v>
      </c>
      <c r="G459" s="1" t="s">
        <v>5</v>
      </c>
      <c r="H459" s="1" t="s">
        <v>20</v>
      </c>
      <c r="I459" s="1" t="s">
        <v>25</v>
      </c>
      <c r="J459" s="1" t="s">
        <v>8</v>
      </c>
      <c r="K459" s="1" t="s">
        <v>18</v>
      </c>
      <c r="L459" s="1" t="s">
        <v>18</v>
      </c>
      <c r="M459" s="1" t="s">
        <v>53</v>
      </c>
      <c r="N459" s="11" t="s">
        <v>188</v>
      </c>
      <c r="O459" s="1" t="s">
        <v>6037</v>
      </c>
      <c r="P459" s="1" t="s">
        <v>4071</v>
      </c>
      <c r="Q459" s="1" t="s">
        <v>5648</v>
      </c>
      <c r="R459" s="18" t="s">
        <v>4072</v>
      </c>
      <c r="S459" s="8">
        <v>46055</v>
      </c>
      <c r="T459" s="1">
        <v>3</v>
      </c>
      <c r="U459" s="1" t="s">
        <v>4073</v>
      </c>
      <c r="V459" s="1" t="s">
        <v>4073</v>
      </c>
      <c r="W459" s="1" t="s">
        <v>4073</v>
      </c>
    </row>
    <row r="460" spans="1:23" x14ac:dyDescent="0.25">
      <c r="A460" s="1" t="s">
        <v>48</v>
      </c>
      <c r="B460" s="1" t="s">
        <v>2148</v>
      </c>
      <c r="C460" s="1" t="s">
        <v>50</v>
      </c>
      <c r="D460" s="1" t="s">
        <v>2746</v>
      </c>
      <c r="E460" s="1" t="s">
        <v>2747</v>
      </c>
      <c r="F460" s="22" t="s">
        <v>6085</v>
      </c>
      <c r="G460" s="1" t="s">
        <v>6</v>
      </c>
      <c r="H460" s="1" t="s">
        <v>20</v>
      </c>
      <c r="I460" s="1" t="s">
        <v>25</v>
      </c>
      <c r="J460" s="1" t="s">
        <v>9</v>
      </c>
      <c r="K460" s="1" t="s">
        <v>13</v>
      </c>
      <c r="L460" s="1" t="s">
        <v>13</v>
      </c>
      <c r="M460" s="1" t="s">
        <v>53</v>
      </c>
      <c r="N460" s="11" t="s">
        <v>188</v>
      </c>
      <c r="O460" s="1" t="s">
        <v>6037</v>
      </c>
      <c r="P460" s="1" t="s">
        <v>126</v>
      </c>
      <c r="Q460" s="1" t="s">
        <v>5649</v>
      </c>
      <c r="R460" s="1" t="s">
        <v>4074</v>
      </c>
      <c r="S460" s="8">
        <v>45714</v>
      </c>
      <c r="T460" s="1">
        <v>1</v>
      </c>
      <c r="U460" s="1" t="s">
        <v>810</v>
      </c>
      <c r="V460" s="1" t="s">
        <v>1388</v>
      </c>
      <c r="W460" s="1" t="s">
        <v>1388</v>
      </c>
    </row>
    <row r="461" spans="1:23" x14ac:dyDescent="0.25">
      <c r="A461" s="1" t="s">
        <v>48</v>
      </c>
      <c r="B461" s="1" t="s">
        <v>2149</v>
      </c>
      <c r="C461" s="1" t="s">
        <v>50</v>
      </c>
      <c r="D461" s="1" t="s">
        <v>2748</v>
      </c>
      <c r="E461" s="1" t="s">
        <v>2749</v>
      </c>
      <c r="F461" s="22" t="s">
        <v>6085</v>
      </c>
      <c r="G461" s="1" t="s">
        <v>6</v>
      </c>
      <c r="H461" s="1" t="s">
        <v>20</v>
      </c>
      <c r="I461" s="1" t="s">
        <v>25</v>
      </c>
      <c r="J461" s="1" t="s">
        <v>9</v>
      </c>
      <c r="K461" s="1" t="s">
        <v>14</v>
      </c>
      <c r="L461" s="1" t="s">
        <v>17</v>
      </c>
      <c r="M461" s="1" t="s">
        <v>53</v>
      </c>
      <c r="N461" s="11" t="s">
        <v>188</v>
      </c>
      <c r="O461" s="1" t="s">
        <v>6037</v>
      </c>
      <c r="P461" s="1" t="s">
        <v>1456</v>
      </c>
      <c r="Q461" s="18" t="s">
        <v>5650</v>
      </c>
      <c r="R461" s="7" t="s">
        <v>4075</v>
      </c>
      <c r="S461" s="8">
        <v>46023</v>
      </c>
      <c r="T461" s="1">
        <v>2</v>
      </c>
      <c r="U461" s="1" t="s">
        <v>1498</v>
      </c>
      <c r="V461" s="1" t="s">
        <v>1498</v>
      </c>
      <c r="W461" s="1" t="s">
        <v>1388</v>
      </c>
    </row>
    <row r="462" spans="1:23" x14ac:dyDescent="0.25">
      <c r="A462" s="1" t="s">
        <v>48</v>
      </c>
      <c r="B462" s="1" t="s">
        <v>2150</v>
      </c>
      <c r="C462" s="1" t="s">
        <v>50</v>
      </c>
      <c r="D462" s="1" t="s">
        <v>2750</v>
      </c>
      <c r="E462" s="1" t="s">
        <v>2751</v>
      </c>
      <c r="F462" s="22" t="s">
        <v>3</v>
      </c>
      <c r="G462" s="1" t="s">
        <v>6</v>
      </c>
      <c r="H462" s="1" t="s">
        <v>20</v>
      </c>
      <c r="I462" s="1" t="s">
        <v>26</v>
      </c>
      <c r="J462" s="1" t="s">
        <v>9</v>
      </c>
      <c r="K462" s="1" t="s">
        <v>13</v>
      </c>
      <c r="L462" s="1" t="s">
        <v>13</v>
      </c>
      <c r="M462" s="1" t="s">
        <v>53</v>
      </c>
      <c r="N462" s="11" t="s">
        <v>188</v>
      </c>
      <c r="O462" s="1" t="s">
        <v>6037</v>
      </c>
      <c r="P462" s="1" t="s">
        <v>4076</v>
      </c>
      <c r="Q462" s="1" t="s">
        <v>5651</v>
      </c>
      <c r="R462" s="7" t="s">
        <v>4077</v>
      </c>
      <c r="S462" s="8">
        <v>45707</v>
      </c>
      <c r="T462" s="1">
        <v>2</v>
      </c>
      <c r="U462" s="1" t="s">
        <v>236</v>
      </c>
      <c r="V462" s="1" t="s">
        <v>730</v>
      </c>
      <c r="W462" s="1" t="s">
        <v>1388</v>
      </c>
    </row>
    <row r="463" spans="1:23" x14ac:dyDescent="0.25">
      <c r="A463" s="1" t="s">
        <v>48</v>
      </c>
      <c r="B463" s="1" t="s">
        <v>2151</v>
      </c>
      <c r="C463" s="1" t="s">
        <v>50</v>
      </c>
      <c r="D463" s="1" t="s">
        <v>2752</v>
      </c>
      <c r="E463" s="1" t="s">
        <v>2753</v>
      </c>
      <c r="F463" s="22" t="s">
        <v>6085</v>
      </c>
      <c r="G463" s="1" t="s">
        <v>6</v>
      </c>
      <c r="H463" s="1" t="s">
        <v>24</v>
      </c>
      <c r="I463" s="1" t="s">
        <v>25</v>
      </c>
      <c r="J463" s="1" t="s">
        <v>9</v>
      </c>
      <c r="K463" s="1" t="s">
        <v>16</v>
      </c>
      <c r="L463" s="1" t="s">
        <v>16</v>
      </c>
      <c r="M463" s="1" t="s">
        <v>53</v>
      </c>
      <c r="N463" s="11" t="s">
        <v>188</v>
      </c>
      <c r="O463" s="1" t="s">
        <v>6037</v>
      </c>
      <c r="P463" s="1" t="s">
        <v>126</v>
      </c>
      <c r="Q463" s="1" t="s">
        <v>5652</v>
      </c>
      <c r="R463" s="1" t="s">
        <v>4078</v>
      </c>
      <c r="S463" s="8">
        <v>45670</v>
      </c>
      <c r="T463" s="1">
        <v>2</v>
      </c>
      <c r="U463" s="1" t="s">
        <v>4079</v>
      </c>
      <c r="V463" s="1" t="s">
        <v>4080</v>
      </c>
      <c r="W463" s="1" t="s">
        <v>1388</v>
      </c>
    </row>
    <row r="464" spans="1:23" x14ac:dyDescent="0.25">
      <c r="A464" s="1" t="s">
        <v>48</v>
      </c>
      <c r="B464" s="1" t="s">
        <v>2152</v>
      </c>
      <c r="C464" s="1" t="s">
        <v>50</v>
      </c>
      <c r="D464" s="1" t="s">
        <v>2754</v>
      </c>
      <c r="E464" s="1" t="s">
        <v>2755</v>
      </c>
      <c r="F464" s="22" t="s">
        <v>6085</v>
      </c>
      <c r="G464" s="1" t="s">
        <v>6</v>
      </c>
      <c r="H464" s="1" t="s">
        <v>20</v>
      </c>
      <c r="I464" s="1" t="s">
        <v>25</v>
      </c>
      <c r="J464" s="1" t="s">
        <v>9</v>
      </c>
      <c r="K464" s="1" t="s">
        <v>13</v>
      </c>
      <c r="L464" s="1" t="s">
        <v>13</v>
      </c>
      <c r="M464" s="1" t="s">
        <v>53</v>
      </c>
      <c r="N464" s="11" t="s">
        <v>188</v>
      </c>
      <c r="O464" s="1" t="s">
        <v>6037</v>
      </c>
      <c r="P464" s="1" t="s">
        <v>4081</v>
      </c>
      <c r="Q464" s="1" t="s">
        <v>5653</v>
      </c>
      <c r="R464" s="1" t="s">
        <v>4082</v>
      </c>
      <c r="S464" s="8">
        <v>46034</v>
      </c>
      <c r="T464" s="1">
        <v>2</v>
      </c>
      <c r="U464" s="1" t="s">
        <v>4083</v>
      </c>
      <c r="V464" s="1" t="s">
        <v>4084</v>
      </c>
      <c r="W464" s="1" t="s">
        <v>1388</v>
      </c>
    </row>
    <row r="465" spans="1:23" x14ac:dyDescent="0.25">
      <c r="A465" s="1" t="s">
        <v>48</v>
      </c>
      <c r="B465" s="1" t="s">
        <v>2153</v>
      </c>
      <c r="C465" s="1" t="s">
        <v>50</v>
      </c>
      <c r="D465" s="1" t="s">
        <v>2756</v>
      </c>
      <c r="E465" s="1" t="s">
        <v>2757</v>
      </c>
      <c r="F465" s="22" t="s">
        <v>6085</v>
      </c>
      <c r="G465" s="1" t="s">
        <v>5</v>
      </c>
      <c r="H465" s="1" t="s">
        <v>20</v>
      </c>
      <c r="I465" s="1" t="s">
        <v>25</v>
      </c>
      <c r="J465" s="1" t="s">
        <v>9</v>
      </c>
      <c r="K465" s="1" t="s">
        <v>13</v>
      </c>
      <c r="L465" s="1" t="s">
        <v>17</v>
      </c>
      <c r="M465" s="1" t="s">
        <v>53</v>
      </c>
      <c r="N465" s="11" t="s">
        <v>188</v>
      </c>
      <c r="O465" s="1" t="s">
        <v>6037</v>
      </c>
      <c r="P465" s="1" t="s">
        <v>284</v>
      </c>
      <c r="Q465" s="1" t="s">
        <v>5654</v>
      </c>
      <c r="R465" s="1" t="s">
        <v>4085</v>
      </c>
      <c r="S465" s="8">
        <v>45103</v>
      </c>
      <c r="T465" s="1">
        <v>1</v>
      </c>
      <c r="U465" s="1" t="s">
        <v>4086</v>
      </c>
      <c r="V465" s="1" t="s">
        <v>1388</v>
      </c>
      <c r="W465" s="1" t="s">
        <v>1388</v>
      </c>
    </row>
    <row r="466" spans="1:23" x14ac:dyDescent="0.25">
      <c r="A466" s="1" t="s">
        <v>48</v>
      </c>
      <c r="B466" s="1" t="s">
        <v>2154</v>
      </c>
      <c r="C466" s="1" t="s">
        <v>50</v>
      </c>
      <c r="D466" s="1" t="s">
        <v>2758</v>
      </c>
      <c r="E466" s="1" t="s">
        <v>2759</v>
      </c>
      <c r="F466" s="22" t="s">
        <v>6085</v>
      </c>
      <c r="G466" s="1" t="s">
        <v>5</v>
      </c>
      <c r="H466" s="1" t="s">
        <v>24</v>
      </c>
      <c r="I466" s="1" t="s">
        <v>26</v>
      </c>
      <c r="J466" s="1" t="s">
        <v>9</v>
      </c>
      <c r="K466" s="1" t="s">
        <v>18</v>
      </c>
      <c r="L466" s="1" t="s">
        <v>18</v>
      </c>
      <c r="M466" s="1" t="s">
        <v>53</v>
      </c>
      <c r="N466" s="11" t="s">
        <v>188</v>
      </c>
      <c r="O466" s="1" t="s">
        <v>6037</v>
      </c>
      <c r="P466" s="1" t="s">
        <v>60</v>
      </c>
      <c r="Q466" s="1" t="s">
        <v>5655</v>
      </c>
      <c r="R466" s="20" t="s">
        <v>4087</v>
      </c>
      <c r="S466" s="8">
        <v>46027</v>
      </c>
      <c r="T466" s="1">
        <v>3</v>
      </c>
      <c r="U466" s="1" t="s">
        <v>4088</v>
      </c>
      <c r="V466" s="1" t="s">
        <v>4088</v>
      </c>
      <c r="W466" s="1" t="s">
        <v>4088</v>
      </c>
    </row>
    <row r="467" spans="1:23" x14ac:dyDescent="0.25">
      <c r="A467" s="1" t="s">
        <v>48</v>
      </c>
      <c r="B467" s="1" t="s">
        <v>2155</v>
      </c>
      <c r="C467" s="1" t="s">
        <v>50</v>
      </c>
      <c r="D467" s="1" t="s">
        <v>2760</v>
      </c>
      <c r="E467" s="1" t="s">
        <v>2761</v>
      </c>
      <c r="F467" s="22" t="s">
        <v>6085</v>
      </c>
      <c r="G467" s="1" t="s">
        <v>7</v>
      </c>
      <c r="H467" s="1" t="s">
        <v>24</v>
      </c>
      <c r="I467" s="1" t="s">
        <v>26</v>
      </c>
      <c r="J467" s="1" t="s">
        <v>9</v>
      </c>
      <c r="K467" s="1" t="s">
        <v>10</v>
      </c>
      <c r="L467" s="1" t="s">
        <v>16</v>
      </c>
      <c r="M467" s="1" t="s">
        <v>53</v>
      </c>
      <c r="N467" s="11" t="s">
        <v>188</v>
      </c>
      <c r="O467" s="1" t="s">
        <v>6037</v>
      </c>
      <c r="P467" s="1" t="s">
        <v>60</v>
      </c>
      <c r="Q467" s="20" t="s">
        <v>5656</v>
      </c>
      <c r="R467" s="1" t="s">
        <v>4089</v>
      </c>
      <c r="S467" s="8">
        <v>46034</v>
      </c>
      <c r="T467" s="1">
        <v>2</v>
      </c>
      <c r="U467" s="1" t="s">
        <v>4090</v>
      </c>
      <c r="V467" s="1" t="s">
        <v>4091</v>
      </c>
      <c r="W467" s="1" t="s">
        <v>1388</v>
      </c>
    </row>
    <row r="468" spans="1:23" x14ac:dyDescent="0.25">
      <c r="A468" s="1" t="s">
        <v>48</v>
      </c>
      <c r="B468" s="1" t="s">
        <v>2156</v>
      </c>
      <c r="C468" s="1" t="s">
        <v>50</v>
      </c>
      <c r="D468" s="1" t="s">
        <v>2762</v>
      </c>
      <c r="E468" s="1" t="s">
        <v>2763</v>
      </c>
      <c r="F468" s="22" t="s">
        <v>6085</v>
      </c>
      <c r="G468" s="1" t="s">
        <v>5</v>
      </c>
      <c r="H468" s="1" t="s">
        <v>21</v>
      </c>
      <c r="I468" s="1" t="s">
        <v>25</v>
      </c>
      <c r="J468" s="1" t="s">
        <v>9</v>
      </c>
      <c r="K468" s="1" t="s">
        <v>14</v>
      </c>
      <c r="L468" s="1" t="s">
        <v>14</v>
      </c>
      <c r="M468" s="1" t="s">
        <v>53</v>
      </c>
      <c r="N468" s="11" t="s">
        <v>2091</v>
      </c>
      <c r="O468" s="1" t="s">
        <v>6037</v>
      </c>
      <c r="P468" s="1" t="s">
        <v>213</v>
      </c>
      <c r="Q468" s="1" t="s">
        <v>5657</v>
      </c>
      <c r="R468" s="1" t="s">
        <v>4092</v>
      </c>
      <c r="S468" s="8">
        <v>46062</v>
      </c>
      <c r="T468" s="1">
        <v>3</v>
      </c>
      <c r="U468" s="1" t="s">
        <v>4093</v>
      </c>
      <c r="V468" s="1" t="s">
        <v>1587</v>
      </c>
      <c r="W468" s="1" t="s">
        <v>1587</v>
      </c>
    </row>
    <row r="469" spans="1:23" x14ac:dyDescent="0.25">
      <c r="A469" s="1" t="s">
        <v>48</v>
      </c>
      <c r="B469" s="1" t="s">
        <v>2157</v>
      </c>
      <c r="C469" s="1" t="s">
        <v>50</v>
      </c>
      <c r="D469" s="1" t="s">
        <v>2764</v>
      </c>
      <c r="E469" s="1" t="s">
        <v>2765</v>
      </c>
      <c r="F469" s="22" t="s">
        <v>6085</v>
      </c>
      <c r="G469" s="1" t="s">
        <v>5</v>
      </c>
      <c r="H469" s="1" t="s">
        <v>20</v>
      </c>
      <c r="I469" s="1" t="s">
        <v>25</v>
      </c>
      <c r="J469" s="1" t="s">
        <v>9</v>
      </c>
      <c r="K469" s="1" t="s">
        <v>13</v>
      </c>
      <c r="L469" s="1" t="s">
        <v>13</v>
      </c>
      <c r="M469" s="1" t="s">
        <v>53</v>
      </c>
      <c r="N469" s="11" t="s">
        <v>188</v>
      </c>
      <c r="O469" s="1" t="s">
        <v>6037</v>
      </c>
      <c r="P469" s="1" t="s">
        <v>247</v>
      </c>
      <c r="Q469" s="1" t="s">
        <v>5658</v>
      </c>
      <c r="R469" s="1" t="s">
        <v>4094</v>
      </c>
      <c r="S469" s="8">
        <v>45328</v>
      </c>
      <c r="T469" s="1">
        <v>2</v>
      </c>
      <c r="U469" s="1" t="s">
        <v>4095</v>
      </c>
      <c r="V469" s="1" t="s">
        <v>4096</v>
      </c>
      <c r="W469" s="1" t="s">
        <v>1388</v>
      </c>
    </row>
    <row r="470" spans="1:23" x14ac:dyDescent="0.25">
      <c r="A470" s="1" t="s">
        <v>48</v>
      </c>
      <c r="B470" s="1" t="s">
        <v>2158</v>
      </c>
      <c r="C470" s="1" t="s">
        <v>50</v>
      </c>
      <c r="D470" s="1" t="s">
        <v>2766</v>
      </c>
      <c r="E470" s="1" t="s">
        <v>2767</v>
      </c>
      <c r="F470" s="22" t="s">
        <v>6085</v>
      </c>
      <c r="G470" s="1" t="s">
        <v>5</v>
      </c>
      <c r="H470" s="1" t="s">
        <v>24</v>
      </c>
      <c r="I470" s="1" t="s">
        <v>26</v>
      </c>
      <c r="J470" s="1" t="s">
        <v>9</v>
      </c>
      <c r="K470" s="1" t="s">
        <v>14</v>
      </c>
      <c r="L470" s="1" t="s">
        <v>14</v>
      </c>
      <c r="M470" s="1" t="s">
        <v>53</v>
      </c>
      <c r="N470" s="11" t="s">
        <v>188</v>
      </c>
      <c r="O470" s="1" t="s">
        <v>6037</v>
      </c>
      <c r="P470" s="1" t="s">
        <v>162</v>
      </c>
      <c r="Q470" s="1" t="s">
        <v>5659</v>
      </c>
      <c r="R470" s="1" t="s">
        <v>4097</v>
      </c>
      <c r="S470" s="8">
        <v>46023</v>
      </c>
      <c r="T470" s="1">
        <v>3</v>
      </c>
      <c r="U470" s="1" t="s">
        <v>4098</v>
      </c>
      <c r="V470" s="1" t="s">
        <v>4099</v>
      </c>
      <c r="W470" s="1" t="s">
        <v>4100</v>
      </c>
    </row>
    <row r="471" spans="1:23" x14ac:dyDescent="0.25">
      <c r="A471" s="1" t="s">
        <v>48</v>
      </c>
      <c r="B471" s="1" t="s">
        <v>2159</v>
      </c>
      <c r="C471" s="1" t="s">
        <v>50</v>
      </c>
      <c r="D471" s="1" t="s">
        <v>2768</v>
      </c>
      <c r="E471" s="1" t="s">
        <v>2769</v>
      </c>
      <c r="F471" s="22" t="s">
        <v>3</v>
      </c>
      <c r="G471" s="1" t="s">
        <v>5</v>
      </c>
      <c r="H471" s="1" t="s">
        <v>24</v>
      </c>
      <c r="I471" s="1" t="s">
        <v>25</v>
      </c>
      <c r="J471" s="1" t="s">
        <v>9</v>
      </c>
      <c r="K471" s="1" t="s">
        <v>13</v>
      </c>
      <c r="L471" s="1" t="s">
        <v>13</v>
      </c>
      <c r="M471" s="1" t="s">
        <v>53</v>
      </c>
      <c r="N471" s="11" t="s">
        <v>188</v>
      </c>
      <c r="O471" s="1" t="s">
        <v>6037</v>
      </c>
      <c r="P471" s="1" t="s">
        <v>60</v>
      </c>
      <c r="Q471" s="1" t="s">
        <v>5660</v>
      </c>
      <c r="R471" s="7" t="s">
        <v>4101</v>
      </c>
      <c r="S471" s="8">
        <v>46027</v>
      </c>
      <c r="T471" s="1">
        <v>3</v>
      </c>
      <c r="U471" s="1" t="s">
        <v>4102</v>
      </c>
      <c r="V471" s="1" t="s">
        <v>4103</v>
      </c>
      <c r="W471" s="1" t="s">
        <v>4104</v>
      </c>
    </row>
    <row r="472" spans="1:23" x14ac:dyDescent="0.25">
      <c r="A472" s="1" t="s">
        <v>48</v>
      </c>
      <c r="B472" s="1" t="s">
        <v>2160</v>
      </c>
      <c r="C472" s="1" t="s">
        <v>50</v>
      </c>
      <c r="D472" s="1" t="s">
        <v>2770</v>
      </c>
      <c r="E472" s="1" t="s">
        <v>2771</v>
      </c>
      <c r="F472" s="22" t="s">
        <v>6085</v>
      </c>
      <c r="G472" s="1" t="s">
        <v>6</v>
      </c>
      <c r="H472" s="1" t="s">
        <v>20</v>
      </c>
      <c r="I472" s="1" t="s">
        <v>25</v>
      </c>
      <c r="J472" s="1" t="s">
        <v>9</v>
      </c>
      <c r="K472" s="1" t="s">
        <v>16</v>
      </c>
      <c r="L472" s="1" t="s">
        <v>16</v>
      </c>
      <c r="M472" s="1" t="s">
        <v>53</v>
      </c>
      <c r="N472" s="11" t="s">
        <v>188</v>
      </c>
      <c r="O472" s="1" t="s">
        <v>6037</v>
      </c>
      <c r="P472" s="1" t="s">
        <v>639</v>
      </c>
      <c r="Q472" s="1" t="s">
        <v>5661</v>
      </c>
      <c r="R472" s="1" t="s">
        <v>4105</v>
      </c>
      <c r="S472" s="8">
        <v>45670</v>
      </c>
      <c r="T472" s="1">
        <v>1</v>
      </c>
      <c r="U472" s="1" t="s">
        <v>4106</v>
      </c>
      <c r="V472" s="1" t="s">
        <v>1388</v>
      </c>
      <c r="W472" s="1" t="s">
        <v>1388</v>
      </c>
    </row>
    <row r="473" spans="1:23" x14ac:dyDescent="0.25">
      <c r="A473" s="1" t="s">
        <v>48</v>
      </c>
      <c r="B473" s="1" t="s">
        <v>2161</v>
      </c>
      <c r="C473" s="1" t="s">
        <v>50</v>
      </c>
      <c r="D473" s="1" t="s">
        <v>2772</v>
      </c>
      <c r="E473" s="1" t="s">
        <v>2773</v>
      </c>
      <c r="F473" s="22" t="s">
        <v>5259</v>
      </c>
      <c r="G473" s="1" t="s">
        <v>6</v>
      </c>
      <c r="H473" s="1" t="s">
        <v>24</v>
      </c>
      <c r="I473" s="1" t="s">
        <v>26</v>
      </c>
      <c r="J473" s="1" t="s">
        <v>8</v>
      </c>
      <c r="K473" s="1" t="s">
        <v>18</v>
      </c>
      <c r="L473" s="1" t="s">
        <v>18</v>
      </c>
      <c r="M473" s="1" t="s">
        <v>53</v>
      </c>
      <c r="N473" s="14" t="s">
        <v>1664</v>
      </c>
      <c r="O473" s="1" t="s">
        <v>6037</v>
      </c>
      <c r="P473" s="1" t="s">
        <v>4107</v>
      </c>
      <c r="Q473" s="1" t="s">
        <v>5662</v>
      </c>
      <c r="R473" s="10" t="s">
        <v>4108</v>
      </c>
      <c r="S473" s="9">
        <v>45915</v>
      </c>
      <c r="T473" s="1">
        <v>1</v>
      </c>
      <c r="U473" s="1" t="s">
        <v>4109</v>
      </c>
      <c r="V473" s="1" t="s">
        <v>1388</v>
      </c>
      <c r="W473" s="1" t="s">
        <v>1388</v>
      </c>
    </row>
    <row r="474" spans="1:23" x14ac:dyDescent="0.25">
      <c r="A474" s="1" t="s">
        <v>48</v>
      </c>
      <c r="B474" s="1" t="s">
        <v>2162</v>
      </c>
      <c r="C474" s="1" t="s">
        <v>50</v>
      </c>
      <c r="D474" s="1" t="s">
        <v>2774</v>
      </c>
      <c r="E474" s="1" t="s">
        <v>2775</v>
      </c>
      <c r="F474" s="22" t="s">
        <v>6085</v>
      </c>
      <c r="G474" s="1" t="s">
        <v>7</v>
      </c>
      <c r="H474" s="1" t="s">
        <v>20</v>
      </c>
      <c r="I474" s="1" t="s">
        <v>26</v>
      </c>
      <c r="J474" s="1" t="s">
        <v>9</v>
      </c>
      <c r="K474" s="1" t="s">
        <v>10</v>
      </c>
      <c r="L474" s="1" t="s">
        <v>10</v>
      </c>
      <c r="M474" s="1" t="s">
        <v>53</v>
      </c>
      <c r="N474" s="11" t="s">
        <v>188</v>
      </c>
      <c r="O474" s="1" t="s">
        <v>6037</v>
      </c>
      <c r="P474" s="1" t="s">
        <v>247</v>
      </c>
      <c r="Q474" s="18" t="s">
        <v>5663</v>
      </c>
      <c r="R474" s="1" t="s">
        <v>4110</v>
      </c>
      <c r="S474" s="8">
        <v>46027</v>
      </c>
      <c r="T474" s="1">
        <v>2</v>
      </c>
      <c r="U474" s="1" t="s">
        <v>3985</v>
      </c>
      <c r="V474" s="1" t="s">
        <v>3985</v>
      </c>
      <c r="W474" s="1" t="s">
        <v>1388</v>
      </c>
    </row>
    <row r="475" spans="1:23" x14ac:dyDescent="0.25">
      <c r="A475" s="1" t="s">
        <v>48</v>
      </c>
      <c r="B475" s="1" t="s">
        <v>2163</v>
      </c>
      <c r="C475" s="1" t="s">
        <v>50</v>
      </c>
      <c r="D475" s="1" t="s">
        <v>2776</v>
      </c>
      <c r="E475" s="1" t="s">
        <v>2777</v>
      </c>
      <c r="F475" s="22" t="s">
        <v>6085</v>
      </c>
      <c r="G475" s="1" t="s">
        <v>6</v>
      </c>
      <c r="H475" s="1" t="s">
        <v>24</v>
      </c>
      <c r="I475" s="1" t="s">
        <v>26</v>
      </c>
      <c r="J475" s="1" t="s">
        <v>9</v>
      </c>
      <c r="K475" s="1" t="s">
        <v>12</v>
      </c>
      <c r="L475" s="1" t="s">
        <v>12</v>
      </c>
      <c r="M475" s="1" t="s">
        <v>53</v>
      </c>
      <c r="N475" s="11" t="s">
        <v>188</v>
      </c>
      <c r="O475" s="1" t="s">
        <v>6037</v>
      </c>
      <c r="P475" s="1" t="s">
        <v>126</v>
      </c>
      <c r="Q475" s="1" t="s">
        <v>5664</v>
      </c>
      <c r="R475" s="1" t="s">
        <v>4111</v>
      </c>
      <c r="S475" s="8">
        <v>45691</v>
      </c>
      <c r="T475" s="1">
        <v>1</v>
      </c>
      <c r="U475" s="1" t="s">
        <v>737</v>
      </c>
      <c r="V475" s="1" t="s">
        <v>1388</v>
      </c>
      <c r="W475" s="1" t="s">
        <v>1388</v>
      </c>
    </row>
    <row r="476" spans="1:23" x14ac:dyDescent="0.25">
      <c r="A476" s="1" t="s">
        <v>48</v>
      </c>
      <c r="B476" s="1" t="s">
        <v>2164</v>
      </c>
      <c r="C476" s="1" t="s">
        <v>50</v>
      </c>
      <c r="D476" s="1" t="s">
        <v>2778</v>
      </c>
      <c r="E476" s="1" t="s">
        <v>2779</v>
      </c>
      <c r="F476" s="22" t="s">
        <v>3</v>
      </c>
      <c r="G476" s="1" t="s">
        <v>6</v>
      </c>
      <c r="H476" s="1" t="s">
        <v>20</v>
      </c>
      <c r="I476" s="1" t="s">
        <v>25</v>
      </c>
      <c r="J476" s="1" t="s">
        <v>9</v>
      </c>
      <c r="K476" s="1" t="s">
        <v>13</v>
      </c>
      <c r="L476" s="1" t="s">
        <v>13</v>
      </c>
      <c r="M476" s="1" t="s">
        <v>53</v>
      </c>
      <c r="N476" s="1" t="s">
        <v>1664</v>
      </c>
      <c r="O476" s="1" t="s">
        <v>6037</v>
      </c>
      <c r="P476" s="1" t="s">
        <v>107</v>
      </c>
      <c r="Q476" s="1" t="s">
        <v>5665</v>
      </c>
      <c r="R476" s="1" t="s">
        <v>4112</v>
      </c>
      <c r="S476" s="8">
        <v>45897</v>
      </c>
      <c r="T476" s="1">
        <v>2</v>
      </c>
      <c r="U476" s="1" t="s">
        <v>4113</v>
      </c>
      <c r="V476" s="1" t="s">
        <v>4114</v>
      </c>
      <c r="W476" s="1" t="s">
        <v>1388</v>
      </c>
    </row>
    <row r="477" spans="1:23" x14ac:dyDescent="0.25">
      <c r="A477" s="1" t="s">
        <v>48</v>
      </c>
      <c r="B477" s="1" t="s">
        <v>2165</v>
      </c>
      <c r="C477" s="1" t="s">
        <v>50</v>
      </c>
      <c r="D477" s="1" t="s">
        <v>2780</v>
      </c>
      <c r="E477" s="1" t="s">
        <v>2781</v>
      </c>
      <c r="F477" s="22" t="s">
        <v>6085</v>
      </c>
      <c r="G477" s="1" t="s">
        <v>7</v>
      </c>
      <c r="H477" s="1" t="s">
        <v>20</v>
      </c>
      <c r="I477" s="1" t="s">
        <v>26</v>
      </c>
      <c r="J477" s="1" t="s">
        <v>9</v>
      </c>
      <c r="K477" s="1" t="s">
        <v>16</v>
      </c>
      <c r="L477" s="1" t="s">
        <v>16</v>
      </c>
      <c r="M477" s="1" t="s">
        <v>53</v>
      </c>
      <c r="N477" s="11" t="s">
        <v>188</v>
      </c>
      <c r="O477" s="1" t="s">
        <v>6037</v>
      </c>
      <c r="P477" s="1" t="s">
        <v>4115</v>
      </c>
      <c r="Q477" s="1" t="s">
        <v>5666</v>
      </c>
      <c r="R477" s="1" t="s">
        <v>4116</v>
      </c>
      <c r="S477" s="8">
        <v>46023</v>
      </c>
      <c r="T477" s="1">
        <v>2</v>
      </c>
      <c r="U477" s="1" t="s">
        <v>4117</v>
      </c>
      <c r="V477" s="1" t="s">
        <v>4117</v>
      </c>
      <c r="W477" s="1" t="s">
        <v>1388</v>
      </c>
    </row>
    <row r="478" spans="1:23" x14ac:dyDescent="0.25">
      <c r="A478" s="1" t="s">
        <v>48</v>
      </c>
      <c r="B478" s="1" t="s">
        <v>2166</v>
      </c>
      <c r="C478" s="1" t="s">
        <v>50</v>
      </c>
      <c r="D478" s="1" t="s">
        <v>2782</v>
      </c>
      <c r="E478" s="1" t="s">
        <v>2783</v>
      </c>
      <c r="F478" s="22" t="s">
        <v>3</v>
      </c>
      <c r="G478" s="1" t="s">
        <v>6</v>
      </c>
      <c r="H478" s="1" t="s">
        <v>20</v>
      </c>
      <c r="I478" s="1" t="s">
        <v>25</v>
      </c>
      <c r="J478" s="1" t="s">
        <v>9</v>
      </c>
      <c r="K478" s="1" t="s">
        <v>13</v>
      </c>
      <c r="L478" s="1" t="s">
        <v>13</v>
      </c>
      <c r="M478" s="1" t="s">
        <v>53</v>
      </c>
      <c r="N478" s="1" t="s">
        <v>1664</v>
      </c>
      <c r="O478" s="1" t="s">
        <v>6235</v>
      </c>
      <c r="P478" s="1" t="s">
        <v>1456</v>
      </c>
      <c r="Q478" s="1" t="s">
        <v>5667</v>
      </c>
      <c r="R478" s="1" t="s">
        <v>4118</v>
      </c>
      <c r="S478" s="8">
        <v>45366</v>
      </c>
      <c r="T478" s="1">
        <v>2</v>
      </c>
      <c r="U478" s="1" t="s">
        <v>4119</v>
      </c>
      <c r="V478" s="1" t="s">
        <v>4120</v>
      </c>
      <c r="W478" s="1" t="s">
        <v>1388</v>
      </c>
    </row>
    <row r="479" spans="1:23" x14ac:dyDescent="0.25">
      <c r="A479" s="1" t="s">
        <v>48</v>
      </c>
      <c r="B479" s="1" t="s">
        <v>2167</v>
      </c>
      <c r="C479" s="1" t="s">
        <v>50</v>
      </c>
      <c r="D479" s="1" t="s">
        <v>2784</v>
      </c>
      <c r="E479" s="1" t="s">
        <v>2785</v>
      </c>
      <c r="F479" s="22" t="s">
        <v>6085</v>
      </c>
      <c r="G479" s="1" t="s">
        <v>5</v>
      </c>
      <c r="H479" s="1" t="s">
        <v>24</v>
      </c>
      <c r="I479" s="1" t="s">
        <v>26</v>
      </c>
      <c r="J479" s="1" t="s">
        <v>9</v>
      </c>
      <c r="K479" s="1" t="s">
        <v>12</v>
      </c>
      <c r="L479" s="1" t="s">
        <v>12</v>
      </c>
      <c r="M479" s="1" t="s">
        <v>53</v>
      </c>
      <c r="N479" s="11" t="s">
        <v>188</v>
      </c>
      <c r="O479" s="1" t="s">
        <v>6037</v>
      </c>
      <c r="P479" s="1" t="s">
        <v>126</v>
      </c>
      <c r="Q479" s="1" t="s">
        <v>5668</v>
      </c>
      <c r="R479" s="1" t="s">
        <v>4121</v>
      </c>
      <c r="S479" s="8">
        <v>46071</v>
      </c>
      <c r="T479" s="1">
        <v>3</v>
      </c>
      <c r="U479" s="1" t="s">
        <v>4122</v>
      </c>
      <c r="V479" s="1" t="s">
        <v>4123</v>
      </c>
      <c r="W479" s="1" t="s">
        <v>4124</v>
      </c>
    </row>
    <row r="480" spans="1:23" x14ac:dyDescent="0.25">
      <c r="A480" s="1" t="s">
        <v>48</v>
      </c>
      <c r="B480" s="1" t="s">
        <v>2168</v>
      </c>
      <c r="C480" s="1" t="s">
        <v>50</v>
      </c>
      <c r="D480" s="1" t="s">
        <v>2786</v>
      </c>
      <c r="E480" s="1" t="s">
        <v>2787</v>
      </c>
      <c r="F480" s="22" t="s">
        <v>6085</v>
      </c>
      <c r="G480" s="1" t="s">
        <v>6</v>
      </c>
      <c r="H480" s="1" t="s">
        <v>20</v>
      </c>
      <c r="I480" s="1" t="s">
        <v>25</v>
      </c>
      <c r="J480" s="1" t="s">
        <v>9</v>
      </c>
      <c r="K480" s="1" t="s">
        <v>10</v>
      </c>
      <c r="L480" s="1" t="s">
        <v>16</v>
      </c>
      <c r="M480" s="1" t="s">
        <v>53</v>
      </c>
      <c r="N480" s="11" t="s">
        <v>188</v>
      </c>
      <c r="O480" s="1" t="s">
        <v>6037</v>
      </c>
      <c r="P480" s="1" t="s">
        <v>4125</v>
      </c>
      <c r="Q480" s="18" t="s">
        <v>5516</v>
      </c>
      <c r="R480" s="1" t="s">
        <v>4126</v>
      </c>
      <c r="S480" s="8">
        <v>45658</v>
      </c>
      <c r="T480" s="1">
        <v>1</v>
      </c>
      <c r="U480" s="1" t="s">
        <v>4127</v>
      </c>
      <c r="V480" s="1" t="s">
        <v>1388</v>
      </c>
      <c r="W480" s="1" t="s">
        <v>1388</v>
      </c>
    </row>
    <row r="481" spans="1:23" x14ac:dyDescent="0.25">
      <c r="A481" s="1" t="s">
        <v>48</v>
      </c>
      <c r="B481" s="1" t="s">
        <v>2169</v>
      </c>
      <c r="C481" s="1" t="s">
        <v>50</v>
      </c>
      <c r="D481" s="1" t="s">
        <v>2788</v>
      </c>
      <c r="E481" s="1" t="s">
        <v>2789</v>
      </c>
      <c r="F481" s="22" t="s">
        <v>3</v>
      </c>
      <c r="G481" s="1" t="s">
        <v>6</v>
      </c>
      <c r="H481" s="1" t="s">
        <v>20</v>
      </c>
      <c r="I481" s="1" t="s">
        <v>26</v>
      </c>
      <c r="J481" s="1" t="s">
        <v>9</v>
      </c>
      <c r="K481" s="1" t="s">
        <v>12</v>
      </c>
      <c r="L481" s="1" t="s">
        <v>12</v>
      </c>
      <c r="M481" s="1" t="s">
        <v>53</v>
      </c>
      <c r="N481" s="11" t="s">
        <v>188</v>
      </c>
      <c r="O481" s="1" t="s">
        <v>6037</v>
      </c>
      <c r="P481" s="1" t="s">
        <v>126</v>
      </c>
      <c r="Q481" s="1" t="s">
        <v>5669</v>
      </c>
      <c r="R481" s="7" t="s">
        <v>4128</v>
      </c>
      <c r="S481" s="8">
        <v>46069</v>
      </c>
      <c r="T481" s="1">
        <v>1</v>
      </c>
      <c r="U481" s="1" t="s">
        <v>4129</v>
      </c>
      <c r="V481" s="1" t="s">
        <v>1388</v>
      </c>
      <c r="W481" s="1" t="s">
        <v>1388</v>
      </c>
    </row>
    <row r="482" spans="1:23" x14ac:dyDescent="0.25">
      <c r="A482" s="1" t="s">
        <v>48</v>
      </c>
      <c r="B482" s="1" t="s">
        <v>2170</v>
      </c>
      <c r="C482" s="1" t="s">
        <v>50</v>
      </c>
      <c r="D482" s="1" t="s">
        <v>2790</v>
      </c>
      <c r="E482" s="1" t="s">
        <v>2791</v>
      </c>
      <c r="F482" s="22" t="s">
        <v>3</v>
      </c>
      <c r="G482" s="1" t="s">
        <v>5</v>
      </c>
      <c r="H482" s="1" t="s">
        <v>24</v>
      </c>
      <c r="I482" s="1" t="s">
        <v>25</v>
      </c>
      <c r="J482" s="1" t="s">
        <v>9</v>
      </c>
      <c r="K482" s="1" t="s">
        <v>13</v>
      </c>
      <c r="L482" s="1" t="s">
        <v>13</v>
      </c>
      <c r="M482" s="1" t="s">
        <v>53</v>
      </c>
      <c r="N482" s="11" t="s">
        <v>188</v>
      </c>
      <c r="O482" s="1" t="s">
        <v>6037</v>
      </c>
      <c r="P482" s="1" t="s">
        <v>4130</v>
      </c>
      <c r="Q482" s="1" t="s">
        <v>5670</v>
      </c>
      <c r="R482" s="7" t="s">
        <v>4131</v>
      </c>
      <c r="S482" s="8">
        <v>46027</v>
      </c>
      <c r="T482" s="1">
        <v>3</v>
      </c>
      <c r="U482" s="1" t="s">
        <v>4132</v>
      </c>
      <c r="V482" s="1" t="s">
        <v>4133</v>
      </c>
      <c r="W482" s="1" t="s">
        <v>4134</v>
      </c>
    </row>
    <row r="483" spans="1:23" x14ac:dyDescent="0.25">
      <c r="A483" s="1" t="s">
        <v>48</v>
      </c>
      <c r="B483" s="1" t="s">
        <v>2171</v>
      </c>
      <c r="C483" s="1" t="s">
        <v>50</v>
      </c>
      <c r="D483" s="1" t="s">
        <v>2792</v>
      </c>
      <c r="E483" s="1" t="s">
        <v>2793</v>
      </c>
      <c r="F483" s="22" t="s">
        <v>5259</v>
      </c>
      <c r="G483" s="1" t="s">
        <v>6</v>
      </c>
      <c r="H483" s="1" t="s">
        <v>20</v>
      </c>
      <c r="I483" s="1" t="s">
        <v>26</v>
      </c>
      <c r="J483" s="1" t="s">
        <v>9</v>
      </c>
      <c r="K483" s="1" t="s">
        <v>11</v>
      </c>
      <c r="L483" s="1" t="s">
        <v>11</v>
      </c>
      <c r="M483" s="1" t="s">
        <v>53</v>
      </c>
      <c r="N483" s="14" t="s">
        <v>5226</v>
      </c>
      <c r="O483" s="1" t="s">
        <v>6037</v>
      </c>
      <c r="P483" s="1" t="s">
        <v>4135</v>
      </c>
      <c r="Q483" s="1" t="s">
        <v>6</v>
      </c>
      <c r="R483" s="1" t="s">
        <v>4136</v>
      </c>
      <c r="S483" s="8">
        <v>45897</v>
      </c>
      <c r="T483" s="1">
        <v>2</v>
      </c>
      <c r="U483" s="1" t="s">
        <v>4137</v>
      </c>
      <c r="V483" s="1" t="s">
        <v>4137</v>
      </c>
      <c r="W483" s="1" t="s">
        <v>1388</v>
      </c>
    </row>
    <row r="484" spans="1:23" x14ac:dyDescent="0.25">
      <c r="A484" s="1" t="s">
        <v>48</v>
      </c>
      <c r="B484" s="2" t="s">
        <v>2172</v>
      </c>
      <c r="C484" s="1" t="s">
        <v>50</v>
      </c>
      <c r="D484" s="2" t="s">
        <v>2794</v>
      </c>
      <c r="E484" s="1" t="s">
        <v>2795</v>
      </c>
      <c r="F484" s="22" t="s">
        <v>5259</v>
      </c>
      <c r="G484" s="2" t="s">
        <v>6</v>
      </c>
      <c r="H484" s="2" t="s">
        <v>20</v>
      </c>
      <c r="I484" s="2" t="s">
        <v>25</v>
      </c>
      <c r="J484" s="2" t="s">
        <v>9</v>
      </c>
      <c r="K484" s="2" t="s">
        <v>14</v>
      </c>
      <c r="L484" s="2" t="s">
        <v>14</v>
      </c>
      <c r="M484" s="2" t="s">
        <v>53</v>
      </c>
      <c r="N484" s="14" t="s">
        <v>6237</v>
      </c>
      <c r="O484" s="1" t="s">
        <v>6037</v>
      </c>
      <c r="P484" s="2" t="s">
        <v>1519</v>
      </c>
      <c r="Q484" s="18" t="s">
        <v>5671</v>
      </c>
      <c r="R484" s="2" t="s">
        <v>4138</v>
      </c>
      <c r="S484" s="9">
        <v>46054</v>
      </c>
      <c r="T484" s="2">
        <v>2</v>
      </c>
      <c r="U484" s="2" t="s">
        <v>1404</v>
      </c>
      <c r="V484" s="2" t="s">
        <v>1404</v>
      </c>
      <c r="W484" s="2" t="s">
        <v>1388</v>
      </c>
    </row>
    <row r="485" spans="1:23" x14ac:dyDescent="0.25">
      <c r="A485" s="1" t="s">
        <v>48</v>
      </c>
      <c r="B485" s="1" t="s">
        <v>2173</v>
      </c>
      <c r="C485" s="1" t="s">
        <v>50</v>
      </c>
      <c r="D485" s="1" t="s">
        <v>2796</v>
      </c>
      <c r="E485" s="1" t="s">
        <v>2797</v>
      </c>
      <c r="F485" s="22" t="s">
        <v>6085</v>
      </c>
      <c r="G485" s="1" t="s">
        <v>5</v>
      </c>
      <c r="H485" s="1" t="s">
        <v>20</v>
      </c>
      <c r="I485" s="1" t="s">
        <v>25</v>
      </c>
      <c r="J485" s="1" t="s">
        <v>9</v>
      </c>
      <c r="K485" s="1" t="s">
        <v>11</v>
      </c>
      <c r="L485" s="1" t="s">
        <v>11</v>
      </c>
      <c r="M485" s="1" t="s">
        <v>53</v>
      </c>
      <c r="N485" s="11" t="s">
        <v>188</v>
      </c>
      <c r="O485" s="1" t="s">
        <v>6037</v>
      </c>
      <c r="P485" s="1" t="s">
        <v>1814</v>
      </c>
      <c r="Q485" s="1" t="s">
        <v>5672</v>
      </c>
      <c r="R485" s="1" t="s">
        <v>4139</v>
      </c>
      <c r="S485" s="8">
        <v>46023</v>
      </c>
      <c r="T485" s="1">
        <v>3</v>
      </c>
      <c r="U485" s="1" t="s">
        <v>4140</v>
      </c>
      <c r="V485" s="1" t="s">
        <v>4141</v>
      </c>
      <c r="W485" s="1" t="s">
        <v>4142</v>
      </c>
    </row>
    <row r="486" spans="1:23" x14ac:dyDescent="0.25">
      <c r="A486" s="1" t="s">
        <v>48</v>
      </c>
      <c r="B486" s="1" t="s">
        <v>2174</v>
      </c>
      <c r="C486" s="1" t="s">
        <v>50</v>
      </c>
      <c r="D486" s="1" t="s">
        <v>2798</v>
      </c>
      <c r="E486" s="1" t="s">
        <v>2799</v>
      </c>
      <c r="F486" s="22" t="s">
        <v>6085</v>
      </c>
      <c r="G486" s="1" t="s">
        <v>6</v>
      </c>
      <c r="H486" s="1" t="s">
        <v>24</v>
      </c>
      <c r="I486" s="1" t="s">
        <v>26</v>
      </c>
      <c r="J486" s="1" t="s">
        <v>9</v>
      </c>
      <c r="K486" s="1" t="s">
        <v>10</v>
      </c>
      <c r="L486" s="1" t="s">
        <v>16</v>
      </c>
      <c r="M486" s="1" t="s">
        <v>53</v>
      </c>
      <c r="N486" s="11" t="s">
        <v>188</v>
      </c>
      <c r="O486" s="1" t="s">
        <v>6037</v>
      </c>
      <c r="P486" s="1" t="s">
        <v>563</v>
      </c>
      <c r="Q486" s="17" t="s">
        <v>5673</v>
      </c>
      <c r="R486" s="1" t="s">
        <v>4143</v>
      </c>
      <c r="S486" s="8">
        <v>46023</v>
      </c>
      <c r="T486" s="1">
        <v>2</v>
      </c>
      <c r="U486" s="1" t="s">
        <v>4144</v>
      </c>
      <c r="V486" s="1" t="s">
        <v>4144</v>
      </c>
      <c r="W486" s="1" t="s">
        <v>1388</v>
      </c>
    </row>
    <row r="487" spans="1:23" x14ac:dyDescent="0.25">
      <c r="A487" s="1" t="s">
        <v>48</v>
      </c>
      <c r="B487" s="1" t="s">
        <v>2175</v>
      </c>
      <c r="C487" s="1" t="s">
        <v>50</v>
      </c>
      <c r="D487" s="1" t="s">
        <v>2800</v>
      </c>
      <c r="E487" s="1" t="s">
        <v>2801</v>
      </c>
      <c r="F487" s="22" t="s">
        <v>6085</v>
      </c>
      <c r="G487" s="1" t="s">
        <v>6</v>
      </c>
      <c r="H487" s="1" t="s">
        <v>20</v>
      </c>
      <c r="I487" s="1" t="s">
        <v>25</v>
      </c>
      <c r="J487" s="1" t="s">
        <v>9</v>
      </c>
      <c r="K487" s="1" t="s">
        <v>14</v>
      </c>
      <c r="L487" s="1" t="s">
        <v>14</v>
      </c>
      <c r="M487" s="1" t="s">
        <v>53</v>
      </c>
      <c r="N487" s="11" t="s">
        <v>188</v>
      </c>
      <c r="O487" s="1" t="s">
        <v>6037</v>
      </c>
      <c r="P487" s="1" t="s">
        <v>593</v>
      </c>
      <c r="Q487" s="1" t="s">
        <v>5674</v>
      </c>
      <c r="R487" s="1" t="s">
        <v>4145</v>
      </c>
      <c r="S487" s="8">
        <v>46197</v>
      </c>
      <c r="T487" s="1">
        <v>2</v>
      </c>
      <c r="U487" s="1" t="s">
        <v>4146</v>
      </c>
      <c r="V487" s="1" t="s">
        <v>4146</v>
      </c>
      <c r="W487" s="1" t="s">
        <v>1388</v>
      </c>
    </row>
    <row r="488" spans="1:23" x14ac:dyDescent="0.25">
      <c r="A488" s="1" t="s">
        <v>48</v>
      </c>
      <c r="B488" s="1" t="s">
        <v>2176</v>
      </c>
      <c r="C488" s="1" t="s">
        <v>50</v>
      </c>
      <c r="D488" s="1" t="s">
        <v>2802</v>
      </c>
      <c r="E488" s="1" t="s">
        <v>2803</v>
      </c>
      <c r="F488" s="22" t="s">
        <v>6085</v>
      </c>
      <c r="G488" s="1" t="s">
        <v>6</v>
      </c>
      <c r="H488" s="1" t="s">
        <v>24</v>
      </c>
      <c r="I488" s="1" t="s">
        <v>25</v>
      </c>
      <c r="J488" s="1" t="s">
        <v>9</v>
      </c>
      <c r="K488" s="1" t="s">
        <v>16</v>
      </c>
      <c r="L488" s="1" t="s">
        <v>16</v>
      </c>
      <c r="M488" s="1" t="s">
        <v>53</v>
      </c>
      <c r="N488" s="11" t="s">
        <v>188</v>
      </c>
      <c r="O488" s="1" t="s">
        <v>6037</v>
      </c>
      <c r="P488" s="1" t="s">
        <v>60</v>
      </c>
      <c r="Q488" s="1" t="s">
        <v>5645</v>
      </c>
      <c r="R488" s="1" t="s">
        <v>4147</v>
      </c>
      <c r="S488" s="8">
        <v>45691</v>
      </c>
      <c r="T488" s="1">
        <v>1</v>
      </c>
      <c r="U488" s="1" t="s">
        <v>4148</v>
      </c>
      <c r="V488" s="1" t="s">
        <v>1388</v>
      </c>
      <c r="W488" s="1" t="s">
        <v>1388</v>
      </c>
    </row>
    <row r="489" spans="1:23" x14ac:dyDescent="0.25">
      <c r="A489" s="1" t="s">
        <v>48</v>
      </c>
      <c r="B489" s="1" t="s">
        <v>2177</v>
      </c>
      <c r="C489" s="1" t="s">
        <v>50</v>
      </c>
      <c r="D489" s="1" t="s">
        <v>2804</v>
      </c>
      <c r="E489" s="1" t="s">
        <v>2805</v>
      </c>
      <c r="F489" s="22" t="s">
        <v>6085</v>
      </c>
      <c r="G489" s="1" t="s">
        <v>6</v>
      </c>
      <c r="H489" s="1" t="s">
        <v>20</v>
      </c>
      <c r="I489" s="1" t="s">
        <v>25</v>
      </c>
      <c r="J489" s="1" t="s">
        <v>9</v>
      </c>
      <c r="K489" s="1" t="s">
        <v>13</v>
      </c>
      <c r="L489" s="1" t="s">
        <v>13</v>
      </c>
      <c r="M489" s="1" t="s">
        <v>53</v>
      </c>
      <c r="N489" s="11" t="s">
        <v>188</v>
      </c>
      <c r="O489" s="1" t="s">
        <v>6037</v>
      </c>
      <c r="P489" s="1" t="s">
        <v>1456</v>
      </c>
      <c r="Q489" s="1" t="s">
        <v>5675</v>
      </c>
      <c r="R489" s="1" t="s">
        <v>4149</v>
      </c>
      <c r="S489" s="8">
        <v>46027</v>
      </c>
      <c r="T489" s="1">
        <v>1</v>
      </c>
      <c r="U489" s="1" t="s">
        <v>4150</v>
      </c>
      <c r="V489" s="1" t="s">
        <v>1388</v>
      </c>
      <c r="W489" s="1" t="s">
        <v>1388</v>
      </c>
    </row>
    <row r="490" spans="1:23" x14ac:dyDescent="0.25">
      <c r="A490" s="1" t="s">
        <v>48</v>
      </c>
      <c r="B490" s="1" t="s">
        <v>2178</v>
      </c>
      <c r="C490" s="1" t="s">
        <v>50</v>
      </c>
      <c r="D490" s="1" t="s">
        <v>2806</v>
      </c>
      <c r="E490" s="1" t="s">
        <v>2807</v>
      </c>
      <c r="F490" s="22" t="s">
        <v>6085</v>
      </c>
      <c r="G490" s="1" t="s">
        <v>5</v>
      </c>
      <c r="H490" s="1" t="s">
        <v>24</v>
      </c>
      <c r="I490" s="1" t="s">
        <v>26</v>
      </c>
      <c r="J490" s="1" t="s">
        <v>9</v>
      </c>
      <c r="K490" s="1" t="s">
        <v>14</v>
      </c>
      <c r="L490" s="1" t="s">
        <v>14</v>
      </c>
      <c r="M490" s="1" t="s">
        <v>53</v>
      </c>
      <c r="N490" s="11" t="s">
        <v>188</v>
      </c>
      <c r="O490" s="1" t="s">
        <v>6037</v>
      </c>
      <c r="P490" s="1" t="s">
        <v>247</v>
      </c>
      <c r="Q490" s="1" t="s">
        <v>892</v>
      </c>
      <c r="R490" s="1" t="s">
        <v>4151</v>
      </c>
      <c r="S490" s="8">
        <v>46030</v>
      </c>
      <c r="T490" s="1">
        <v>2</v>
      </c>
      <c r="U490" s="1" t="s">
        <v>4152</v>
      </c>
      <c r="V490" s="1" t="s">
        <v>4153</v>
      </c>
      <c r="W490" s="1" t="s">
        <v>1388</v>
      </c>
    </row>
    <row r="491" spans="1:23" x14ac:dyDescent="0.25">
      <c r="A491" s="1" t="s">
        <v>48</v>
      </c>
      <c r="B491" s="1" t="s">
        <v>2179</v>
      </c>
      <c r="C491" s="1" t="s">
        <v>50</v>
      </c>
      <c r="D491" s="1" t="s">
        <v>2808</v>
      </c>
      <c r="E491" s="1" t="s">
        <v>2809</v>
      </c>
      <c r="F491" s="22" t="s">
        <v>6085</v>
      </c>
      <c r="G491" s="1" t="s">
        <v>7</v>
      </c>
      <c r="H491" s="1" t="s">
        <v>21</v>
      </c>
      <c r="I491" s="1" t="s">
        <v>25</v>
      </c>
      <c r="J491" s="1" t="s">
        <v>9</v>
      </c>
      <c r="K491" s="1" t="s">
        <v>16</v>
      </c>
      <c r="L491" s="1" t="s">
        <v>16</v>
      </c>
      <c r="M491" s="1" t="s">
        <v>53</v>
      </c>
      <c r="N491" s="11" t="s">
        <v>188</v>
      </c>
      <c r="O491" s="1" t="s">
        <v>6037</v>
      </c>
      <c r="P491" s="1" t="s">
        <v>107</v>
      </c>
      <c r="Q491" s="1" t="s">
        <v>5676</v>
      </c>
      <c r="R491" s="1" t="s">
        <v>4154</v>
      </c>
      <c r="S491" s="8">
        <v>46027</v>
      </c>
      <c r="T491" s="1">
        <v>2</v>
      </c>
      <c r="U491" s="1" t="s">
        <v>4155</v>
      </c>
      <c r="V491" s="1" t="s">
        <v>4155</v>
      </c>
      <c r="W491" s="1" t="s">
        <v>1388</v>
      </c>
    </row>
    <row r="492" spans="1:23" x14ac:dyDescent="0.25">
      <c r="A492" s="1" t="s">
        <v>48</v>
      </c>
      <c r="B492" s="1" t="s">
        <v>2180</v>
      </c>
      <c r="C492" s="1" t="s">
        <v>50</v>
      </c>
      <c r="D492" s="1" t="s">
        <v>2810</v>
      </c>
      <c r="E492" s="1" t="s">
        <v>2811</v>
      </c>
      <c r="F492" s="22" t="s">
        <v>3</v>
      </c>
      <c r="G492" s="1" t="s">
        <v>6</v>
      </c>
      <c r="H492" s="1" t="s">
        <v>22</v>
      </c>
      <c r="I492" s="1" t="s">
        <v>25</v>
      </c>
      <c r="J492" s="1" t="s">
        <v>9</v>
      </c>
      <c r="K492" s="1" t="s">
        <v>13</v>
      </c>
      <c r="L492" s="1" t="s">
        <v>13</v>
      </c>
      <c r="M492" s="1" t="s">
        <v>53</v>
      </c>
      <c r="N492" s="14" t="s">
        <v>5226</v>
      </c>
      <c r="O492" s="1" t="s">
        <v>6037</v>
      </c>
      <c r="P492" s="1" t="s">
        <v>213</v>
      </c>
      <c r="Q492" s="1" t="s">
        <v>5677</v>
      </c>
      <c r="R492" s="1" t="s">
        <v>4156</v>
      </c>
      <c r="S492" s="8">
        <v>46054</v>
      </c>
      <c r="T492" s="1">
        <v>2</v>
      </c>
      <c r="U492" s="1" t="s">
        <v>4157</v>
      </c>
      <c r="V492" s="1" t="s">
        <v>4157</v>
      </c>
      <c r="W492" s="1" t="s">
        <v>1388</v>
      </c>
    </row>
    <row r="493" spans="1:23" x14ac:dyDescent="0.25">
      <c r="A493" s="1" t="s">
        <v>48</v>
      </c>
      <c r="B493" s="1" t="s">
        <v>2181</v>
      </c>
      <c r="C493" s="1" t="s">
        <v>50</v>
      </c>
      <c r="D493" s="1" t="s">
        <v>2812</v>
      </c>
      <c r="E493" s="1" t="s">
        <v>2813</v>
      </c>
      <c r="F493" s="22" t="s">
        <v>5259</v>
      </c>
      <c r="G493" s="1" t="s">
        <v>6</v>
      </c>
      <c r="H493" s="1" t="s">
        <v>20</v>
      </c>
      <c r="I493" s="1" t="s">
        <v>25</v>
      </c>
      <c r="J493" s="1" t="s">
        <v>8</v>
      </c>
      <c r="K493" s="1" t="s">
        <v>11</v>
      </c>
      <c r="L493" s="1" t="s">
        <v>11</v>
      </c>
      <c r="M493" s="1" t="s">
        <v>53</v>
      </c>
      <c r="N493" s="14" t="s">
        <v>5226</v>
      </c>
      <c r="O493" s="1" t="s">
        <v>6037</v>
      </c>
      <c r="P493" s="1" t="s">
        <v>4158</v>
      </c>
      <c r="Q493" s="1" t="s">
        <v>5678</v>
      </c>
      <c r="R493" s="7" t="s">
        <v>4159</v>
      </c>
      <c r="S493" s="8">
        <v>46037</v>
      </c>
      <c r="T493" s="1">
        <v>2</v>
      </c>
      <c r="U493" s="1" t="s">
        <v>4160</v>
      </c>
      <c r="V493" s="1" t="s">
        <v>4161</v>
      </c>
      <c r="W493" s="1" t="s">
        <v>1388</v>
      </c>
    </row>
    <row r="494" spans="1:23" x14ac:dyDescent="0.25">
      <c r="A494" s="1" t="s">
        <v>48</v>
      </c>
      <c r="B494" s="1" t="s">
        <v>2182</v>
      </c>
      <c r="C494" s="1" t="s">
        <v>50</v>
      </c>
      <c r="D494" s="1" t="s">
        <v>2814</v>
      </c>
      <c r="E494" s="1" t="s">
        <v>2815</v>
      </c>
      <c r="F494" s="22" t="s">
        <v>6085</v>
      </c>
      <c r="G494" s="1" t="s">
        <v>5</v>
      </c>
      <c r="H494" s="1" t="s">
        <v>20</v>
      </c>
      <c r="I494" s="1" t="s">
        <v>25</v>
      </c>
      <c r="J494" s="1" t="s">
        <v>9</v>
      </c>
      <c r="K494" s="1" t="s">
        <v>13</v>
      </c>
      <c r="L494" s="1" t="s">
        <v>13</v>
      </c>
      <c r="M494" s="1" t="s">
        <v>53</v>
      </c>
      <c r="N494" s="11" t="s">
        <v>2091</v>
      </c>
      <c r="O494" s="1" t="s">
        <v>6037</v>
      </c>
      <c r="P494" s="1" t="s">
        <v>181</v>
      </c>
      <c r="Q494" s="1" t="s">
        <v>5679</v>
      </c>
      <c r="R494" s="1" t="s">
        <v>4162</v>
      </c>
      <c r="S494" s="8">
        <v>45735</v>
      </c>
      <c r="T494" s="1">
        <v>3</v>
      </c>
      <c r="U494" s="1" t="s">
        <v>391</v>
      </c>
      <c r="V494" s="1" t="s">
        <v>4163</v>
      </c>
      <c r="W494" s="1" t="s">
        <v>4163</v>
      </c>
    </row>
    <row r="495" spans="1:23" x14ac:dyDescent="0.25">
      <c r="A495" s="1" t="s">
        <v>48</v>
      </c>
      <c r="B495" s="1" t="s">
        <v>2183</v>
      </c>
      <c r="C495" s="1" t="s">
        <v>50</v>
      </c>
      <c r="D495" s="1" t="s">
        <v>2816</v>
      </c>
      <c r="E495" s="1" t="s">
        <v>2817</v>
      </c>
      <c r="F495" s="22" t="s">
        <v>6085</v>
      </c>
      <c r="G495" s="1" t="s">
        <v>7</v>
      </c>
      <c r="H495" s="1" t="s">
        <v>22</v>
      </c>
      <c r="I495" s="1" t="s">
        <v>26</v>
      </c>
      <c r="J495" s="1" t="s">
        <v>9</v>
      </c>
      <c r="K495" s="1" t="s">
        <v>16</v>
      </c>
      <c r="L495" s="1" t="s">
        <v>16</v>
      </c>
      <c r="M495" s="1" t="s">
        <v>53</v>
      </c>
      <c r="N495" s="11" t="s">
        <v>2091</v>
      </c>
      <c r="O495" s="1" t="s">
        <v>6037</v>
      </c>
      <c r="P495" s="1" t="s">
        <v>1456</v>
      </c>
      <c r="Q495" s="1" t="s">
        <v>4016</v>
      </c>
      <c r="R495" s="1" t="s">
        <v>4164</v>
      </c>
      <c r="S495" s="8">
        <v>46055</v>
      </c>
      <c r="T495" s="1">
        <v>2</v>
      </c>
      <c r="U495" s="1" t="s">
        <v>809</v>
      </c>
      <c r="V495" s="1" t="s">
        <v>809</v>
      </c>
      <c r="W495" s="1" t="s">
        <v>1388</v>
      </c>
    </row>
    <row r="496" spans="1:23" x14ac:dyDescent="0.25">
      <c r="A496" s="1" t="s">
        <v>48</v>
      </c>
      <c r="B496" s="1" t="s">
        <v>2184</v>
      </c>
      <c r="C496" s="1" t="s">
        <v>50</v>
      </c>
      <c r="D496" s="1" t="s">
        <v>2818</v>
      </c>
      <c r="E496" s="1" t="s">
        <v>2819</v>
      </c>
      <c r="F496" s="22" t="s">
        <v>6085</v>
      </c>
      <c r="G496" s="1" t="s">
        <v>6</v>
      </c>
      <c r="H496" s="1" t="s">
        <v>20</v>
      </c>
      <c r="I496" s="1" t="s">
        <v>25</v>
      </c>
      <c r="J496" s="1" t="s">
        <v>9</v>
      </c>
      <c r="K496" s="1" t="s">
        <v>10</v>
      </c>
      <c r="L496" s="1" t="s">
        <v>16</v>
      </c>
      <c r="M496" s="1" t="s">
        <v>53</v>
      </c>
      <c r="N496" s="11" t="s">
        <v>188</v>
      </c>
      <c r="O496" s="1" t="s">
        <v>6037</v>
      </c>
      <c r="P496" s="1" t="s">
        <v>4165</v>
      </c>
      <c r="Q496" s="19" t="s">
        <v>5680</v>
      </c>
      <c r="R496" s="1" t="s">
        <v>801</v>
      </c>
      <c r="S496" s="8">
        <v>46054</v>
      </c>
      <c r="T496" s="1">
        <v>2</v>
      </c>
      <c r="U496" s="1" t="s">
        <v>236</v>
      </c>
      <c r="V496" s="1" t="s">
        <v>1461</v>
      </c>
      <c r="W496" s="1" t="s">
        <v>1388</v>
      </c>
    </row>
    <row r="497" spans="1:23" x14ac:dyDescent="0.25">
      <c r="A497" s="1" t="s">
        <v>48</v>
      </c>
      <c r="B497" s="1" t="s">
        <v>2185</v>
      </c>
      <c r="C497" s="1" t="s">
        <v>50</v>
      </c>
      <c r="D497" s="1" t="s">
        <v>2820</v>
      </c>
      <c r="E497" s="1" t="s">
        <v>2821</v>
      </c>
      <c r="F497" s="22" t="s">
        <v>6085</v>
      </c>
      <c r="G497" s="1" t="s">
        <v>6</v>
      </c>
      <c r="H497" s="1" t="s">
        <v>20</v>
      </c>
      <c r="I497" s="1" t="s">
        <v>25</v>
      </c>
      <c r="J497" s="1" t="s">
        <v>9</v>
      </c>
      <c r="K497" s="1" t="s">
        <v>16</v>
      </c>
      <c r="L497" s="1" t="s">
        <v>16</v>
      </c>
      <c r="M497" s="1" t="s">
        <v>53</v>
      </c>
      <c r="N497" s="1" t="s">
        <v>1828</v>
      </c>
      <c r="O497" s="1" t="s">
        <v>6235</v>
      </c>
      <c r="P497" s="1" t="s">
        <v>175</v>
      </c>
      <c r="Q497" s="1" t="s">
        <v>5681</v>
      </c>
      <c r="R497" s="1" t="s">
        <v>4166</v>
      </c>
      <c r="S497" s="8">
        <v>46055</v>
      </c>
      <c r="T497" s="1">
        <v>2</v>
      </c>
      <c r="U497" s="1" t="s">
        <v>4035</v>
      </c>
      <c r="V497" s="1" t="s">
        <v>4167</v>
      </c>
      <c r="W497" s="1" t="s">
        <v>1388</v>
      </c>
    </row>
    <row r="498" spans="1:23" x14ac:dyDescent="0.25">
      <c r="A498" s="1" t="s">
        <v>48</v>
      </c>
      <c r="B498" s="1" t="s">
        <v>2186</v>
      </c>
      <c r="C498" s="1" t="s">
        <v>50</v>
      </c>
      <c r="D498" s="1" t="s">
        <v>2822</v>
      </c>
      <c r="E498" s="1" t="s">
        <v>2823</v>
      </c>
      <c r="F498" s="22" t="s">
        <v>6085</v>
      </c>
      <c r="G498" s="1" t="s">
        <v>6</v>
      </c>
      <c r="H498" s="1" t="s">
        <v>20</v>
      </c>
      <c r="I498" s="1" t="s">
        <v>25</v>
      </c>
      <c r="J498" s="1" t="s">
        <v>9</v>
      </c>
      <c r="K498" s="1" t="s">
        <v>10</v>
      </c>
      <c r="L498" s="1" t="s">
        <v>10</v>
      </c>
      <c r="M498" s="1" t="s">
        <v>53</v>
      </c>
      <c r="N498" s="11" t="s">
        <v>188</v>
      </c>
      <c r="O498" s="1" t="s">
        <v>6037</v>
      </c>
      <c r="P498" s="1" t="s">
        <v>4168</v>
      </c>
      <c r="Q498" s="17" t="s">
        <v>5682</v>
      </c>
      <c r="R498" s="1" t="s">
        <v>4169</v>
      </c>
      <c r="S498" s="8">
        <v>46062</v>
      </c>
      <c r="T498" s="1">
        <v>2</v>
      </c>
      <c r="U498" s="1" t="s">
        <v>4170</v>
      </c>
      <c r="V498" s="1" t="s">
        <v>4170</v>
      </c>
      <c r="W498" s="1" t="s">
        <v>1388</v>
      </c>
    </row>
    <row r="499" spans="1:23" x14ac:dyDescent="0.25">
      <c r="A499" s="1" t="s">
        <v>48</v>
      </c>
      <c r="B499" s="1" t="s">
        <v>2187</v>
      </c>
      <c r="C499" s="1" t="s">
        <v>50</v>
      </c>
      <c r="D499" s="1" t="s">
        <v>2824</v>
      </c>
      <c r="E499" s="1" t="s">
        <v>2825</v>
      </c>
      <c r="F499" s="22" t="s">
        <v>6085</v>
      </c>
      <c r="G499" s="1" t="s">
        <v>7</v>
      </c>
      <c r="H499" s="1" t="s">
        <v>20</v>
      </c>
      <c r="I499" s="1" t="s">
        <v>25</v>
      </c>
      <c r="J499" s="1" t="s">
        <v>9</v>
      </c>
      <c r="K499" s="1" t="s">
        <v>13</v>
      </c>
      <c r="L499" s="1" t="s">
        <v>13</v>
      </c>
      <c r="M499" s="1" t="s">
        <v>53</v>
      </c>
      <c r="N499" s="11" t="s">
        <v>188</v>
      </c>
      <c r="O499" s="1" t="s">
        <v>6037</v>
      </c>
      <c r="P499" s="1" t="s">
        <v>66</v>
      </c>
      <c r="Q499" s="1" t="s">
        <v>4156</v>
      </c>
      <c r="R499" s="1" t="s">
        <v>4171</v>
      </c>
      <c r="S499" s="8">
        <v>46034</v>
      </c>
      <c r="T499" s="1">
        <v>2</v>
      </c>
      <c r="U499" s="1" t="s">
        <v>4067</v>
      </c>
      <c r="V499" s="1" t="s">
        <v>4068</v>
      </c>
      <c r="W499" s="1" t="s">
        <v>3856</v>
      </c>
    </row>
    <row r="500" spans="1:23" x14ac:dyDescent="0.25">
      <c r="A500" s="1" t="s">
        <v>48</v>
      </c>
      <c r="B500" s="1" t="s">
        <v>2188</v>
      </c>
      <c r="C500" s="1" t="s">
        <v>50</v>
      </c>
      <c r="D500" s="1" t="s">
        <v>2826</v>
      </c>
      <c r="E500" s="1" t="s">
        <v>2827</v>
      </c>
      <c r="F500" s="22" t="s">
        <v>6085</v>
      </c>
      <c r="G500" s="1" t="s">
        <v>6</v>
      </c>
      <c r="H500" s="1" t="s">
        <v>24</v>
      </c>
      <c r="I500" s="1" t="s">
        <v>26</v>
      </c>
      <c r="J500" s="1" t="s">
        <v>9</v>
      </c>
      <c r="K500" s="1" t="s">
        <v>16</v>
      </c>
      <c r="L500" s="1" t="s">
        <v>16</v>
      </c>
      <c r="M500" s="1" t="s">
        <v>53</v>
      </c>
      <c r="N500" s="11" t="s">
        <v>188</v>
      </c>
      <c r="O500" s="1" t="s">
        <v>6037</v>
      </c>
      <c r="P500" s="1" t="s">
        <v>60</v>
      </c>
      <c r="Q500" s="1" t="s">
        <v>5392</v>
      </c>
      <c r="R500" s="1" t="s">
        <v>4172</v>
      </c>
      <c r="S500" s="8">
        <v>45671</v>
      </c>
      <c r="T500" s="1">
        <v>1</v>
      </c>
      <c r="U500" s="1" t="s">
        <v>4173</v>
      </c>
      <c r="V500" s="1" t="s">
        <v>1388</v>
      </c>
      <c r="W500" s="1" t="s">
        <v>1388</v>
      </c>
    </row>
    <row r="501" spans="1:23" x14ac:dyDescent="0.25">
      <c r="A501" s="1" t="s">
        <v>48</v>
      </c>
      <c r="B501" s="1" t="s">
        <v>2189</v>
      </c>
      <c r="C501" s="1" t="s">
        <v>50</v>
      </c>
      <c r="D501" s="1" t="s">
        <v>2828</v>
      </c>
      <c r="E501" s="1" t="s">
        <v>2829</v>
      </c>
      <c r="F501" s="22" t="s">
        <v>5259</v>
      </c>
      <c r="G501" s="1" t="s">
        <v>5</v>
      </c>
      <c r="H501" s="1" t="s">
        <v>20</v>
      </c>
      <c r="I501" s="1" t="s">
        <v>26</v>
      </c>
      <c r="J501" s="1" t="s">
        <v>9</v>
      </c>
      <c r="K501" s="1" t="s">
        <v>14</v>
      </c>
      <c r="L501" s="1" t="s">
        <v>14</v>
      </c>
      <c r="M501" s="1" t="s">
        <v>53</v>
      </c>
      <c r="N501" s="14" t="s">
        <v>5226</v>
      </c>
      <c r="O501" s="1" t="s">
        <v>6037</v>
      </c>
      <c r="P501" s="1" t="s">
        <v>306</v>
      </c>
      <c r="Q501" s="1" t="s">
        <v>5683</v>
      </c>
      <c r="R501" s="1" t="s">
        <v>4174</v>
      </c>
      <c r="S501" s="8">
        <v>46111</v>
      </c>
      <c r="T501" s="1">
        <v>3</v>
      </c>
      <c r="U501" s="1" t="s">
        <v>4175</v>
      </c>
      <c r="V501" s="1" t="s">
        <v>4176</v>
      </c>
      <c r="W501" s="1" t="s">
        <v>4177</v>
      </c>
    </row>
    <row r="502" spans="1:23" x14ac:dyDescent="0.25">
      <c r="A502" s="1" t="s">
        <v>48</v>
      </c>
      <c r="B502" s="1" t="s">
        <v>2190</v>
      </c>
      <c r="C502" s="1" t="s">
        <v>50</v>
      </c>
      <c r="D502" s="1" t="s">
        <v>2830</v>
      </c>
      <c r="E502" s="1" t="s">
        <v>2831</v>
      </c>
      <c r="F502" s="22" t="s">
        <v>5259</v>
      </c>
      <c r="G502" s="1" t="s">
        <v>5</v>
      </c>
      <c r="H502" s="1" t="s">
        <v>20</v>
      </c>
      <c r="I502" s="1" t="s">
        <v>26</v>
      </c>
      <c r="J502" s="1" t="s">
        <v>9</v>
      </c>
      <c r="K502" s="1" t="s">
        <v>11</v>
      </c>
      <c r="L502" s="1" t="s">
        <v>11</v>
      </c>
      <c r="M502" s="1" t="s">
        <v>53</v>
      </c>
      <c r="N502" s="14" t="s">
        <v>5226</v>
      </c>
      <c r="O502" s="1" t="s">
        <v>6037</v>
      </c>
      <c r="P502" s="1" t="s">
        <v>267</v>
      </c>
      <c r="Q502" s="1" t="s">
        <v>858</v>
      </c>
      <c r="R502" s="1" t="s">
        <v>4178</v>
      </c>
      <c r="S502" s="8">
        <v>46081</v>
      </c>
      <c r="T502" s="1">
        <v>3</v>
      </c>
      <c r="U502" s="1" t="s">
        <v>349</v>
      </c>
      <c r="V502" s="1" t="s">
        <v>349</v>
      </c>
      <c r="W502" s="1" t="s">
        <v>349</v>
      </c>
    </row>
    <row r="503" spans="1:23" x14ac:dyDescent="0.25">
      <c r="A503" s="1" t="s">
        <v>48</v>
      </c>
      <c r="B503" s="1" t="s">
        <v>2191</v>
      </c>
      <c r="C503" s="1" t="s">
        <v>50</v>
      </c>
      <c r="D503" s="1" t="s">
        <v>2832</v>
      </c>
      <c r="E503" s="1" t="s">
        <v>2833</v>
      </c>
      <c r="F503" s="22" t="s">
        <v>6085</v>
      </c>
      <c r="G503" s="1" t="s">
        <v>6</v>
      </c>
      <c r="H503" s="1" t="s">
        <v>24</v>
      </c>
      <c r="I503" s="1" t="s">
        <v>25</v>
      </c>
      <c r="J503" s="1" t="s">
        <v>9</v>
      </c>
      <c r="K503" s="1" t="s">
        <v>13</v>
      </c>
      <c r="L503" s="1" t="s">
        <v>16</v>
      </c>
      <c r="M503" s="1" t="s">
        <v>53</v>
      </c>
      <c r="N503" s="11" t="s">
        <v>188</v>
      </c>
      <c r="O503" s="1" t="s">
        <v>6037</v>
      </c>
      <c r="P503" s="1" t="s">
        <v>126</v>
      </c>
      <c r="Q503" s="1" t="s">
        <v>5684</v>
      </c>
      <c r="R503" s="1" t="s">
        <v>4179</v>
      </c>
      <c r="S503" s="8">
        <v>46069</v>
      </c>
      <c r="T503" s="1">
        <v>2</v>
      </c>
      <c r="U503" s="1" t="s">
        <v>4180</v>
      </c>
      <c r="V503" s="1" t="s">
        <v>4181</v>
      </c>
      <c r="W503" s="1" t="s">
        <v>1388</v>
      </c>
    </row>
    <row r="504" spans="1:23" x14ac:dyDescent="0.25">
      <c r="A504" s="1" t="s">
        <v>48</v>
      </c>
      <c r="B504" s="1" t="s">
        <v>2192</v>
      </c>
      <c r="C504" s="1" t="s">
        <v>50</v>
      </c>
      <c r="D504" s="1" t="s">
        <v>2834</v>
      </c>
      <c r="E504" s="1" t="s">
        <v>2835</v>
      </c>
      <c r="F504" s="22" t="s">
        <v>6085</v>
      </c>
      <c r="G504" s="1" t="s">
        <v>7</v>
      </c>
      <c r="H504" s="1" t="s">
        <v>24</v>
      </c>
      <c r="I504" s="1" t="s">
        <v>25</v>
      </c>
      <c r="J504" s="1" t="s">
        <v>9</v>
      </c>
      <c r="K504" s="1" t="s">
        <v>13</v>
      </c>
      <c r="L504" s="1" t="s">
        <v>13</v>
      </c>
      <c r="M504" s="1" t="s">
        <v>53</v>
      </c>
      <c r="N504" s="11" t="s">
        <v>188</v>
      </c>
      <c r="O504" s="1" t="s">
        <v>6037</v>
      </c>
      <c r="P504" s="1" t="s">
        <v>126</v>
      </c>
      <c r="Q504" s="1" t="s">
        <v>5685</v>
      </c>
      <c r="R504" s="1" t="s">
        <v>4182</v>
      </c>
      <c r="S504" s="8">
        <v>46023</v>
      </c>
      <c r="T504" s="1">
        <v>1</v>
      </c>
      <c r="U504" s="1" t="s">
        <v>682</v>
      </c>
      <c r="V504" s="1" t="s">
        <v>1388</v>
      </c>
      <c r="W504" s="1" t="s">
        <v>1388</v>
      </c>
    </row>
    <row r="505" spans="1:23" x14ac:dyDescent="0.25">
      <c r="A505" s="1" t="s">
        <v>48</v>
      </c>
      <c r="B505" s="1" t="s">
        <v>2193</v>
      </c>
      <c r="C505" s="1" t="s">
        <v>50</v>
      </c>
      <c r="D505" s="1" t="s">
        <v>2836</v>
      </c>
      <c r="E505" s="1" t="s">
        <v>2837</v>
      </c>
      <c r="F505" s="22" t="s">
        <v>6085</v>
      </c>
      <c r="G505" s="1" t="s">
        <v>6</v>
      </c>
      <c r="H505" s="1" t="s">
        <v>20</v>
      </c>
      <c r="I505" s="1" t="s">
        <v>25</v>
      </c>
      <c r="J505" s="1" t="s">
        <v>9</v>
      </c>
      <c r="K505" s="1" t="s">
        <v>13</v>
      </c>
      <c r="L505" s="1" t="s">
        <v>16</v>
      </c>
      <c r="M505" s="1" t="s">
        <v>53</v>
      </c>
      <c r="N505" s="11" t="s">
        <v>188</v>
      </c>
      <c r="O505" s="1" t="s">
        <v>6037</v>
      </c>
      <c r="P505" s="1" t="s">
        <v>60</v>
      </c>
      <c r="Q505" s="1" t="s">
        <v>4016</v>
      </c>
      <c r="R505" s="1" t="s">
        <v>4183</v>
      </c>
      <c r="S505" s="8">
        <v>46054</v>
      </c>
      <c r="T505" s="1">
        <v>2</v>
      </c>
      <c r="U505" s="1" t="s">
        <v>3966</v>
      </c>
      <c r="V505" s="1" t="s">
        <v>1498</v>
      </c>
      <c r="W505" s="1" t="s">
        <v>1388</v>
      </c>
    </row>
    <row r="506" spans="1:23" x14ac:dyDescent="0.25">
      <c r="A506" s="1" t="s">
        <v>48</v>
      </c>
      <c r="B506" s="1" t="s">
        <v>2194</v>
      </c>
      <c r="C506" s="1" t="s">
        <v>50</v>
      </c>
      <c r="D506" s="1" t="s">
        <v>2838</v>
      </c>
      <c r="E506" s="1" t="s">
        <v>2839</v>
      </c>
      <c r="F506" s="22" t="s">
        <v>6085</v>
      </c>
      <c r="G506" s="1" t="s">
        <v>6</v>
      </c>
      <c r="H506" s="1" t="s">
        <v>20</v>
      </c>
      <c r="I506" s="1" t="s">
        <v>26</v>
      </c>
      <c r="J506" s="1" t="s">
        <v>9</v>
      </c>
      <c r="K506" s="1" t="s">
        <v>19</v>
      </c>
      <c r="L506" s="1" t="s">
        <v>19</v>
      </c>
      <c r="M506" s="1" t="s">
        <v>53</v>
      </c>
      <c r="N506" s="11" t="s">
        <v>188</v>
      </c>
      <c r="O506" s="1" t="s">
        <v>6037</v>
      </c>
      <c r="P506" s="1" t="s">
        <v>1519</v>
      </c>
      <c r="Q506" s="1" t="s">
        <v>5686</v>
      </c>
      <c r="R506" s="1" t="s">
        <v>4184</v>
      </c>
      <c r="S506" s="8">
        <v>46055</v>
      </c>
      <c r="T506" s="1">
        <v>1</v>
      </c>
      <c r="U506" s="1" t="s">
        <v>291</v>
      </c>
      <c r="V506" s="1" t="s">
        <v>1388</v>
      </c>
      <c r="W506" s="1" t="s">
        <v>1388</v>
      </c>
    </row>
    <row r="507" spans="1:23" x14ac:dyDescent="0.25">
      <c r="A507" s="1" t="s">
        <v>48</v>
      </c>
      <c r="B507" s="1" t="s">
        <v>2195</v>
      </c>
      <c r="C507" s="1" t="s">
        <v>50</v>
      </c>
      <c r="D507" s="1" t="s">
        <v>2840</v>
      </c>
      <c r="E507" s="1" t="s">
        <v>2841</v>
      </c>
      <c r="F507" s="22" t="s">
        <v>6085</v>
      </c>
      <c r="G507" s="1" t="s">
        <v>6</v>
      </c>
      <c r="H507" s="1" t="s">
        <v>21</v>
      </c>
      <c r="I507" s="1" t="s">
        <v>25</v>
      </c>
      <c r="J507" s="1" t="s">
        <v>9</v>
      </c>
      <c r="K507" s="1" t="s">
        <v>14</v>
      </c>
      <c r="L507" s="1" t="s">
        <v>14</v>
      </c>
      <c r="M507" s="1" t="s">
        <v>53</v>
      </c>
      <c r="N507" s="11" t="s">
        <v>188</v>
      </c>
      <c r="O507" s="1" t="s">
        <v>6037</v>
      </c>
      <c r="P507" s="1" t="s">
        <v>139</v>
      </c>
      <c r="Q507" s="1" t="s">
        <v>5687</v>
      </c>
      <c r="R507" s="1" t="s">
        <v>4185</v>
      </c>
      <c r="S507" s="8">
        <v>45672</v>
      </c>
      <c r="T507" s="1">
        <v>2</v>
      </c>
      <c r="U507" s="1" t="s">
        <v>4186</v>
      </c>
      <c r="V507" s="1" t="s">
        <v>4187</v>
      </c>
      <c r="W507" s="1" t="s">
        <v>1388</v>
      </c>
    </row>
    <row r="508" spans="1:23" x14ac:dyDescent="0.25">
      <c r="A508" s="1" t="s">
        <v>48</v>
      </c>
      <c r="B508" s="1" t="s">
        <v>2196</v>
      </c>
      <c r="C508" s="1" t="s">
        <v>50</v>
      </c>
      <c r="D508" s="1" t="s">
        <v>2842</v>
      </c>
      <c r="E508" s="1" t="s">
        <v>2843</v>
      </c>
      <c r="F508" s="22" t="s">
        <v>6085</v>
      </c>
      <c r="G508" s="1" t="s">
        <v>5</v>
      </c>
      <c r="H508" s="1" t="s">
        <v>20</v>
      </c>
      <c r="I508" s="1" t="s">
        <v>26</v>
      </c>
      <c r="J508" s="1" t="s">
        <v>9</v>
      </c>
      <c r="K508" s="1" t="s">
        <v>14</v>
      </c>
      <c r="L508" s="1" t="s">
        <v>14</v>
      </c>
      <c r="M508" s="1" t="s">
        <v>53</v>
      </c>
      <c r="N508" s="11" t="s">
        <v>188</v>
      </c>
      <c r="O508" s="1" t="s">
        <v>6037</v>
      </c>
      <c r="P508" s="1" t="s">
        <v>247</v>
      </c>
      <c r="Q508" s="1" t="s">
        <v>5688</v>
      </c>
      <c r="R508" s="1" t="s">
        <v>4188</v>
      </c>
      <c r="S508" s="8">
        <v>46023</v>
      </c>
      <c r="T508" s="1">
        <v>3</v>
      </c>
      <c r="U508" s="1" t="s">
        <v>4189</v>
      </c>
      <c r="V508" s="1" t="s">
        <v>4190</v>
      </c>
      <c r="W508" s="1" t="s">
        <v>4191</v>
      </c>
    </row>
    <row r="509" spans="1:23" x14ac:dyDescent="0.25">
      <c r="A509" s="1" t="s">
        <v>48</v>
      </c>
      <c r="B509" s="1" t="s">
        <v>2197</v>
      </c>
      <c r="C509" s="1" t="s">
        <v>50</v>
      </c>
      <c r="D509" s="1" t="s">
        <v>2844</v>
      </c>
      <c r="E509" s="1" t="s">
        <v>2845</v>
      </c>
      <c r="F509" s="22" t="s">
        <v>3</v>
      </c>
      <c r="G509" s="1" t="s">
        <v>5</v>
      </c>
      <c r="H509" s="1" t="s">
        <v>20</v>
      </c>
      <c r="I509" s="1" t="s">
        <v>25</v>
      </c>
      <c r="J509" s="1" t="s">
        <v>8</v>
      </c>
      <c r="K509" s="1" t="s">
        <v>11</v>
      </c>
      <c r="L509" s="1" t="s">
        <v>11</v>
      </c>
      <c r="M509" s="1" t="s">
        <v>53</v>
      </c>
      <c r="N509" s="11" t="s">
        <v>188</v>
      </c>
      <c r="O509" s="1" t="s">
        <v>6037</v>
      </c>
      <c r="P509" s="1" t="s">
        <v>581</v>
      </c>
      <c r="Q509" s="1" t="s">
        <v>5672</v>
      </c>
      <c r="R509" s="7" t="s">
        <v>4192</v>
      </c>
      <c r="S509" s="8">
        <v>45691</v>
      </c>
      <c r="T509" s="1">
        <v>3</v>
      </c>
      <c r="U509" s="1" t="s">
        <v>1407</v>
      </c>
      <c r="V509" s="1" t="s">
        <v>1407</v>
      </c>
      <c r="W509" s="1" t="s">
        <v>1407</v>
      </c>
    </row>
    <row r="510" spans="1:23" x14ac:dyDescent="0.25">
      <c r="A510" s="1" t="s">
        <v>48</v>
      </c>
      <c r="B510" s="1" t="s">
        <v>2198</v>
      </c>
      <c r="C510" s="1" t="s">
        <v>50</v>
      </c>
      <c r="D510" s="1" t="s">
        <v>2846</v>
      </c>
      <c r="E510" s="1" t="s">
        <v>2847</v>
      </c>
      <c r="F510" s="22" t="s">
        <v>6085</v>
      </c>
      <c r="G510" s="1" t="s">
        <v>5</v>
      </c>
      <c r="H510" s="1" t="s">
        <v>20</v>
      </c>
      <c r="I510" s="1" t="s">
        <v>26</v>
      </c>
      <c r="J510" s="1" t="s">
        <v>9</v>
      </c>
      <c r="K510" s="1" t="s">
        <v>13</v>
      </c>
      <c r="L510" s="1" t="s">
        <v>13</v>
      </c>
      <c r="M510" s="1" t="s">
        <v>53</v>
      </c>
      <c r="N510" s="11" t="s">
        <v>188</v>
      </c>
      <c r="O510" s="1" t="s">
        <v>6037</v>
      </c>
      <c r="P510" s="1" t="s">
        <v>126</v>
      </c>
      <c r="Q510" s="1" t="s">
        <v>5689</v>
      </c>
      <c r="R510" s="1" t="s">
        <v>4193</v>
      </c>
      <c r="S510" s="8">
        <v>45663</v>
      </c>
      <c r="T510" s="1">
        <v>3</v>
      </c>
      <c r="U510" s="1" t="s">
        <v>4194</v>
      </c>
      <c r="V510" s="1" t="s">
        <v>4195</v>
      </c>
      <c r="W510" s="1" t="s">
        <v>4196</v>
      </c>
    </row>
    <row r="511" spans="1:23" x14ac:dyDescent="0.25">
      <c r="A511" s="1" t="s">
        <v>48</v>
      </c>
      <c r="B511" s="1" t="s">
        <v>2199</v>
      </c>
      <c r="C511" s="1" t="s">
        <v>50</v>
      </c>
      <c r="D511" s="1" t="s">
        <v>2848</v>
      </c>
      <c r="E511" s="1" t="s">
        <v>2849</v>
      </c>
      <c r="F511" s="22" t="s">
        <v>6085</v>
      </c>
      <c r="G511" s="1" t="s">
        <v>5</v>
      </c>
      <c r="H511" s="1" t="s">
        <v>24</v>
      </c>
      <c r="I511" s="1" t="s">
        <v>26</v>
      </c>
      <c r="J511" s="1" t="s">
        <v>9</v>
      </c>
      <c r="K511" s="1" t="s">
        <v>14</v>
      </c>
      <c r="L511" s="1" t="s">
        <v>14</v>
      </c>
      <c r="M511" s="1" t="s">
        <v>53</v>
      </c>
      <c r="N511" s="11" t="s">
        <v>2091</v>
      </c>
      <c r="O511" s="1" t="s">
        <v>6037</v>
      </c>
      <c r="P511" s="1" t="s">
        <v>60</v>
      </c>
      <c r="Q511" s="1" t="s">
        <v>5690</v>
      </c>
      <c r="R511" s="1" t="s">
        <v>4197</v>
      </c>
      <c r="S511" s="8">
        <v>46023</v>
      </c>
      <c r="T511" s="1">
        <v>3</v>
      </c>
      <c r="U511" s="1" t="s">
        <v>4198</v>
      </c>
      <c r="V511" s="1" t="s">
        <v>4199</v>
      </c>
      <c r="W511" s="1" t="s">
        <v>4200</v>
      </c>
    </row>
    <row r="512" spans="1:23" x14ac:dyDescent="0.25">
      <c r="A512" s="1" t="s">
        <v>48</v>
      </c>
      <c r="B512" s="1" t="s">
        <v>2200</v>
      </c>
      <c r="C512" s="1" t="s">
        <v>50</v>
      </c>
      <c r="D512" s="1" t="s">
        <v>2850</v>
      </c>
      <c r="E512" s="1" t="s">
        <v>2851</v>
      </c>
      <c r="F512" s="22" t="s">
        <v>3</v>
      </c>
      <c r="G512" s="1" t="s">
        <v>1383</v>
      </c>
      <c r="H512" s="1" t="s">
        <v>20</v>
      </c>
      <c r="I512" s="1" t="s">
        <v>26</v>
      </c>
      <c r="J512" s="1" t="s">
        <v>8</v>
      </c>
      <c r="K512" s="1" t="s">
        <v>10</v>
      </c>
      <c r="L512" s="1" t="s">
        <v>10</v>
      </c>
      <c r="M512" s="1" t="s">
        <v>53</v>
      </c>
      <c r="N512" s="1" t="s">
        <v>1014</v>
      </c>
      <c r="O512" s="1" t="s">
        <v>6037</v>
      </c>
      <c r="P512" s="1" t="s">
        <v>4201</v>
      </c>
      <c r="Q512" s="1" t="s">
        <v>5691</v>
      </c>
      <c r="R512" s="7" t="s">
        <v>4202</v>
      </c>
      <c r="S512" s="8">
        <v>46090</v>
      </c>
      <c r="T512" s="1">
        <v>1</v>
      </c>
      <c r="U512" s="1" t="s">
        <v>4203</v>
      </c>
      <c r="V512" s="1" t="s">
        <v>1388</v>
      </c>
      <c r="W512" s="1" t="s">
        <v>1388</v>
      </c>
    </row>
    <row r="513" spans="1:23" x14ac:dyDescent="0.25">
      <c r="A513" s="1" t="s">
        <v>48</v>
      </c>
      <c r="B513" s="1" t="s">
        <v>2201</v>
      </c>
      <c r="C513" s="1" t="s">
        <v>50</v>
      </c>
      <c r="D513" s="1" t="s">
        <v>2852</v>
      </c>
      <c r="E513" s="1" t="s">
        <v>2853</v>
      </c>
      <c r="F513" s="22" t="s">
        <v>6085</v>
      </c>
      <c r="G513" s="1" t="s">
        <v>5</v>
      </c>
      <c r="H513" s="1" t="s">
        <v>20</v>
      </c>
      <c r="I513" s="1" t="s">
        <v>26</v>
      </c>
      <c r="J513" s="1" t="s">
        <v>9</v>
      </c>
      <c r="K513" s="1" t="s">
        <v>16</v>
      </c>
      <c r="L513" s="1" t="s">
        <v>16</v>
      </c>
      <c r="M513" s="1" t="s">
        <v>53</v>
      </c>
      <c r="N513" s="11" t="s">
        <v>188</v>
      </c>
      <c r="O513" s="1" t="s">
        <v>6037</v>
      </c>
      <c r="P513" s="1" t="s">
        <v>306</v>
      </c>
      <c r="Q513" s="1" t="s">
        <v>5692</v>
      </c>
      <c r="R513" s="1" t="s">
        <v>4204</v>
      </c>
      <c r="S513" s="8">
        <v>46041</v>
      </c>
      <c r="T513" s="1">
        <v>2</v>
      </c>
      <c r="U513" s="1" t="s">
        <v>4205</v>
      </c>
      <c r="V513" s="1" t="s">
        <v>4205</v>
      </c>
      <c r="W513" s="1" t="s">
        <v>1388</v>
      </c>
    </row>
    <row r="514" spans="1:23" x14ac:dyDescent="0.25">
      <c r="A514" s="1" t="s">
        <v>48</v>
      </c>
      <c r="B514" s="1" t="s">
        <v>2202</v>
      </c>
      <c r="C514" s="1" t="s">
        <v>50</v>
      </c>
      <c r="D514" s="1" t="s">
        <v>2854</v>
      </c>
      <c r="E514" s="1" t="s">
        <v>2855</v>
      </c>
      <c r="F514" s="22" t="s">
        <v>6085</v>
      </c>
      <c r="G514" s="1" t="s">
        <v>1383</v>
      </c>
      <c r="H514" s="1" t="s">
        <v>24</v>
      </c>
      <c r="I514" s="1" t="s">
        <v>25</v>
      </c>
      <c r="J514" s="1" t="s">
        <v>8</v>
      </c>
      <c r="K514" s="1" t="s">
        <v>11</v>
      </c>
      <c r="L514" s="1" t="s">
        <v>11</v>
      </c>
      <c r="M514" s="1" t="s">
        <v>53</v>
      </c>
      <c r="N514" s="11" t="s">
        <v>188</v>
      </c>
      <c r="O514" s="1" t="s">
        <v>6037</v>
      </c>
      <c r="P514" s="1" t="s">
        <v>4206</v>
      </c>
      <c r="Q514" s="1" t="s">
        <v>5693</v>
      </c>
      <c r="R514" s="1" t="s">
        <v>4207</v>
      </c>
      <c r="S514" s="8">
        <v>46113</v>
      </c>
      <c r="T514" s="1">
        <v>1</v>
      </c>
      <c r="U514" s="1" t="s">
        <v>4208</v>
      </c>
      <c r="V514" s="1" t="s">
        <v>1388</v>
      </c>
      <c r="W514" s="1" t="s">
        <v>1388</v>
      </c>
    </row>
    <row r="515" spans="1:23" x14ac:dyDescent="0.25">
      <c r="A515" s="1" t="s">
        <v>48</v>
      </c>
      <c r="B515" s="1" t="s">
        <v>2203</v>
      </c>
      <c r="C515" s="1" t="s">
        <v>50</v>
      </c>
      <c r="D515" s="1" t="s">
        <v>2856</v>
      </c>
      <c r="E515" s="1" t="s">
        <v>2857</v>
      </c>
      <c r="F515" s="22" t="s">
        <v>6085</v>
      </c>
      <c r="G515" s="1" t="s">
        <v>6</v>
      </c>
      <c r="H515" s="1" t="s">
        <v>24</v>
      </c>
      <c r="I515" s="1" t="s">
        <v>25</v>
      </c>
      <c r="J515" s="1" t="s">
        <v>9</v>
      </c>
      <c r="K515" s="1" t="s">
        <v>13</v>
      </c>
      <c r="L515" s="1" t="s">
        <v>13</v>
      </c>
      <c r="M515" s="1" t="s">
        <v>53</v>
      </c>
      <c r="N515" s="11" t="s">
        <v>188</v>
      </c>
      <c r="O515" s="1" t="s">
        <v>6037</v>
      </c>
      <c r="P515" s="1" t="s">
        <v>60</v>
      </c>
      <c r="Q515" s="1" t="s">
        <v>5694</v>
      </c>
      <c r="R515" s="1" t="s">
        <v>734</v>
      </c>
      <c r="S515" s="8">
        <v>45684</v>
      </c>
      <c r="T515" s="1">
        <v>1</v>
      </c>
      <c r="U515" s="1" t="s">
        <v>4209</v>
      </c>
      <c r="V515" s="1" t="s">
        <v>1388</v>
      </c>
      <c r="W515" s="1" t="s">
        <v>1388</v>
      </c>
    </row>
    <row r="516" spans="1:23" x14ac:dyDescent="0.25">
      <c r="A516" s="1" t="s">
        <v>48</v>
      </c>
      <c r="B516" s="1" t="s">
        <v>2204</v>
      </c>
      <c r="C516" s="1" t="s">
        <v>50</v>
      </c>
      <c r="D516" s="1" t="s">
        <v>2858</v>
      </c>
      <c r="E516" s="1" t="s">
        <v>2859</v>
      </c>
      <c r="F516" s="22" t="s">
        <v>6085</v>
      </c>
      <c r="G516" s="1" t="s">
        <v>6</v>
      </c>
      <c r="H516" s="1" t="s">
        <v>20</v>
      </c>
      <c r="I516" s="1" t="s">
        <v>25</v>
      </c>
      <c r="J516" s="1" t="s">
        <v>9</v>
      </c>
      <c r="K516" s="1" t="s">
        <v>14</v>
      </c>
      <c r="L516" s="1" t="s">
        <v>14</v>
      </c>
      <c r="M516" s="1" t="s">
        <v>53</v>
      </c>
      <c r="N516" s="11" t="s">
        <v>188</v>
      </c>
      <c r="O516" s="1" t="s">
        <v>6037</v>
      </c>
      <c r="P516" s="1" t="s">
        <v>247</v>
      </c>
      <c r="Q516" s="1" t="s">
        <v>1479</v>
      </c>
      <c r="R516" s="1" t="s">
        <v>4210</v>
      </c>
      <c r="S516" s="8">
        <v>46027</v>
      </c>
      <c r="T516" s="1">
        <v>1</v>
      </c>
      <c r="U516" s="1" t="s">
        <v>4211</v>
      </c>
      <c r="V516" s="1" t="s">
        <v>1388</v>
      </c>
      <c r="W516" s="1" t="s">
        <v>1388</v>
      </c>
    </row>
    <row r="517" spans="1:23" x14ac:dyDescent="0.25">
      <c r="A517" s="1" t="s">
        <v>48</v>
      </c>
      <c r="B517" s="1" t="s">
        <v>2205</v>
      </c>
      <c r="C517" s="1" t="s">
        <v>50</v>
      </c>
      <c r="D517" s="1" t="s">
        <v>2860</v>
      </c>
      <c r="E517" s="1" t="s">
        <v>2861</v>
      </c>
      <c r="F517" s="22" t="s">
        <v>6085</v>
      </c>
      <c r="G517" s="1" t="s">
        <v>5</v>
      </c>
      <c r="H517" s="1" t="s">
        <v>24</v>
      </c>
      <c r="I517" s="1" t="s">
        <v>26</v>
      </c>
      <c r="J517" s="1" t="s">
        <v>9</v>
      </c>
      <c r="K517" s="1" t="s">
        <v>13</v>
      </c>
      <c r="L517" s="1" t="s">
        <v>13</v>
      </c>
      <c r="M517" s="1" t="s">
        <v>53</v>
      </c>
      <c r="N517" s="11" t="s">
        <v>188</v>
      </c>
      <c r="O517" s="1" t="s">
        <v>6037</v>
      </c>
      <c r="P517" s="1" t="s">
        <v>60</v>
      </c>
      <c r="Q517" s="1" t="s">
        <v>5695</v>
      </c>
      <c r="R517" s="1" t="s">
        <v>4212</v>
      </c>
      <c r="S517" s="8">
        <v>46023</v>
      </c>
      <c r="T517" s="1">
        <v>2</v>
      </c>
      <c r="U517" s="1" t="s">
        <v>4213</v>
      </c>
      <c r="V517" s="1" t="s">
        <v>4214</v>
      </c>
      <c r="W517" s="1" t="s">
        <v>1388</v>
      </c>
    </row>
    <row r="518" spans="1:23" x14ac:dyDescent="0.25">
      <c r="A518" s="1" t="s">
        <v>48</v>
      </c>
      <c r="B518" s="1" t="s">
        <v>2206</v>
      </c>
      <c r="C518" s="1" t="s">
        <v>50</v>
      </c>
      <c r="D518" s="1" t="s">
        <v>2862</v>
      </c>
      <c r="E518" s="1" t="s">
        <v>2863</v>
      </c>
      <c r="F518" s="22" t="s">
        <v>6085</v>
      </c>
      <c r="G518" s="1" t="s">
        <v>5</v>
      </c>
      <c r="H518" s="1" t="s">
        <v>21</v>
      </c>
      <c r="I518" s="1" t="s">
        <v>26</v>
      </c>
      <c r="J518" s="1" t="s">
        <v>9</v>
      </c>
      <c r="K518" s="1" t="s">
        <v>13</v>
      </c>
      <c r="L518" s="1" t="s">
        <v>13</v>
      </c>
      <c r="M518" s="1" t="s">
        <v>53</v>
      </c>
      <c r="N518" s="11" t="s">
        <v>188</v>
      </c>
      <c r="O518" s="1" t="s">
        <v>6037</v>
      </c>
      <c r="P518" s="1" t="s">
        <v>60</v>
      </c>
      <c r="Q518" s="1" t="s">
        <v>5696</v>
      </c>
      <c r="R518" s="1" t="s">
        <v>4215</v>
      </c>
      <c r="S518" s="8">
        <v>45323</v>
      </c>
      <c r="T518" s="1">
        <v>2</v>
      </c>
      <c r="U518" s="1" t="s">
        <v>4216</v>
      </c>
      <c r="V518" s="1" t="s">
        <v>4217</v>
      </c>
      <c r="W518" s="1" t="s">
        <v>1388</v>
      </c>
    </row>
    <row r="519" spans="1:23" x14ac:dyDescent="0.25">
      <c r="A519" s="1" t="s">
        <v>48</v>
      </c>
      <c r="B519" s="1" t="s">
        <v>2207</v>
      </c>
      <c r="C519" s="1" t="s">
        <v>50</v>
      </c>
      <c r="D519" s="1" t="s">
        <v>2864</v>
      </c>
      <c r="E519" s="1" t="s">
        <v>2865</v>
      </c>
      <c r="F519" s="22" t="s">
        <v>6085</v>
      </c>
      <c r="G519" s="1" t="s">
        <v>7</v>
      </c>
      <c r="H519" s="1" t="s">
        <v>20</v>
      </c>
      <c r="I519" s="1" t="s">
        <v>25</v>
      </c>
      <c r="J519" s="1" t="s">
        <v>9</v>
      </c>
      <c r="K519" s="1" t="s">
        <v>13</v>
      </c>
      <c r="L519" s="1" t="s">
        <v>13</v>
      </c>
      <c r="M519" s="1" t="s">
        <v>53</v>
      </c>
      <c r="N519" s="11" t="s">
        <v>188</v>
      </c>
      <c r="O519" s="1" t="s">
        <v>6037</v>
      </c>
      <c r="P519" s="1" t="s">
        <v>126</v>
      </c>
      <c r="Q519" s="1" t="s">
        <v>5697</v>
      </c>
      <c r="R519" s="1" t="s">
        <v>4218</v>
      </c>
      <c r="S519" s="8">
        <v>46027</v>
      </c>
      <c r="T519" s="1">
        <v>2</v>
      </c>
      <c r="U519" s="1" t="s">
        <v>4219</v>
      </c>
      <c r="V519" s="1" t="s">
        <v>4220</v>
      </c>
      <c r="W519" s="1" t="s">
        <v>1388</v>
      </c>
    </row>
    <row r="520" spans="1:23" x14ac:dyDescent="0.25">
      <c r="A520" s="1" t="s">
        <v>48</v>
      </c>
      <c r="B520" s="1" t="s">
        <v>2208</v>
      </c>
      <c r="C520" s="1" t="s">
        <v>50</v>
      </c>
      <c r="D520" s="1" t="s">
        <v>2866</v>
      </c>
      <c r="E520" s="1" t="s">
        <v>2867</v>
      </c>
      <c r="F520" s="22" t="s">
        <v>6085</v>
      </c>
      <c r="G520" s="1" t="s">
        <v>6</v>
      </c>
      <c r="H520" s="1" t="s">
        <v>20</v>
      </c>
      <c r="I520" s="1" t="s">
        <v>26</v>
      </c>
      <c r="J520" s="1" t="s">
        <v>9</v>
      </c>
      <c r="K520" s="1" t="s">
        <v>13</v>
      </c>
      <c r="L520" s="1" t="s">
        <v>13</v>
      </c>
      <c r="M520" s="1" t="s">
        <v>53</v>
      </c>
      <c r="N520" s="11" t="s">
        <v>188</v>
      </c>
      <c r="O520" s="1" t="s">
        <v>6037</v>
      </c>
      <c r="P520" s="1" t="s">
        <v>60</v>
      </c>
      <c r="Q520" s="1" t="s">
        <v>5698</v>
      </c>
      <c r="R520" s="1" t="s">
        <v>4221</v>
      </c>
      <c r="S520" s="8">
        <v>46027</v>
      </c>
      <c r="T520" s="1">
        <v>1</v>
      </c>
      <c r="U520" s="1" t="s">
        <v>4106</v>
      </c>
      <c r="V520" s="1" t="s">
        <v>1388</v>
      </c>
      <c r="W520" s="1" t="s">
        <v>1388</v>
      </c>
    </row>
    <row r="521" spans="1:23" x14ac:dyDescent="0.25">
      <c r="A521" s="1" t="s">
        <v>48</v>
      </c>
      <c r="B521" s="1" t="s">
        <v>2209</v>
      </c>
      <c r="C521" s="1" t="s">
        <v>50</v>
      </c>
      <c r="D521" s="1" t="s">
        <v>2868</v>
      </c>
      <c r="E521" s="1" t="s">
        <v>2869</v>
      </c>
      <c r="F521" s="22" t="s">
        <v>6085</v>
      </c>
      <c r="G521" s="1" t="s">
        <v>6</v>
      </c>
      <c r="H521" s="1" t="s">
        <v>24</v>
      </c>
      <c r="I521" s="1" t="s">
        <v>25</v>
      </c>
      <c r="J521" s="1" t="s">
        <v>9</v>
      </c>
      <c r="K521" s="1" t="s">
        <v>10</v>
      </c>
      <c r="L521" s="1" t="s">
        <v>16</v>
      </c>
      <c r="M521" s="1" t="s">
        <v>53</v>
      </c>
      <c r="N521" s="11" t="s">
        <v>188</v>
      </c>
      <c r="O521" s="2" t="s">
        <v>6235</v>
      </c>
      <c r="P521" s="1" t="s">
        <v>60</v>
      </c>
      <c r="Q521" s="18" t="s">
        <v>5699</v>
      </c>
      <c r="R521" s="1" t="s">
        <v>4222</v>
      </c>
      <c r="S521" s="8">
        <v>46054</v>
      </c>
      <c r="T521" s="1">
        <v>2</v>
      </c>
      <c r="U521" s="1" t="s">
        <v>411</v>
      </c>
      <c r="V521" s="1" t="s">
        <v>411</v>
      </c>
      <c r="W521" s="1" t="s">
        <v>1388</v>
      </c>
    </row>
    <row r="522" spans="1:23" x14ac:dyDescent="0.25">
      <c r="A522" s="1" t="s">
        <v>48</v>
      </c>
      <c r="B522" s="1" t="s">
        <v>2210</v>
      </c>
      <c r="C522" s="1" t="s">
        <v>50</v>
      </c>
      <c r="D522" s="1" t="s">
        <v>2870</v>
      </c>
      <c r="E522" s="1" t="s">
        <v>2871</v>
      </c>
      <c r="F522" s="22" t="s">
        <v>6085</v>
      </c>
      <c r="G522" s="1" t="s">
        <v>6</v>
      </c>
      <c r="H522" s="1" t="s">
        <v>24</v>
      </c>
      <c r="I522" s="1" t="s">
        <v>26</v>
      </c>
      <c r="J522" s="1" t="s">
        <v>9</v>
      </c>
      <c r="K522" s="1" t="s">
        <v>10</v>
      </c>
      <c r="L522" s="1" t="s">
        <v>16</v>
      </c>
      <c r="M522" s="1" t="s">
        <v>53</v>
      </c>
      <c r="N522" s="11" t="s">
        <v>188</v>
      </c>
      <c r="O522" s="1" t="s">
        <v>6037</v>
      </c>
      <c r="P522" s="1" t="s">
        <v>60</v>
      </c>
      <c r="Q522" s="18" t="s">
        <v>5516</v>
      </c>
      <c r="R522" s="1" t="s">
        <v>4223</v>
      </c>
      <c r="S522" s="8">
        <v>46023</v>
      </c>
      <c r="T522" s="1">
        <v>2</v>
      </c>
      <c r="U522" s="1" t="s">
        <v>4224</v>
      </c>
      <c r="V522" s="1" t="s">
        <v>4224</v>
      </c>
      <c r="W522" s="1" t="s">
        <v>1388</v>
      </c>
    </row>
    <row r="523" spans="1:23" x14ac:dyDescent="0.25">
      <c r="A523" s="1" t="s">
        <v>48</v>
      </c>
      <c r="B523" s="1" t="s">
        <v>2211</v>
      </c>
      <c r="C523" s="1" t="s">
        <v>50</v>
      </c>
      <c r="D523" s="1" t="s">
        <v>2872</v>
      </c>
      <c r="E523" s="1" t="s">
        <v>2873</v>
      </c>
      <c r="F523" s="22" t="s">
        <v>6085</v>
      </c>
      <c r="G523" s="1" t="s">
        <v>6</v>
      </c>
      <c r="H523" s="1" t="s">
        <v>24</v>
      </c>
      <c r="I523" s="1" t="s">
        <v>26</v>
      </c>
      <c r="J523" s="1" t="s">
        <v>9</v>
      </c>
      <c r="K523" s="1" t="s">
        <v>16</v>
      </c>
      <c r="L523" s="1" t="s">
        <v>16</v>
      </c>
      <c r="M523" s="1" t="s">
        <v>53</v>
      </c>
      <c r="N523" s="11" t="s">
        <v>188</v>
      </c>
      <c r="O523" s="1" t="s">
        <v>6037</v>
      </c>
      <c r="P523" s="1" t="s">
        <v>1456</v>
      </c>
      <c r="Q523" s="1" t="s">
        <v>5700</v>
      </c>
      <c r="R523" s="1" t="s">
        <v>4225</v>
      </c>
      <c r="S523" s="8">
        <v>45670</v>
      </c>
      <c r="T523" s="1">
        <v>1</v>
      </c>
      <c r="U523" s="1" t="s">
        <v>4226</v>
      </c>
      <c r="V523" s="1" t="s">
        <v>1388</v>
      </c>
      <c r="W523" s="1" t="s">
        <v>1388</v>
      </c>
    </row>
    <row r="524" spans="1:23" x14ac:dyDescent="0.25">
      <c r="A524" s="1" t="s">
        <v>48</v>
      </c>
      <c r="B524" s="1" t="s">
        <v>2212</v>
      </c>
      <c r="C524" s="1" t="s">
        <v>50</v>
      </c>
      <c r="D524" s="1" t="s">
        <v>2874</v>
      </c>
      <c r="E524" s="1" t="s">
        <v>2875</v>
      </c>
      <c r="F524" s="22" t="s">
        <v>3</v>
      </c>
      <c r="G524" s="1" t="s">
        <v>5</v>
      </c>
      <c r="H524" s="1" t="s">
        <v>20</v>
      </c>
      <c r="I524" s="1" t="s">
        <v>25</v>
      </c>
      <c r="J524" s="1" t="s">
        <v>9</v>
      </c>
      <c r="K524" s="1" t="s">
        <v>15</v>
      </c>
      <c r="L524" s="1" t="s">
        <v>15</v>
      </c>
      <c r="M524" s="1" t="s">
        <v>53</v>
      </c>
      <c r="N524" s="11" t="s">
        <v>188</v>
      </c>
      <c r="O524" s="1" t="s">
        <v>6037</v>
      </c>
      <c r="P524" s="1" t="s">
        <v>267</v>
      </c>
      <c r="Q524" s="1" t="s">
        <v>5701</v>
      </c>
      <c r="R524" s="7" t="s">
        <v>4227</v>
      </c>
      <c r="S524" s="8">
        <v>46027</v>
      </c>
      <c r="T524" s="1">
        <v>3</v>
      </c>
      <c r="U524" s="1" t="s">
        <v>4228</v>
      </c>
      <c r="V524" s="1" t="s">
        <v>4229</v>
      </c>
      <c r="W524" s="1" t="s">
        <v>4034</v>
      </c>
    </row>
    <row r="525" spans="1:23" x14ac:dyDescent="0.25">
      <c r="A525" s="1" t="s">
        <v>48</v>
      </c>
      <c r="B525" s="1" t="s">
        <v>2213</v>
      </c>
      <c r="C525" s="1" t="s">
        <v>50</v>
      </c>
      <c r="D525" s="1" t="s">
        <v>2876</v>
      </c>
      <c r="E525" s="1" t="s">
        <v>2877</v>
      </c>
      <c r="F525" s="22" t="s">
        <v>6085</v>
      </c>
      <c r="G525" s="1" t="s">
        <v>5</v>
      </c>
      <c r="H525" s="1" t="s">
        <v>24</v>
      </c>
      <c r="I525" s="1" t="s">
        <v>25</v>
      </c>
      <c r="J525" s="1" t="s">
        <v>9</v>
      </c>
      <c r="K525" s="1" t="s">
        <v>16</v>
      </c>
      <c r="L525" s="1" t="s">
        <v>16</v>
      </c>
      <c r="M525" s="1" t="s">
        <v>53</v>
      </c>
      <c r="N525" s="11" t="s">
        <v>188</v>
      </c>
      <c r="O525" s="1" t="s">
        <v>6037</v>
      </c>
      <c r="P525" s="1" t="s">
        <v>126</v>
      </c>
      <c r="Q525" s="1" t="s">
        <v>5702</v>
      </c>
      <c r="R525" s="1" t="s">
        <v>4230</v>
      </c>
      <c r="S525" s="8">
        <v>46037</v>
      </c>
      <c r="T525" s="1">
        <v>3</v>
      </c>
      <c r="U525" s="1" t="s">
        <v>4231</v>
      </c>
      <c r="V525" s="1" t="s">
        <v>4232</v>
      </c>
      <c r="W525" s="1" t="s">
        <v>4233</v>
      </c>
    </row>
    <row r="526" spans="1:23" x14ac:dyDescent="0.25">
      <c r="A526" s="1" t="s">
        <v>48</v>
      </c>
      <c r="B526" s="1" t="s">
        <v>2214</v>
      </c>
      <c r="C526" s="1" t="s">
        <v>50</v>
      </c>
      <c r="D526" s="1" t="s">
        <v>2878</v>
      </c>
      <c r="E526" s="1" t="s">
        <v>2879</v>
      </c>
      <c r="F526" s="22" t="s">
        <v>6085</v>
      </c>
      <c r="G526" s="1" t="s">
        <v>5</v>
      </c>
      <c r="H526" s="1" t="s">
        <v>20</v>
      </c>
      <c r="I526" s="1" t="s">
        <v>25</v>
      </c>
      <c r="J526" s="1" t="s">
        <v>9</v>
      </c>
      <c r="K526" s="1" t="s">
        <v>15</v>
      </c>
      <c r="L526" s="1" t="s">
        <v>15</v>
      </c>
      <c r="M526" s="1" t="s">
        <v>53</v>
      </c>
      <c r="N526" s="11" t="s">
        <v>188</v>
      </c>
      <c r="O526" s="1" t="s">
        <v>6037</v>
      </c>
      <c r="P526" s="1" t="s">
        <v>1456</v>
      </c>
      <c r="Q526" s="1" t="s">
        <v>5703</v>
      </c>
      <c r="R526" s="1" t="s">
        <v>4234</v>
      </c>
      <c r="S526" s="8">
        <v>45778</v>
      </c>
      <c r="T526" s="1">
        <v>3</v>
      </c>
      <c r="U526" s="1" t="s">
        <v>4235</v>
      </c>
      <c r="V526" s="1" t="s">
        <v>1388</v>
      </c>
      <c r="W526" s="1" t="s">
        <v>1388</v>
      </c>
    </row>
    <row r="527" spans="1:23" x14ac:dyDescent="0.25">
      <c r="A527" s="1" t="s">
        <v>48</v>
      </c>
      <c r="B527" s="1" t="s">
        <v>2215</v>
      </c>
      <c r="C527" s="1" t="s">
        <v>50</v>
      </c>
      <c r="D527" s="1" t="s">
        <v>2880</v>
      </c>
      <c r="E527" s="1" t="s">
        <v>2881</v>
      </c>
      <c r="F527" s="22" t="s">
        <v>6085</v>
      </c>
      <c r="G527" s="1" t="s">
        <v>6</v>
      </c>
      <c r="H527" s="1" t="s">
        <v>20</v>
      </c>
      <c r="I527" s="1" t="s">
        <v>26</v>
      </c>
      <c r="J527" s="1" t="s">
        <v>9</v>
      </c>
      <c r="K527" s="1" t="s">
        <v>16</v>
      </c>
      <c r="L527" s="1" t="s">
        <v>16</v>
      </c>
      <c r="M527" s="1" t="s">
        <v>53</v>
      </c>
      <c r="N527" s="11" t="s">
        <v>188</v>
      </c>
      <c r="O527" s="1" t="s">
        <v>6037</v>
      </c>
      <c r="P527" s="1" t="s">
        <v>247</v>
      </c>
      <c r="Q527" s="1" t="s">
        <v>5704</v>
      </c>
      <c r="R527" s="1" t="s">
        <v>4236</v>
      </c>
      <c r="S527" s="8">
        <v>46054</v>
      </c>
      <c r="T527" s="1">
        <v>2</v>
      </c>
      <c r="U527" s="1" t="s">
        <v>3895</v>
      </c>
      <c r="V527" s="1" t="s">
        <v>4237</v>
      </c>
      <c r="W527" s="1" t="s">
        <v>1388</v>
      </c>
    </row>
    <row r="528" spans="1:23" x14ac:dyDescent="0.25">
      <c r="A528" s="1" t="s">
        <v>48</v>
      </c>
      <c r="B528" s="1" t="s">
        <v>2216</v>
      </c>
      <c r="C528" s="1" t="s">
        <v>50</v>
      </c>
      <c r="D528" s="1" t="s">
        <v>2882</v>
      </c>
      <c r="E528" s="1" t="s">
        <v>2883</v>
      </c>
      <c r="F528" s="22" t="s">
        <v>6085</v>
      </c>
      <c r="G528" s="1" t="s">
        <v>6</v>
      </c>
      <c r="H528" s="1" t="s">
        <v>20</v>
      </c>
      <c r="I528" s="1" t="s">
        <v>25</v>
      </c>
      <c r="J528" s="1" t="s">
        <v>9</v>
      </c>
      <c r="K528" s="1" t="s">
        <v>14</v>
      </c>
      <c r="L528" s="1" t="s">
        <v>14</v>
      </c>
      <c r="M528" s="1" t="s">
        <v>53</v>
      </c>
      <c r="N528" s="11" t="s">
        <v>188</v>
      </c>
      <c r="O528" s="1" t="s">
        <v>6037</v>
      </c>
      <c r="P528" s="1" t="s">
        <v>247</v>
      </c>
      <c r="Q528" s="1" t="s">
        <v>5705</v>
      </c>
      <c r="R528" s="1" t="s">
        <v>4238</v>
      </c>
      <c r="S528" s="8">
        <v>46057</v>
      </c>
      <c r="T528" s="1">
        <v>1</v>
      </c>
      <c r="U528" s="1" t="s">
        <v>4187</v>
      </c>
      <c r="V528" s="1" t="s">
        <v>1388</v>
      </c>
      <c r="W528" s="1" t="s">
        <v>1388</v>
      </c>
    </row>
    <row r="529" spans="1:23" x14ac:dyDescent="0.25">
      <c r="A529" s="1" t="s">
        <v>48</v>
      </c>
      <c r="B529" s="1" t="s">
        <v>2217</v>
      </c>
      <c r="C529" s="1" t="s">
        <v>50</v>
      </c>
      <c r="D529" s="1" t="s">
        <v>2884</v>
      </c>
      <c r="E529" s="1" t="s">
        <v>2885</v>
      </c>
      <c r="F529" s="22" t="s">
        <v>6085</v>
      </c>
      <c r="G529" s="1" t="s">
        <v>5</v>
      </c>
      <c r="H529" s="1" t="s">
        <v>20</v>
      </c>
      <c r="I529" s="1" t="s">
        <v>25</v>
      </c>
      <c r="J529" s="1" t="s">
        <v>9</v>
      </c>
      <c r="K529" s="1" t="s">
        <v>19</v>
      </c>
      <c r="L529" s="1" t="s">
        <v>19</v>
      </c>
      <c r="M529" s="1" t="s">
        <v>53</v>
      </c>
      <c r="N529" s="11" t="s">
        <v>188</v>
      </c>
      <c r="O529" s="1" t="s">
        <v>6037</v>
      </c>
      <c r="P529" s="1" t="s">
        <v>458</v>
      </c>
      <c r="Q529" s="1" t="s">
        <v>5706</v>
      </c>
      <c r="R529" s="1" t="s">
        <v>4239</v>
      </c>
      <c r="S529" s="8">
        <v>46055</v>
      </c>
      <c r="T529" s="1">
        <v>3</v>
      </c>
      <c r="U529" s="1" t="s">
        <v>170</v>
      </c>
      <c r="V529" s="1" t="s">
        <v>170</v>
      </c>
      <c r="W529" s="1" t="s">
        <v>170</v>
      </c>
    </row>
    <row r="530" spans="1:23" x14ac:dyDescent="0.25">
      <c r="A530" s="1" t="s">
        <v>48</v>
      </c>
      <c r="B530" s="1" t="s">
        <v>2218</v>
      </c>
      <c r="C530" s="1" t="s">
        <v>50</v>
      </c>
      <c r="D530" s="1" t="s">
        <v>2886</v>
      </c>
      <c r="E530" s="1" t="s">
        <v>2887</v>
      </c>
      <c r="F530" s="22" t="s">
        <v>6085</v>
      </c>
      <c r="G530" s="1" t="s">
        <v>5</v>
      </c>
      <c r="H530" s="1" t="s">
        <v>20</v>
      </c>
      <c r="I530" s="1" t="s">
        <v>26</v>
      </c>
      <c r="J530" s="1" t="s">
        <v>9</v>
      </c>
      <c r="K530" s="1" t="s">
        <v>13</v>
      </c>
      <c r="L530" s="1" t="s">
        <v>16</v>
      </c>
      <c r="M530" s="1" t="s">
        <v>53</v>
      </c>
      <c r="N530" s="11" t="s">
        <v>188</v>
      </c>
      <c r="O530" s="1" t="s">
        <v>6037</v>
      </c>
      <c r="P530" s="1" t="s">
        <v>343</v>
      </c>
      <c r="Q530" s="1" t="s">
        <v>5707</v>
      </c>
      <c r="R530" s="1" t="s">
        <v>4240</v>
      </c>
      <c r="S530" s="8">
        <v>46055</v>
      </c>
      <c r="T530" s="1">
        <v>3</v>
      </c>
      <c r="U530" s="1" t="s">
        <v>4241</v>
      </c>
      <c r="V530" s="1" t="s">
        <v>4242</v>
      </c>
      <c r="W530" s="1" t="s">
        <v>4243</v>
      </c>
    </row>
    <row r="531" spans="1:23" x14ac:dyDescent="0.25">
      <c r="A531" s="1" t="s">
        <v>48</v>
      </c>
      <c r="B531" s="1" t="s">
        <v>2219</v>
      </c>
      <c r="C531" s="1" t="s">
        <v>50</v>
      </c>
      <c r="D531" s="1" t="s">
        <v>2888</v>
      </c>
      <c r="E531" s="1" t="s">
        <v>2889</v>
      </c>
      <c r="F531" s="22" t="s">
        <v>6085</v>
      </c>
      <c r="G531" s="1" t="s">
        <v>5</v>
      </c>
      <c r="H531" s="1" t="s">
        <v>21</v>
      </c>
      <c r="I531" s="1" t="s">
        <v>25</v>
      </c>
      <c r="J531" s="1" t="s">
        <v>9</v>
      </c>
      <c r="K531" s="1" t="s">
        <v>16</v>
      </c>
      <c r="L531" s="1" t="s">
        <v>16</v>
      </c>
      <c r="M531" s="1" t="s">
        <v>53</v>
      </c>
      <c r="N531" s="11" t="s">
        <v>188</v>
      </c>
      <c r="O531" s="1" t="s">
        <v>6037</v>
      </c>
      <c r="P531" s="1" t="s">
        <v>306</v>
      </c>
      <c r="Q531" s="1" t="s">
        <v>5708</v>
      </c>
      <c r="R531" s="1" t="s">
        <v>4244</v>
      </c>
      <c r="S531" s="8">
        <v>46023</v>
      </c>
      <c r="T531" s="1">
        <v>3</v>
      </c>
      <c r="U531" s="1" t="s">
        <v>4245</v>
      </c>
      <c r="V531" s="1" t="s">
        <v>4246</v>
      </c>
      <c r="W531" s="1" t="s">
        <v>4247</v>
      </c>
    </row>
    <row r="532" spans="1:23" x14ac:dyDescent="0.25">
      <c r="A532" s="1" t="s">
        <v>48</v>
      </c>
      <c r="B532" s="1" t="s">
        <v>2220</v>
      </c>
      <c r="C532" s="1" t="s">
        <v>50</v>
      </c>
      <c r="D532" s="1" t="s">
        <v>2890</v>
      </c>
      <c r="E532" s="1" t="s">
        <v>2891</v>
      </c>
      <c r="F532" s="22" t="s">
        <v>6085</v>
      </c>
      <c r="G532" s="1" t="s">
        <v>5</v>
      </c>
      <c r="H532" s="1" t="s">
        <v>24</v>
      </c>
      <c r="I532" s="1" t="s">
        <v>26</v>
      </c>
      <c r="J532" s="1" t="s">
        <v>9</v>
      </c>
      <c r="K532" s="1" t="s">
        <v>10</v>
      </c>
      <c r="L532" s="1" t="s">
        <v>16</v>
      </c>
      <c r="M532" s="1" t="s">
        <v>53</v>
      </c>
      <c r="N532" s="11" t="s">
        <v>188</v>
      </c>
      <c r="O532" s="1" t="s">
        <v>6037</v>
      </c>
      <c r="P532" s="1" t="s">
        <v>4248</v>
      </c>
      <c r="Q532" s="20" t="s">
        <v>5709</v>
      </c>
      <c r="R532" s="1" t="s">
        <v>4249</v>
      </c>
      <c r="S532" s="8">
        <v>45406</v>
      </c>
      <c r="T532" s="1">
        <v>2</v>
      </c>
      <c r="U532" s="1" t="s">
        <v>4250</v>
      </c>
      <c r="V532" s="1" t="s">
        <v>4250</v>
      </c>
      <c r="W532" s="1" t="s">
        <v>1388</v>
      </c>
    </row>
    <row r="533" spans="1:23" x14ac:dyDescent="0.25">
      <c r="A533" s="1" t="s">
        <v>48</v>
      </c>
      <c r="B533" s="1" t="s">
        <v>2221</v>
      </c>
      <c r="C533" s="1" t="s">
        <v>50</v>
      </c>
      <c r="D533" s="1" t="s">
        <v>2892</v>
      </c>
      <c r="E533" s="1" t="s">
        <v>2893</v>
      </c>
      <c r="F533" s="22" t="s">
        <v>6085</v>
      </c>
      <c r="G533" s="1" t="s">
        <v>6</v>
      </c>
      <c r="H533" s="1" t="s">
        <v>24</v>
      </c>
      <c r="I533" s="1" t="s">
        <v>25</v>
      </c>
      <c r="J533" s="1" t="s">
        <v>9</v>
      </c>
      <c r="K533" s="1" t="s">
        <v>13</v>
      </c>
      <c r="L533" s="1" t="s">
        <v>13</v>
      </c>
      <c r="M533" s="1" t="s">
        <v>53</v>
      </c>
      <c r="N533" s="11" t="s">
        <v>188</v>
      </c>
      <c r="O533" s="1" t="s">
        <v>6037</v>
      </c>
      <c r="P533" s="1" t="s">
        <v>126</v>
      </c>
      <c r="Q533" s="1" t="s">
        <v>5710</v>
      </c>
      <c r="R533" s="1" t="s">
        <v>4251</v>
      </c>
      <c r="S533" s="8">
        <v>45672</v>
      </c>
      <c r="T533" s="1">
        <v>1</v>
      </c>
      <c r="U533" s="1" t="s">
        <v>4252</v>
      </c>
      <c r="V533" s="1" t="s">
        <v>1388</v>
      </c>
      <c r="W533" s="1" t="s">
        <v>1388</v>
      </c>
    </row>
    <row r="534" spans="1:23" x14ac:dyDescent="0.25">
      <c r="A534" s="1" t="s">
        <v>48</v>
      </c>
      <c r="B534" s="1" t="s">
        <v>2222</v>
      </c>
      <c r="C534" s="1" t="s">
        <v>50</v>
      </c>
      <c r="D534" s="1" t="s">
        <v>2894</v>
      </c>
      <c r="E534" s="1" t="s">
        <v>2895</v>
      </c>
      <c r="F534" s="22" t="s">
        <v>6085</v>
      </c>
      <c r="G534" s="1" t="s">
        <v>6</v>
      </c>
      <c r="H534" s="1" t="s">
        <v>20</v>
      </c>
      <c r="I534" s="1" t="s">
        <v>25</v>
      </c>
      <c r="J534" s="1" t="s">
        <v>9</v>
      </c>
      <c r="K534" s="1" t="s">
        <v>16</v>
      </c>
      <c r="L534" s="1" t="s">
        <v>16</v>
      </c>
      <c r="M534" s="1" t="s">
        <v>53</v>
      </c>
      <c r="N534" s="11" t="s">
        <v>188</v>
      </c>
      <c r="O534" s="1" t="s">
        <v>6037</v>
      </c>
      <c r="P534" s="1" t="s">
        <v>60</v>
      </c>
      <c r="Q534" s="1" t="s">
        <v>5711</v>
      </c>
      <c r="R534" s="1" t="s">
        <v>4253</v>
      </c>
      <c r="S534" s="8">
        <v>46034</v>
      </c>
      <c r="T534" s="1">
        <v>2</v>
      </c>
      <c r="U534" s="1" t="s">
        <v>4254</v>
      </c>
      <c r="V534" s="1" t="s">
        <v>4255</v>
      </c>
      <c r="W534" s="1" t="s">
        <v>1388</v>
      </c>
    </row>
    <row r="535" spans="1:23" x14ac:dyDescent="0.25">
      <c r="A535" s="1" t="s">
        <v>48</v>
      </c>
      <c r="B535" s="1" t="s">
        <v>2223</v>
      </c>
      <c r="C535" s="1" t="s">
        <v>50</v>
      </c>
      <c r="D535" s="1" t="s">
        <v>2896</v>
      </c>
      <c r="E535" s="1" t="s">
        <v>2897</v>
      </c>
      <c r="F535" s="22" t="s">
        <v>6085</v>
      </c>
      <c r="G535" s="1" t="s">
        <v>5</v>
      </c>
      <c r="H535" s="1" t="s">
        <v>20</v>
      </c>
      <c r="I535" s="1" t="s">
        <v>26</v>
      </c>
      <c r="J535" s="1" t="s">
        <v>9</v>
      </c>
      <c r="K535" s="1" t="s">
        <v>14</v>
      </c>
      <c r="L535" s="1" t="s">
        <v>14</v>
      </c>
      <c r="M535" s="1" t="s">
        <v>53</v>
      </c>
      <c r="N535" s="11" t="s">
        <v>188</v>
      </c>
      <c r="O535" s="1" t="s">
        <v>6037</v>
      </c>
      <c r="P535" s="1" t="s">
        <v>4043</v>
      </c>
      <c r="Q535" s="1" t="s">
        <v>5712</v>
      </c>
      <c r="R535" s="1" t="s">
        <v>4256</v>
      </c>
      <c r="S535" s="8">
        <v>46054</v>
      </c>
      <c r="T535" s="1">
        <v>3</v>
      </c>
      <c r="U535" s="1" t="s">
        <v>4257</v>
      </c>
      <c r="V535" s="1" t="s">
        <v>4258</v>
      </c>
      <c r="W535" s="1" t="s">
        <v>4258</v>
      </c>
    </row>
    <row r="536" spans="1:23" x14ac:dyDescent="0.25">
      <c r="A536" s="1" t="s">
        <v>48</v>
      </c>
      <c r="B536" s="1" t="s">
        <v>2224</v>
      </c>
      <c r="C536" s="1" t="s">
        <v>50</v>
      </c>
      <c r="D536" s="1" t="s">
        <v>2898</v>
      </c>
      <c r="E536" s="1" t="s">
        <v>2899</v>
      </c>
      <c r="F536" s="22" t="s">
        <v>6085</v>
      </c>
      <c r="G536" s="1" t="s">
        <v>6</v>
      </c>
      <c r="H536" s="1" t="s">
        <v>24</v>
      </c>
      <c r="I536" s="1" t="s">
        <v>25</v>
      </c>
      <c r="J536" s="1" t="s">
        <v>9</v>
      </c>
      <c r="K536" s="1" t="s">
        <v>13</v>
      </c>
      <c r="L536" s="1" t="s">
        <v>13</v>
      </c>
      <c r="M536" s="1" t="s">
        <v>53</v>
      </c>
      <c r="N536" s="11" t="s">
        <v>188</v>
      </c>
      <c r="O536" s="1" t="s">
        <v>6037</v>
      </c>
      <c r="P536" s="1" t="s">
        <v>126</v>
      </c>
      <c r="Q536" s="1" t="s">
        <v>5713</v>
      </c>
      <c r="R536" s="1" t="s">
        <v>4259</v>
      </c>
      <c r="S536" s="8">
        <v>45678</v>
      </c>
      <c r="T536" s="1">
        <v>1</v>
      </c>
      <c r="U536" s="1" t="s">
        <v>682</v>
      </c>
      <c r="V536" s="1" t="s">
        <v>1388</v>
      </c>
      <c r="W536" s="1" t="s">
        <v>1388</v>
      </c>
    </row>
    <row r="537" spans="1:23" x14ac:dyDescent="0.25">
      <c r="A537" s="1" t="s">
        <v>48</v>
      </c>
      <c r="B537" s="1" t="s">
        <v>2225</v>
      </c>
      <c r="C537" s="1" t="s">
        <v>50</v>
      </c>
      <c r="D537" s="1" t="s">
        <v>2900</v>
      </c>
      <c r="E537" s="1" t="s">
        <v>2901</v>
      </c>
      <c r="F537" s="22" t="s">
        <v>6085</v>
      </c>
      <c r="G537" s="1" t="s">
        <v>5</v>
      </c>
      <c r="H537" s="1" t="s">
        <v>20</v>
      </c>
      <c r="I537" s="1" t="s">
        <v>26</v>
      </c>
      <c r="J537" s="1" t="s">
        <v>9</v>
      </c>
      <c r="K537" s="1" t="s">
        <v>19</v>
      </c>
      <c r="L537" s="1" t="s">
        <v>19</v>
      </c>
      <c r="M537" s="1" t="s">
        <v>53</v>
      </c>
      <c r="N537" s="11" t="s">
        <v>2091</v>
      </c>
      <c r="O537" s="1" t="s">
        <v>6037</v>
      </c>
      <c r="P537" s="1" t="s">
        <v>247</v>
      </c>
      <c r="Q537" s="1" t="s">
        <v>5714</v>
      </c>
      <c r="R537" s="1" t="s">
        <v>4260</v>
      </c>
      <c r="S537" s="8">
        <v>46035</v>
      </c>
      <c r="T537" s="1">
        <v>3</v>
      </c>
      <c r="U537" s="1" t="s">
        <v>152</v>
      </c>
      <c r="V537" s="1" t="s">
        <v>4261</v>
      </c>
      <c r="W537" s="1" t="s">
        <v>4261</v>
      </c>
    </row>
    <row r="538" spans="1:23" x14ac:dyDescent="0.25">
      <c r="A538" s="1" t="s">
        <v>48</v>
      </c>
      <c r="B538" s="1" t="s">
        <v>2226</v>
      </c>
      <c r="C538" s="1" t="s">
        <v>50</v>
      </c>
      <c r="D538" s="1" t="s">
        <v>2902</v>
      </c>
      <c r="E538" s="1" t="s">
        <v>2903</v>
      </c>
      <c r="F538" s="22" t="s">
        <v>6085</v>
      </c>
      <c r="G538" s="1" t="s">
        <v>7</v>
      </c>
      <c r="H538" s="1" t="s">
        <v>24</v>
      </c>
      <c r="I538" s="1" t="s">
        <v>25</v>
      </c>
      <c r="J538" s="1" t="s">
        <v>9</v>
      </c>
      <c r="K538" s="1" t="s">
        <v>14</v>
      </c>
      <c r="L538" s="1" t="s">
        <v>14</v>
      </c>
      <c r="M538" s="1" t="s">
        <v>53</v>
      </c>
      <c r="N538" s="11" t="s">
        <v>188</v>
      </c>
      <c r="O538" s="1" t="s">
        <v>6037</v>
      </c>
      <c r="P538" s="1" t="s">
        <v>126</v>
      </c>
      <c r="Q538" s="1" t="s">
        <v>5715</v>
      </c>
      <c r="R538" s="1" t="s">
        <v>4262</v>
      </c>
      <c r="S538" s="8">
        <v>46037</v>
      </c>
      <c r="T538" s="1">
        <v>2</v>
      </c>
      <c r="U538" s="1" t="s">
        <v>1804</v>
      </c>
      <c r="V538" s="1" t="s">
        <v>893</v>
      </c>
      <c r="W538" s="1" t="s">
        <v>1388</v>
      </c>
    </row>
    <row r="539" spans="1:23" x14ac:dyDescent="0.25">
      <c r="A539" s="1" t="s">
        <v>48</v>
      </c>
      <c r="B539" s="1" t="s">
        <v>2227</v>
      </c>
      <c r="C539" s="1" t="s">
        <v>50</v>
      </c>
      <c r="D539" s="1" t="s">
        <v>2904</v>
      </c>
      <c r="E539" s="1" t="s">
        <v>2905</v>
      </c>
      <c r="F539" s="22" t="s">
        <v>6085</v>
      </c>
      <c r="G539" s="1" t="s">
        <v>7</v>
      </c>
      <c r="H539" s="1" t="s">
        <v>20</v>
      </c>
      <c r="I539" s="1" t="s">
        <v>26</v>
      </c>
      <c r="J539" s="1" t="s">
        <v>9</v>
      </c>
      <c r="K539" s="1" t="s">
        <v>13</v>
      </c>
      <c r="L539" s="1" t="s">
        <v>13</v>
      </c>
      <c r="M539" s="1" t="s">
        <v>53</v>
      </c>
      <c r="N539" s="11" t="s">
        <v>188</v>
      </c>
      <c r="O539" s="1" t="s">
        <v>6037</v>
      </c>
      <c r="P539" s="1" t="s">
        <v>126</v>
      </c>
      <c r="Q539" s="1" t="s">
        <v>5716</v>
      </c>
      <c r="R539" s="1" t="s">
        <v>4263</v>
      </c>
      <c r="S539" s="8">
        <v>46113</v>
      </c>
      <c r="T539" s="1">
        <v>2</v>
      </c>
      <c r="U539" s="1" t="s">
        <v>4264</v>
      </c>
      <c r="V539" s="1" t="s">
        <v>4265</v>
      </c>
      <c r="W539" s="1" t="s">
        <v>1388</v>
      </c>
    </row>
    <row r="540" spans="1:23" x14ac:dyDescent="0.25">
      <c r="A540" s="1" t="s">
        <v>48</v>
      </c>
      <c r="B540" s="1" t="s">
        <v>2228</v>
      </c>
      <c r="C540" s="1" t="s">
        <v>50</v>
      </c>
      <c r="D540" s="1" t="s">
        <v>2906</v>
      </c>
      <c r="E540" s="1" t="s">
        <v>2907</v>
      </c>
      <c r="F540" s="22" t="s">
        <v>6085</v>
      </c>
      <c r="G540" s="1" t="s">
        <v>6</v>
      </c>
      <c r="H540" s="1" t="s">
        <v>20</v>
      </c>
      <c r="I540" s="1" t="s">
        <v>25</v>
      </c>
      <c r="J540" s="1" t="s">
        <v>9</v>
      </c>
      <c r="K540" s="1" t="s">
        <v>16</v>
      </c>
      <c r="L540" s="1" t="s">
        <v>16</v>
      </c>
      <c r="M540" s="1" t="s">
        <v>53</v>
      </c>
      <c r="N540" s="11" t="s">
        <v>188</v>
      </c>
      <c r="O540" s="1" t="s">
        <v>6037</v>
      </c>
      <c r="P540" s="1" t="s">
        <v>267</v>
      </c>
      <c r="Q540" s="1" t="s">
        <v>5717</v>
      </c>
      <c r="R540" s="1" t="s">
        <v>4266</v>
      </c>
      <c r="S540" s="8">
        <v>46055</v>
      </c>
      <c r="T540" s="1">
        <v>1</v>
      </c>
      <c r="U540" s="1" t="s">
        <v>291</v>
      </c>
      <c r="V540" s="1" t="s">
        <v>1388</v>
      </c>
      <c r="W540" s="1" t="s">
        <v>1388</v>
      </c>
    </row>
    <row r="541" spans="1:23" x14ac:dyDescent="0.25">
      <c r="A541" s="1" t="s">
        <v>48</v>
      </c>
      <c r="B541" s="1" t="s">
        <v>2229</v>
      </c>
      <c r="C541" s="1" t="s">
        <v>50</v>
      </c>
      <c r="D541" s="1" t="s">
        <v>2908</v>
      </c>
      <c r="E541" s="1" t="s">
        <v>2909</v>
      </c>
      <c r="F541" s="22" t="s">
        <v>6085</v>
      </c>
      <c r="G541" s="1" t="s">
        <v>5</v>
      </c>
      <c r="H541" s="1" t="s">
        <v>24</v>
      </c>
      <c r="I541" s="1" t="s">
        <v>25</v>
      </c>
      <c r="J541" s="1" t="s">
        <v>9</v>
      </c>
      <c r="K541" s="1" t="s">
        <v>19</v>
      </c>
      <c r="L541" s="1" t="s">
        <v>19</v>
      </c>
      <c r="M541" s="1" t="s">
        <v>53</v>
      </c>
      <c r="N541" s="11" t="s">
        <v>188</v>
      </c>
      <c r="O541" s="1" t="s">
        <v>6037</v>
      </c>
      <c r="P541" s="1" t="s">
        <v>107</v>
      </c>
      <c r="Q541" s="1" t="s">
        <v>5718</v>
      </c>
      <c r="R541" s="1" t="s">
        <v>4267</v>
      </c>
      <c r="S541" s="8">
        <v>45848</v>
      </c>
      <c r="T541" s="1">
        <v>2</v>
      </c>
      <c r="U541" s="1" t="s">
        <v>4268</v>
      </c>
      <c r="V541" s="1" t="s">
        <v>4269</v>
      </c>
      <c r="W541" s="1" t="s">
        <v>4270</v>
      </c>
    </row>
    <row r="542" spans="1:23" x14ac:dyDescent="0.25">
      <c r="A542" s="1" t="s">
        <v>48</v>
      </c>
      <c r="B542" s="1" t="s">
        <v>2230</v>
      </c>
      <c r="C542" s="1" t="s">
        <v>50</v>
      </c>
      <c r="D542" s="1" t="s">
        <v>2910</v>
      </c>
      <c r="E542" s="1" t="s">
        <v>2911</v>
      </c>
      <c r="F542" s="22" t="s">
        <v>6085</v>
      </c>
      <c r="G542" s="1" t="s">
        <v>6</v>
      </c>
      <c r="H542" s="1" t="s">
        <v>20</v>
      </c>
      <c r="I542" s="1" t="s">
        <v>26</v>
      </c>
      <c r="J542" s="1" t="s">
        <v>9</v>
      </c>
      <c r="K542" s="1" t="s">
        <v>14</v>
      </c>
      <c r="L542" s="1" t="s">
        <v>14</v>
      </c>
      <c r="M542" s="1" t="s">
        <v>53</v>
      </c>
      <c r="N542" s="11" t="s">
        <v>188</v>
      </c>
      <c r="O542" s="1" t="s">
        <v>6037</v>
      </c>
      <c r="P542" s="1" t="s">
        <v>126</v>
      </c>
      <c r="Q542" s="1" t="s">
        <v>5719</v>
      </c>
      <c r="R542" s="1" t="s">
        <v>4271</v>
      </c>
      <c r="S542" s="8">
        <v>46055</v>
      </c>
      <c r="T542" s="1">
        <v>2</v>
      </c>
      <c r="U542" s="1" t="s">
        <v>4163</v>
      </c>
      <c r="V542" s="1" t="s">
        <v>4163</v>
      </c>
      <c r="W542" s="1" t="s">
        <v>1388</v>
      </c>
    </row>
    <row r="543" spans="1:23" x14ac:dyDescent="0.25">
      <c r="A543" s="1" t="s">
        <v>48</v>
      </c>
      <c r="B543" s="1" t="s">
        <v>2231</v>
      </c>
      <c r="C543" s="1" t="s">
        <v>50</v>
      </c>
      <c r="D543" s="1" t="s">
        <v>2912</v>
      </c>
      <c r="E543" s="1" t="s">
        <v>2913</v>
      </c>
      <c r="F543" s="22" t="s">
        <v>6085</v>
      </c>
      <c r="G543" s="1" t="s">
        <v>6</v>
      </c>
      <c r="H543" s="1" t="s">
        <v>20</v>
      </c>
      <c r="I543" s="1" t="s">
        <v>25</v>
      </c>
      <c r="J543" s="1" t="s">
        <v>9</v>
      </c>
      <c r="K543" s="1" t="s">
        <v>14</v>
      </c>
      <c r="L543" s="1" t="s">
        <v>14</v>
      </c>
      <c r="M543" s="1" t="s">
        <v>53</v>
      </c>
      <c r="N543" s="11" t="s">
        <v>188</v>
      </c>
      <c r="O543" s="1" t="s">
        <v>6037</v>
      </c>
      <c r="P543" s="1" t="s">
        <v>707</v>
      </c>
      <c r="Q543" s="1" t="s">
        <v>5720</v>
      </c>
      <c r="R543" s="1" t="s">
        <v>4272</v>
      </c>
      <c r="S543" s="8">
        <v>46055</v>
      </c>
      <c r="T543" s="1">
        <v>2</v>
      </c>
      <c r="U543" s="1" t="s">
        <v>4273</v>
      </c>
      <c r="V543" s="1" t="s">
        <v>4274</v>
      </c>
      <c r="W543" s="1" t="s">
        <v>1388</v>
      </c>
    </row>
    <row r="544" spans="1:23" x14ac:dyDescent="0.25">
      <c r="A544" s="1" t="s">
        <v>48</v>
      </c>
      <c r="B544" s="1" t="s">
        <v>2232</v>
      </c>
      <c r="C544" s="1" t="s">
        <v>50</v>
      </c>
      <c r="D544" s="1" t="s">
        <v>2914</v>
      </c>
      <c r="E544" s="1" t="s">
        <v>2915</v>
      </c>
      <c r="F544" s="22" t="s">
        <v>6085</v>
      </c>
      <c r="G544" s="1" t="s">
        <v>6</v>
      </c>
      <c r="H544" s="1" t="s">
        <v>24</v>
      </c>
      <c r="I544" s="1" t="s">
        <v>26</v>
      </c>
      <c r="J544" s="1" t="s">
        <v>9</v>
      </c>
      <c r="K544" s="1" t="s">
        <v>10</v>
      </c>
      <c r="L544" s="1" t="s">
        <v>16</v>
      </c>
      <c r="M544" s="1" t="s">
        <v>53</v>
      </c>
      <c r="N544" s="11" t="s">
        <v>188</v>
      </c>
      <c r="O544" s="1" t="s">
        <v>6037</v>
      </c>
      <c r="P544" s="1" t="s">
        <v>126</v>
      </c>
      <c r="Q544" s="19" t="s">
        <v>5721</v>
      </c>
      <c r="R544" s="1" t="s">
        <v>4275</v>
      </c>
      <c r="S544" s="8">
        <v>46023</v>
      </c>
      <c r="T544" s="1">
        <v>2</v>
      </c>
      <c r="U544" s="1" t="s">
        <v>411</v>
      </c>
      <c r="V544" s="1" t="s">
        <v>302</v>
      </c>
      <c r="W544" s="1" t="s">
        <v>1388</v>
      </c>
    </row>
    <row r="545" spans="1:23" x14ac:dyDescent="0.25">
      <c r="A545" s="1" t="s">
        <v>48</v>
      </c>
      <c r="B545" s="1" t="s">
        <v>2233</v>
      </c>
      <c r="C545" s="1" t="s">
        <v>50</v>
      </c>
      <c r="D545" s="1" t="s">
        <v>2916</v>
      </c>
      <c r="E545" s="1" t="s">
        <v>2917</v>
      </c>
      <c r="F545" s="22" t="s">
        <v>6085</v>
      </c>
      <c r="G545" s="1" t="s">
        <v>7</v>
      </c>
      <c r="H545" s="1" t="s">
        <v>20</v>
      </c>
      <c r="I545" s="1" t="s">
        <v>26</v>
      </c>
      <c r="J545" s="1" t="s">
        <v>9</v>
      </c>
      <c r="K545" s="1" t="s">
        <v>16</v>
      </c>
      <c r="L545" s="1" t="s">
        <v>16</v>
      </c>
      <c r="M545" s="1" t="s">
        <v>53</v>
      </c>
      <c r="N545" s="11" t="s">
        <v>2091</v>
      </c>
      <c r="O545" s="1" t="s">
        <v>6037</v>
      </c>
      <c r="P545" s="1" t="s">
        <v>1801</v>
      </c>
      <c r="Q545" s="1" t="s">
        <v>5546</v>
      </c>
      <c r="R545" s="1" t="s">
        <v>4276</v>
      </c>
      <c r="S545" s="8">
        <v>46055</v>
      </c>
      <c r="T545" s="1">
        <v>2</v>
      </c>
      <c r="U545" s="1" t="s">
        <v>4277</v>
      </c>
      <c r="V545" s="1" t="s">
        <v>4278</v>
      </c>
      <c r="W545" s="1" t="s">
        <v>1388</v>
      </c>
    </row>
    <row r="546" spans="1:23" x14ac:dyDescent="0.25">
      <c r="A546" s="1" t="s">
        <v>48</v>
      </c>
      <c r="B546" s="1" t="s">
        <v>2234</v>
      </c>
      <c r="C546" s="1" t="s">
        <v>50</v>
      </c>
      <c r="D546" s="1" t="s">
        <v>2918</v>
      </c>
      <c r="E546" s="1" t="s">
        <v>2919</v>
      </c>
      <c r="F546" s="22" t="s">
        <v>6085</v>
      </c>
      <c r="G546" s="1" t="s">
        <v>7</v>
      </c>
      <c r="H546" s="1" t="s">
        <v>20</v>
      </c>
      <c r="I546" s="1" t="s">
        <v>25</v>
      </c>
      <c r="J546" s="1" t="s">
        <v>9</v>
      </c>
      <c r="K546" s="1" t="s">
        <v>13</v>
      </c>
      <c r="L546" s="1" t="s">
        <v>13</v>
      </c>
      <c r="M546" s="1" t="s">
        <v>53</v>
      </c>
      <c r="N546" s="11" t="s">
        <v>2091</v>
      </c>
      <c r="O546" s="1" t="s">
        <v>6037</v>
      </c>
      <c r="P546" s="1" t="s">
        <v>247</v>
      </c>
      <c r="Q546" s="1" t="s">
        <v>734</v>
      </c>
      <c r="R546" s="1" t="s">
        <v>4279</v>
      </c>
      <c r="S546" s="8">
        <v>46023</v>
      </c>
      <c r="T546" s="1">
        <v>3</v>
      </c>
      <c r="U546" s="1" t="s">
        <v>4280</v>
      </c>
      <c r="V546" s="1" t="s">
        <v>4281</v>
      </c>
      <c r="W546" s="1" t="s">
        <v>4281</v>
      </c>
    </row>
    <row r="547" spans="1:23" x14ac:dyDescent="0.25">
      <c r="A547" s="1" t="s">
        <v>48</v>
      </c>
      <c r="B547" s="1" t="s">
        <v>2235</v>
      </c>
      <c r="C547" s="1" t="s">
        <v>50</v>
      </c>
      <c r="D547" s="1" t="s">
        <v>2920</v>
      </c>
      <c r="E547" s="1" t="s">
        <v>2921</v>
      </c>
      <c r="F547" s="22" t="s">
        <v>6085</v>
      </c>
      <c r="G547" s="1" t="s">
        <v>6</v>
      </c>
      <c r="H547" s="1" t="s">
        <v>20</v>
      </c>
      <c r="I547" s="1" t="s">
        <v>25</v>
      </c>
      <c r="J547" s="1" t="s">
        <v>9</v>
      </c>
      <c r="K547" s="1" t="s">
        <v>14</v>
      </c>
      <c r="L547" s="1" t="s">
        <v>14</v>
      </c>
      <c r="M547" s="1" t="s">
        <v>53</v>
      </c>
      <c r="N547" s="11" t="s">
        <v>2091</v>
      </c>
      <c r="O547" s="1" t="s">
        <v>6037</v>
      </c>
      <c r="P547" s="1" t="s">
        <v>60</v>
      </c>
      <c r="Q547" s="1" t="s">
        <v>5722</v>
      </c>
      <c r="R547" s="1" t="s">
        <v>4282</v>
      </c>
      <c r="S547" s="8">
        <v>46055</v>
      </c>
      <c r="T547" s="1">
        <v>2</v>
      </c>
      <c r="U547" s="1" t="s">
        <v>3775</v>
      </c>
      <c r="V547" s="1" t="s">
        <v>201</v>
      </c>
      <c r="W547" s="1" t="s">
        <v>1388</v>
      </c>
    </row>
    <row r="548" spans="1:23" x14ac:dyDescent="0.25">
      <c r="A548" s="1" t="s">
        <v>48</v>
      </c>
      <c r="B548" s="1" t="s">
        <v>2236</v>
      </c>
      <c r="C548" s="1" t="s">
        <v>50</v>
      </c>
      <c r="D548" s="1" t="s">
        <v>2922</v>
      </c>
      <c r="E548" s="1" t="s">
        <v>2923</v>
      </c>
      <c r="F548" s="22" t="s">
        <v>3</v>
      </c>
      <c r="G548" s="1" t="s">
        <v>7</v>
      </c>
      <c r="H548" s="1" t="s">
        <v>20</v>
      </c>
      <c r="I548" s="1" t="s">
        <v>26</v>
      </c>
      <c r="J548" s="1" t="s">
        <v>9</v>
      </c>
      <c r="K548" s="1" t="s">
        <v>10</v>
      </c>
      <c r="L548" s="1" t="s">
        <v>16</v>
      </c>
      <c r="M548" s="1" t="s">
        <v>53</v>
      </c>
      <c r="N548" s="1" t="s">
        <v>1013</v>
      </c>
      <c r="O548" s="1" t="s">
        <v>6037</v>
      </c>
      <c r="P548" s="1" t="s">
        <v>284</v>
      </c>
      <c r="Q548" s="1" t="s">
        <v>5723</v>
      </c>
      <c r="R548" s="7" t="s">
        <v>4283</v>
      </c>
      <c r="S548" s="8">
        <v>45658</v>
      </c>
      <c r="T548" s="1">
        <v>1</v>
      </c>
      <c r="U548" s="1" t="s">
        <v>4284</v>
      </c>
      <c r="V548" s="1" t="s">
        <v>1388</v>
      </c>
      <c r="W548" s="1" t="s">
        <v>1388</v>
      </c>
    </row>
    <row r="549" spans="1:23" x14ac:dyDescent="0.25">
      <c r="A549" s="1" t="s">
        <v>48</v>
      </c>
      <c r="B549" s="1" t="s">
        <v>2237</v>
      </c>
      <c r="C549" s="1" t="s">
        <v>50</v>
      </c>
      <c r="D549" s="1" t="s">
        <v>2924</v>
      </c>
      <c r="E549" s="1" t="s">
        <v>2925</v>
      </c>
      <c r="F549" s="22" t="s">
        <v>6085</v>
      </c>
      <c r="G549" s="1" t="s">
        <v>6</v>
      </c>
      <c r="H549" s="1" t="s">
        <v>20</v>
      </c>
      <c r="I549" s="1" t="s">
        <v>25</v>
      </c>
      <c r="J549" s="1" t="s">
        <v>9</v>
      </c>
      <c r="K549" s="1" t="s">
        <v>16</v>
      </c>
      <c r="L549" s="1" t="s">
        <v>16</v>
      </c>
      <c r="M549" s="1" t="s">
        <v>53</v>
      </c>
      <c r="N549" s="11" t="s">
        <v>188</v>
      </c>
      <c r="O549" s="1" t="s">
        <v>6235</v>
      </c>
      <c r="P549" s="1" t="s">
        <v>126</v>
      </c>
      <c r="Q549" s="1" t="s">
        <v>5724</v>
      </c>
      <c r="R549" s="1" t="s">
        <v>4285</v>
      </c>
      <c r="S549" s="8">
        <v>46053</v>
      </c>
      <c r="T549" s="1">
        <v>2</v>
      </c>
      <c r="U549" s="1" t="s">
        <v>302</v>
      </c>
      <c r="V549" s="1" t="s">
        <v>302</v>
      </c>
      <c r="W549" s="1" t="s">
        <v>1388</v>
      </c>
    </row>
    <row r="550" spans="1:23" x14ac:dyDescent="0.25">
      <c r="A550" s="1" t="s">
        <v>48</v>
      </c>
      <c r="B550" s="1" t="s">
        <v>2238</v>
      </c>
      <c r="C550" s="1" t="s">
        <v>50</v>
      </c>
      <c r="D550" s="1" t="s">
        <v>2926</v>
      </c>
      <c r="E550" s="1" t="s">
        <v>2927</v>
      </c>
      <c r="F550" s="22" t="s">
        <v>6085</v>
      </c>
      <c r="G550" s="1" t="s">
        <v>6</v>
      </c>
      <c r="H550" s="1" t="s">
        <v>24</v>
      </c>
      <c r="I550" s="1" t="s">
        <v>25</v>
      </c>
      <c r="J550" s="1" t="s">
        <v>9</v>
      </c>
      <c r="K550" s="1" t="s">
        <v>14</v>
      </c>
      <c r="L550" s="1" t="s">
        <v>14</v>
      </c>
      <c r="M550" s="1" t="s">
        <v>53</v>
      </c>
      <c r="N550" s="11" t="s">
        <v>2091</v>
      </c>
      <c r="O550" s="1" t="s">
        <v>6037</v>
      </c>
      <c r="P550" s="1" t="s">
        <v>4286</v>
      </c>
      <c r="Q550" s="1" t="s">
        <v>5367</v>
      </c>
      <c r="R550" s="1" t="s">
        <v>4287</v>
      </c>
      <c r="S550" s="8">
        <v>46069</v>
      </c>
      <c r="T550" s="1">
        <v>2</v>
      </c>
      <c r="U550" s="1" t="s">
        <v>4288</v>
      </c>
      <c r="V550" s="1" t="s">
        <v>4289</v>
      </c>
      <c r="W550" s="1" t="s">
        <v>1388</v>
      </c>
    </row>
    <row r="551" spans="1:23" x14ac:dyDescent="0.25">
      <c r="A551" s="1" t="s">
        <v>48</v>
      </c>
      <c r="B551" s="1" t="s">
        <v>2239</v>
      </c>
      <c r="C551" s="1" t="s">
        <v>50</v>
      </c>
      <c r="D551" s="1" t="s">
        <v>2928</v>
      </c>
      <c r="E551" s="1" t="s">
        <v>2929</v>
      </c>
      <c r="F551" s="22" t="s">
        <v>6085</v>
      </c>
      <c r="G551" s="1" t="s">
        <v>6</v>
      </c>
      <c r="H551" s="1" t="s">
        <v>20</v>
      </c>
      <c r="I551" s="1" t="s">
        <v>25</v>
      </c>
      <c r="J551" s="1" t="s">
        <v>9</v>
      </c>
      <c r="K551" s="1" t="s">
        <v>13</v>
      </c>
      <c r="L551" s="1" t="s">
        <v>13</v>
      </c>
      <c r="M551" s="1" t="s">
        <v>53</v>
      </c>
      <c r="N551" s="11" t="s">
        <v>188</v>
      </c>
      <c r="O551" s="1" t="s">
        <v>6037</v>
      </c>
      <c r="P551" s="1" t="s">
        <v>4290</v>
      </c>
      <c r="Q551" s="1" t="s">
        <v>5541</v>
      </c>
      <c r="R551" s="1" t="s">
        <v>4291</v>
      </c>
      <c r="S551" s="8">
        <v>46024</v>
      </c>
      <c r="T551" s="1">
        <v>2</v>
      </c>
      <c r="U551" s="1" t="s">
        <v>201</v>
      </c>
      <c r="V551" s="1" t="s">
        <v>201</v>
      </c>
      <c r="W551" s="1" t="s">
        <v>1388</v>
      </c>
    </row>
    <row r="552" spans="1:23" x14ac:dyDescent="0.25">
      <c r="A552" s="1" t="s">
        <v>48</v>
      </c>
      <c r="B552" s="1" t="s">
        <v>2240</v>
      </c>
      <c r="C552" s="1" t="s">
        <v>50</v>
      </c>
      <c r="D552" s="1" t="s">
        <v>2930</v>
      </c>
      <c r="E552" s="1" t="s">
        <v>2931</v>
      </c>
      <c r="F552" s="22" t="s">
        <v>6085</v>
      </c>
      <c r="G552" s="1" t="s">
        <v>6</v>
      </c>
      <c r="H552" s="1" t="s">
        <v>24</v>
      </c>
      <c r="I552" s="1" t="s">
        <v>26</v>
      </c>
      <c r="J552" s="1" t="s">
        <v>9</v>
      </c>
      <c r="K552" s="1" t="s">
        <v>16</v>
      </c>
      <c r="L552" s="1" t="s">
        <v>16</v>
      </c>
      <c r="M552" s="1" t="s">
        <v>53</v>
      </c>
      <c r="N552" s="11" t="s">
        <v>2091</v>
      </c>
      <c r="O552" s="1" t="s">
        <v>6037</v>
      </c>
      <c r="P552" s="1" t="s">
        <v>247</v>
      </c>
      <c r="Q552" s="1" t="s">
        <v>5281</v>
      </c>
      <c r="R552" s="1" t="s">
        <v>4292</v>
      </c>
      <c r="S552" s="8">
        <v>46023</v>
      </c>
      <c r="T552" s="1">
        <v>2</v>
      </c>
      <c r="U552" s="1" t="s">
        <v>3854</v>
      </c>
      <c r="V552" s="1" t="s">
        <v>1588</v>
      </c>
      <c r="W552" s="1" t="s">
        <v>1388</v>
      </c>
    </row>
    <row r="553" spans="1:23" x14ac:dyDescent="0.25">
      <c r="A553" s="1" t="s">
        <v>48</v>
      </c>
      <c r="B553" s="1" t="s">
        <v>2241</v>
      </c>
      <c r="C553" s="1" t="s">
        <v>50</v>
      </c>
      <c r="D553" s="1" t="s">
        <v>2932</v>
      </c>
      <c r="E553" s="1" t="s">
        <v>2933</v>
      </c>
      <c r="F553" s="22" t="s">
        <v>3</v>
      </c>
      <c r="G553" s="1" t="s">
        <v>5</v>
      </c>
      <c r="H553" s="1" t="s">
        <v>24</v>
      </c>
      <c r="I553" s="1" t="s">
        <v>25</v>
      </c>
      <c r="J553" s="1" t="s">
        <v>9</v>
      </c>
      <c r="K553" s="1" t="s">
        <v>11</v>
      </c>
      <c r="L553" s="1" t="s">
        <v>11</v>
      </c>
      <c r="M553" s="1" t="s">
        <v>53</v>
      </c>
      <c r="N553" s="11" t="s">
        <v>2091</v>
      </c>
      <c r="O553" s="1" t="s">
        <v>6037</v>
      </c>
      <c r="P553" s="1" t="s">
        <v>199</v>
      </c>
      <c r="Q553" s="1" t="s">
        <v>5725</v>
      </c>
      <c r="R553" s="7" t="s">
        <v>4293</v>
      </c>
      <c r="S553" s="8">
        <v>45900</v>
      </c>
      <c r="T553" s="1">
        <v>2</v>
      </c>
      <c r="U553" s="1" t="s">
        <v>3775</v>
      </c>
      <c r="V553" s="1" t="s">
        <v>3775</v>
      </c>
      <c r="W553" s="1" t="s">
        <v>1388</v>
      </c>
    </row>
    <row r="554" spans="1:23" x14ac:dyDescent="0.25">
      <c r="A554" s="1" t="s">
        <v>48</v>
      </c>
      <c r="B554" s="1" t="s">
        <v>2242</v>
      </c>
      <c r="C554" s="1" t="s">
        <v>50</v>
      </c>
      <c r="D554" s="1" t="s">
        <v>2934</v>
      </c>
      <c r="E554" s="1" t="s">
        <v>2935</v>
      </c>
      <c r="F554" s="22" t="s">
        <v>6085</v>
      </c>
      <c r="G554" s="1" t="s">
        <v>5</v>
      </c>
      <c r="H554" s="1" t="s">
        <v>22</v>
      </c>
      <c r="I554" s="1" t="s">
        <v>25</v>
      </c>
      <c r="J554" s="1" t="s">
        <v>9</v>
      </c>
      <c r="K554" s="1" t="s">
        <v>13</v>
      </c>
      <c r="L554" s="1" t="s">
        <v>13</v>
      </c>
      <c r="M554" s="1" t="s">
        <v>53</v>
      </c>
      <c r="N554" s="11" t="s">
        <v>2091</v>
      </c>
      <c r="O554" s="1" t="s">
        <v>6037</v>
      </c>
      <c r="P554" s="1" t="s">
        <v>60</v>
      </c>
      <c r="Q554" s="1" t="s">
        <v>5726</v>
      </c>
      <c r="R554" s="1" t="s">
        <v>4294</v>
      </c>
      <c r="S554" s="8">
        <v>45363</v>
      </c>
      <c r="T554" s="1">
        <v>2</v>
      </c>
      <c r="U554" s="1" t="s">
        <v>4295</v>
      </c>
      <c r="V554" s="1" t="s">
        <v>4296</v>
      </c>
      <c r="W554" s="1" t="s">
        <v>1388</v>
      </c>
    </row>
    <row r="555" spans="1:23" x14ac:dyDescent="0.25">
      <c r="A555" s="1" t="s">
        <v>48</v>
      </c>
      <c r="B555" s="1" t="s">
        <v>2243</v>
      </c>
      <c r="C555" s="1" t="s">
        <v>50</v>
      </c>
      <c r="D555" s="1" t="s">
        <v>2936</v>
      </c>
      <c r="E555" s="1" t="s">
        <v>2937</v>
      </c>
      <c r="F555" s="22" t="s">
        <v>6085</v>
      </c>
      <c r="G555" s="1" t="s">
        <v>6</v>
      </c>
      <c r="H555" s="1" t="s">
        <v>20</v>
      </c>
      <c r="I555" s="1" t="s">
        <v>25</v>
      </c>
      <c r="J555" s="1" t="s">
        <v>9</v>
      </c>
      <c r="K555" s="1" t="s">
        <v>13</v>
      </c>
      <c r="L555" s="1" t="s">
        <v>13</v>
      </c>
      <c r="M555" s="1" t="s">
        <v>53</v>
      </c>
      <c r="N555" s="11" t="s">
        <v>2091</v>
      </c>
      <c r="O555" s="1" t="s">
        <v>6037</v>
      </c>
      <c r="P555" s="1" t="s">
        <v>126</v>
      </c>
      <c r="Q555" s="1" t="s">
        <v>5727</v>
      </c>
      <c r="R555" s="1" t="s">
        <v>4297</v>
      </c>
      <c r="S555" s="8">
        <v>46054</v>
      </c>
      <c r="T555" s="1">
        <v>2</v>
      </c>
      <c r="U555" s="1" t="s">
        <v>4298</v>
      </c>
      <c r="V555" s="1" t="s">
        <v>4299</v>
      </c>
      <c r="W555" s="1" t="s">
        <v>1388</v>
      </c>
    </row>
    <row r="556" spans="1:23" x14ac:dyDescent="0.25">
      <c r="A556" s="1" t="s">
        <v>48</v>
      </c>
      <c r="B556" s="1" t="s">
        <v>2244</v>
      </c>
      <c r="C556" s="1" t="s">
        <v>50</v>
      </c>
      <c r="D556" s="1" t="s">
        <v>2938</v>
      </c>
      <c r="E556" s="1" t="s">
        <v>2939</v>
      </c>
      <c r="F556" s="22" t="s">
        <v>6085</v>
      </c>
      <c r="G556" s="1" t="s">
        <v>6</v>
      </c>
      <c r="H556" s="1" t="s">
        <v>20</v>
      </c>
      <c r="I556" s="1" t="s">
        <v>25</v>
      </c>
      <c r="J556" s="1" t="s">
        <v>9</v>
      </c>
      <c r="K556" s="1" t="s">
        <v>14</v>
      </c>
      <c r="L556" s="1" t="s">
        <v>14</v>
      </c>
      <c r="M556" s="1" t="s">
        <v>53</v>
      </c>
      <c r="N556" s="11" t="s">
        <v>188</v>
      </c>
      <c r="O556" s="1" t="s">
        <v>6037</v>
      </c>
      <c r="P556" s="1" t="s">
        <v>247</v>
      </c>
      <c r="Q556" s="1" t="s">
        <v>5728</v>
      </c>
      <c r="R556" s="1" t="s">
        <v>4300</v>
      </c>
      <c r="S556" s="8">
        <v>46055</v>
      </c>
      <c r="T556" s="1">
        <v>1</v>
      </c>
      <c r="U556" s="1" t="s">
        <v>4301</v>
      </c>
      <c r="V556" s="1" t="s">
        <v>1388</v>
      </c>
      <c r="W556" s="1" t="s">
        <v>1388</v>
      </c>
    </row>
    <row r="557" spans="1:23" x14ac:dyDescent="0.25">
      <c r="A557" s="1" t="s">
        <v>48</v>
      </c>
      <c r="B557" s="1" t="s">
        <v>2245</v>
      </c>
      <c r="C557" s="1" t="s">
        <v>50</v>
      </c>
      <c r="D557" s="1" t="s">
        <v>2940</v>
      </c>
      <c r="E557" s="1" t="s">
        <v>2941</v>
      </c>
      <c r="F557" s="22" t="s">
        <v>6085</v>
      </c>
      <c r="G557" s="1" t="s">
        <v>6</v>
      </c>
      <c r="H557" s="1" t="s">
        <v>20</v>
      </c>
      <c r="I557" s="1" t="s">
        <v>26</v>
      </c>
      <c r="J557" s="1" t="s">
        <v>8</v>
      </c>
      <c r="K557" s="1" t="s">
        <v>10</v>
      </c>
      <c r="L557" s="1" t="s">
        <v>16</v>
      </c>
      <c r="M557" s="1" t="s">
        <v>53</v>
      </c>
      <c r="N557" s="11" t="s">
        <v>188</v>
      </c>
      <c r="O557" s="1" t="s">
        <v>6037</v>
      </c>
      <c r="P557" s="1" t="s">
        <v>4302</v>
      </c>
      <c r="Q557" s="20" t="s">
        <v>5729</v>
      </c>
      <c r="R557" s="1" t="s">
        <v>4303</v>
      </c>
      <c r="S557" s="8">
        <v>46300</v>
      </c>
      <c r="T557" s="1">
        <v>1</v>
      </c>
      <c r="U557" s="1" t="s">
        <v>4304</v>
      </c>
      <c r="V557" s="1" t="s">
        <v>1388</v>
      </c>
      <c r="W557" s="1" t="s">
        <v>1388</v>
      </c>
    </row>
    <row r="558" spans="1:23" x14ac:dyDescent="0.25">
      <c r="A558" s="1" t="s">
        <v>48</v>
      </c>
      <c r="B558" s="1" t="s">
        <v>2246</v>
      </c>
      <c r="C558" s="1" t="s">
        <v>50</v>
      </c>
      <c r="D558" s="1" t="s">
        <v>2942</v>
      </c>
      <c r="E558" s="1" t="s">
        <v>2943</v>
      </c>
      <c r="F558" s="22" t="s">
        <v>6085</v>
      </c>
      <c r="G558" s="1" t="s">
        <v>7</v>
      </c>
      <c r="H558" s="1" t="s">
        <v>20</v>
      </c>
      <c r="I558" s="1" t="s">
        <v>25</v>
      </c>
      <c r="J558" s="1" t="s">
        <v>9</v>
      </c>
      <c r="K558" s="1" t="s">
        <v>13</v>
      </c>
      <c r="L558" s="1" t="s">
        <v>13</v>
      </c>
      <c r="M558" s="1" t="s">
        <v>53</v>
      </c>
      <c r="N558" s="11" t="s">
        <v>2091</v>
      </c>
      <c r="O558" s="1" t="s">
        <v>6037</v>
      </c>
      <c r="P558" s="1" t="s">
        <v>126</v>
      </c>
      <c r="Q558" s="1" t="s">
        <v>5730</v>
      </c>
      <c r="R558" s="1" t="s">
        <v>4305</v>
      </c>
      <c r="S558" s="8">
        <v>46023</v>
      </c>
      <c r="T558" s="1">
        <v>2</v>
      </c>
      <c r="U558" s="1" t="s">
        <v>4306</v>
      </c>
      <c r="V558" s="1" t="s">
        <v>4306</v>
      </c>
      <c r="W558" s="1" t="s">
        <v>1388</v>
      </c>
    </row>
    <row r="559" spans="1:23" x14ac:dyDescent="0.25">
      <c r="A559" s="1" t="s">
        <v>48</v>
      </c>
      <c r="B559" s="1" t="s">
        <v>2247</v>
      </c>
      <c r="C559" s="1" t="s">
        <v>50</v>
      </c>
      <c r="D559" s="1" t="s">
        <v>2944</v>
      </c>
      <c r="E559" s="1" t="s">
        <v>2945</v>
      </c>
      <c r="F559" s="22" t="s">
        <v>6085</v>
      </c>
      <c r="G559" s="1" t="s">
        <v>6</v>
      </c>
      <c r="H559" s="1" t="s">
        <v>21</v>
      </c>
      <c r="I559" s="1" t="s">
        <v>26</v>
      </c>
      <c r="J559" s="1" t="s">
        <v>9</v>
      </c>
      <c r="K559" s="1" t="s">
        <v>14</v>
      </c>
      <c r="L559" s="1" t="s">
        <v>14</v>
      </c>
      <c r="M559" s="1" t="s">
        <v>53</v>
      </c>
      <c r="N559" s="11" t="s">
        <v>188</v>
      </c>
      <c r="O559" s="1" t="s">
        <v>6037</v>
      </c>
      <c r="P559" s="1" t="s">
        <v>4307</v>
      </c>
      <c r="Q559" s="1" t="s">
        <v>5731</v>
      </c>
      <c r="R559" s="1" t="s">
        <v>4308</v>
      </c>
      <c r="S559" s="8">
        <v>46036</v>
      </c>
      <c r="T559" s="1">
        <v>1</v>
      </c>
      <c r="U559" s="1" t="s">
        <v>4309</v>
      </c>
      <c r="V559" s="1" t="s">
        <v>1388</v>
      </c>
      <c r="W559" s="1" t="s">
        <v>1388</v>
      </c>
    </row>
    <row r="560" spans="1:23" x14ac:dyDescent="0.25">
      <c r="A560" s="1" t="s">
        <v>48</v>
      </c>
      <c r="B560" s="1" t="s">
        <v>2248</v>
      </c>
      <c r="C560" s="1" t="s">
        <v>50</v>
      </c>
      <c r="D560" s="1" t="s">
        <v>2946</v>
      </c>
      <c r="E560" s="1" t="s">
        <v>2947</v>
      </c>
      <c r="F560" s="22" t="s">
        <v>6085</v>
      </c>
      <c r="G560" s="1" t="s">
        <v>5</v>
      </c>
      <c r="H560" s="1" t="s">
        <v>20</v>
      </c>
      <c r="I560" s="1" t="s">
        <v>25</v>
      </c>
      <c r="J560" s="1" t="s">
        <v>9</v>
      </c>
      <c r="K560" s="1" t="s">
        <v>13</v>
      </c>
      <c r="L560" s="1" t="s">
        <v>13</v>
      </c>
      <c r="M560" s="1" t="s">
        <v>53</v>
      </c>
      <c r="N560" s="11" t="s">
        <v>2091</v>
      </c>
      <c r="O560" s="1" t="s">
        <v>6037</v>
      </c>
      <c r="P560" s="1" t="s">
        <v>593</v>
      </c>
      <c r="Q560" s="1" t="s">
        <v>5732</v>
      </c>
      <c r="R560" s="1" t="s">
        <v>4310</v>
      </c>
      <c r="S560" s="8">
        <v>46052</v>
      </c>
      <c r="T560" s="1">
        <v>3</v>
      </c>
      <c r="U560" s="1" t="s">
        <v>4311</v>
      </c>
      <c r="V560" s="1" t="s">
        <v>4312</v>
      </c>
      <c r="W560" s="1" t="s">
        <v>4313</v>
      </c>
    </row>
    <row r="561" spans="1:23" x14ac:dyDescent="0.25">
      <c r="A561" s="1" t="s">
        <v>48</v>
      </c>
      <c r="B561" s="1" t="s">
        <v>2249</v>
      </c>
      <c r="C561" s="1" t="s">
        <v>50</v>
      </c>
      <c r="D561" s="1" t="s">
        <v>2948</v>
      </c>
      <c r="E561" s="1" t="s">
        <v>2949</v>
      </c>
      <c r="F561" s="22" t="s">
        <v>6085</v>
      </c>
      <c r="G561" s="1" t="s">
        <v>5</v>
      </c>
      <c r="H561" s="1" t="s">
        <v>24</v>
      </c>
      <c r="I561" s="1" t="s">
        <v>27</v>
      </c>
      <c r="J561" s="1" t="s">
        <v>9</v>
      </c>
      <c r="K561" s="1" t="s">
        <v>13</v>
      </c>
      <c r="L561" s="1" t="s">
        <v>13</v>
      </c>
      <c r="M561" s="1" t="s">
        <v>53</v>
      </c>
      <c r="N561" s="11" t="s">
        <v>188</v>
      </c>
      <c r="O561" s="1" t="s">
        <v>6037</v>
      </c>
      <c r="P561" s="1" t="s">
        <v>247</v>
      </c>
      <c r="Q561" s="1" t="s">
        <v>5733</v>
      </c>
      <c r="R561" s="1" t="s">
        <v>4314</v>
      </c>
      <c r="S561" s="8">
        <v>45668</v>
      </c>
      <c r="T561" s="1">
        <v>2</v>
      </c>
      <c r="U561" s="1" t="s">
        <v>4315</v>
      </c>
      <c r="V561" s="1" t="s">
        <v>4316</v>
      </c>
      <c r="W561" s="1" t="s">
        <v>1388</v>
      </c>
    </row>
    <row r="562" spans="1:23" x14ac:dyDescent="0.25">
      <c r="A562" s="1" t="s">
        <v>48</v>
      </c>
      <c r="B562" s="1" t="s">
        <v>2250</v>
      </c>
      <c r="C562" s="1" t="s">
        <v>50</v>
      </c>
      <c r="D562" s="1" t="s">
        <v>2950</v>
      </c>
      <c r="E562" s="1" t="s">
        <v>2951</v>
      </c>
      <c r="F562" s="22" t="s">
        <v>3</v>
      </c>
      <c r="G562" s="1" t="s">
        <v>6</v>
      </c>
      <c r="H562" s="1" t="s">
        <v>20</v>
      </c>
      <c r="I562" s="1" t="s">
        <v>26</v>
      </c>
      <c r="J562" s="1" t="s">
        <v>9</v>
      </c>
      <c r="K562" s="1" t="s">
        <v>15</v>
      </c>
      <c r="L562" s="1" t="s">
        <v>15</v>
      </c>
      <c r="M562" s="1" t="s">
        <v>53</v>
      </c>
      <c r="N562" s="11" t="s">
        <v>188</v>
      </c>
      <c r="O562" s="1" t="s">
        <v>6037</v>
      </c>
      <c r="P562" s="1" t="s">
        <v>66</v>
      </c>
      <c r="Q562" s="1" t="s">
        <v>5734</v>
      </c>
      <c r="R562" s="7" t="s">
        <v>4317</v>
      </c>
      <c r="S562" s="8">
        <v>46027</v>
      </c>
      <c r="T562" s="1">
        <v>1</v>
      </c>
      <c r="U562" s="1" t="s">
        <v>315</v>
      </c>
      <c r="V562" s="1" t="s">
        <v>1388</v>
      </c>
      <c r="W562" s="1" t="s">
        <v>1388</v>
      </c>
    </row>
    <row r="563" spans="1:23" x14ac:dyDescent="0.25">
      <c r="A563" s="1" t="s">
        <v>48</v>
      </c>
      <c r="B563" s="1" t="s">
        <v>2251</v>
      </c>
      <c r="C563" s="1" t="s">
        <v>50</v>
      </c>
      <c r="D563" s="1" t="s">
        <v>2952</v>
      </c>
      <c r="E563" s="1" t="s">
        <v>2953</v>
      </c>
      <c r="F563" s="22" t="s">
        <v>5259</v>
      </c>
      <c r="G563" s="1" t="s">
        <v>6</v>
      </c>
      <c r="H563" s="1" t="s">
        <v>20</v>
      </c>
      <c r="I563" s="1" t="s">
        <v>25</v>
      </c>
      <c r="J563" s="1" t="s">
        <v>8</v>
      </c>
      <c r="K563" s="1" t="s">
        <v>15</v>
      </c>
      <c r="L563" s="1" t="s">
        <v>15</v>
      </c>
      <c r="M563" s="1" t="s">
        <v>53</v>
      </c>
      <c r="N563" s="14" t="s">
        <v>1664</v>
      </c>
      <c r="O563" s="1" t="s">
        <v>6037</v>
      </c>
      <c r="P563" s="1" t="s">
        <v>4318</v>
      </c>
      <c r="Q563" s="1" t="s">
        <v>5735</v>
      </c>
      <c r="R563" s="1" t="s">
        <v>4319</v>
      </c>
      <c r="S563" s="9">
        <v>45901</v>
      </c>
      <c r="T563" s="1">
        <v>1</v>
      </c>
      <c r="U563" s="1" t="s">
        <v>4320</v>
      </c>
      <c r="V563" s="1" t="s">
        <v>1388</v>
      </c>
      <c r="W563" s="1" t="s">
        <v>1388</v>
      </c>
    </row>
    <row r="564" spans="1:23" x14ac:dyDescent="0.25">
      <c r="A564" s="1" t="s">
        <v>48</v>
      </c>
      <c r="B564" s="1" t="s">
        <v>2252</v>
      </c>
      <c r="C564" s="1" t="s">
        <v>50</v>
      </c>
      <c r="D564" s="1" t="s">
        <v>2954</v>
      </c>
      <c r="E564" s="1" t="s">
        <v>2955</v>
      </c>
      <c r="F564" s="22" t="s">
        <v>6085</v>
      </c>
      <c r="G564" s="1" t="s">
        <v>5</v>
      </c>
      <c r="H564" s="1" t="s">
        <v>20</v>
      </c>
      <c r="I564" s="1" t="s">
        <v>25</v>
      </c>
      <c r="J564" s="1" t="s">
        <v>9</v>
      </c>
      <c r="K564" s="1" t="s">
        <v>14</v>
      </c>
      <c r="L564" s="1" t="s">
        <v>14</v>
      </c>
      <c r="M564" s="1" t="s">
        <v>53</v>
      </c>
      <c r="N564" s="11" t="s">
        <v>188</v>
      </c>
      <c r="O564" s="1" t="s">
        <v>6037</v>
      </c>
      <c r="P564" s="1" t="s">
        <v>4321</v>
      </c>
      <c r="Q564" s="1" t="s">
        <v>5736</v>
      </c>
      <c r="R564" s="1" t="s">
        <v>4322</v>
      </c>
      <c r="S564" s="8">
        <v>46055</v>
      </c>
      <c r="T564" s="1">
        <v>3</v>
      </c>
      <c r="U564" s="1" t="s">
        <v>4323</v>
      </c>
      <c r="V564" s="1" t="s">
        <v>4324</v>
      </c>
      <c r="W564" s="1" t="s">
        <v>4325</v>
      </c>
    </row>
    <row r="565" spans="1:23" x14ac:dyDescent="0.25">
      <c r="A565" s="1" t="s">
        <v>48</v>
      </c>
      <c r="B565" s="1" t="s">
        <v>2253</v>
      </c>
      <c r="C565" s="1" t="s">
        <v>50</v>
      </c>
      <c r="D565" s="1" t="s">
        <v>2956</v>
      </c>
      <c r="E565" s="1" t="s">
        <v>2957</v>
      </c>
      <c r="F565" s="22" t="s">
        <v>3</v>
      </c>
      <c r="G565" s="1" t="s">
        <v>5</v>
      </c>
      <c r="H565" s="1" t="s">
        <v>20</v>
      </c>
      <c r="I565" s="1" t="s">
        <v>26</v>
      </c>
      <c r="J565" s="1" t="s">
        <v>9</v>
      </c>
      <c r="K565" s="1" t="s">
        <v>14</v>
      </c>
      <c r="L565" s="1" t="s">
        <v>14</v>
      </c>
      <c r="M565" s="1" t="s">
        <v>53</v>
      </c>
      <c r="N565" s="11" t="s">
        <v>188</v>
      </c>
      <c r="O565" s="1" t="s">
        <v>6037</v>
      </c>
      <c r="P565" s="1" t="s">
        <v>79</v>
      </c>
      <c r="Q565" s="1" t="s">
        <v>5380</v>
      </c>
      <c r="R565" s="7" t="s">
        <v>4326</v>
      </c>
      <c r="S565" s="8">
        <v>46023</v>
      </c>
      <c r="T565" s="1">
        <v>3</v>
      </c>
      <c r="U565" s="1" t="s">
        <v>4327</v>
      </c>
      <c r="V565" s="1" t="s">
        <v>4327</v>
      </c>
      <c r="W565" s="1" t="s">
        <v>4327</v>
      </c>
    </row>
    <row r="566" spans="1:23" x14ac:dyDescent="0.25">
      <c r="A566" s="1" t="s">
        <v>48</v>
      </c>
      <c r="B566" s="1" t="s">
        <v>2254</v>
      </c>
      <c r="C566" s="1" t="s">
        <v>50</v>
      </c>
      <c r="D566" s="1" t="s">
        <v>2958</v>
      </c>
      <c r="E566" s="1" t="s">
        <v>2959</v>
      </c>
      <c r="F566" s="22" t="s">
        <v>6085</v>
      </c>
      <c r="G566" s="1" t="s">
        <v>6</v>
      </c>
      <c r="H566" s="1" t="s">
        <v>20</v>
      </c>
      <c r="I566" s="1" t="s">
        <v>25</v>
      </c>
      <c r="J566" s="1" t="s">
        <v>9</v>
      </c>
      <c r="K566" s="1" t="s">
        <v>14</v>
      </c>
      <c r="L566" s="1" t="s">
        <v>14</v>
      </c>
      <c r="M566" s="1" t="s">
        <v>53</v>
      </c>
      <c r="N566" s="11" t="s">
        <v>188</v>
      </c>
      <c r="O566" s="1" t="s">
        <v>6037</v>
      </c>
      <c r="P566" s="1" t="s">
        <v>247</v>
      </c>
      <c r="Q566" s="1" t="s">
        <v>5737</v>
      </c>
      <c r="R566" s="1" t="s">
        <v>4328</v>
      </c>
      <c r="S566" s="8">
        <v>46068</v>
      </c>
      <c r="T566" s="1">
        <v>2</v>
      </c>
      <c r="U566" s="1" t="s">
        <v>4329</v>
      </c>
      <c r="V566" s="1" t="s">
        <v>4329</v>
      </c>
      <c r="W566" s="1" t="s">
        <v>1388</v>
      </c>
    </row>
    <row r="567" spans="1:23" x14ac:dyDescent="0.25">
      <c r="A567" s="1" t="s">
        <v>48</v>
      </c>
      <c r="B567" s="1" t="s">
        <v>2255</v>
      </c>
      <c r="C567" s="1" t="s">
        <v>50</v>
      </c>
      <c r="D567" s="1" t="s">
        <v>2960</v>
      </c>
      <c r="E567" s="1" t="s">
        <v>2961</v>
      </c>
      <c r="F567" s="22" t="s">
        <v>6085</v>
      </c>
      <c r="G567" s="1" t="s">
        <v>6</v>
      </c>
      <c r="H567" s="1" t="s">
        <v>20</v>
      </c>
      <c r="I567" s="1" t="s">
        <v>26</v>
      </c>
      <c r="J567" s="1" t="s">
        <v>9</v>
      </c>
      <c r="K567" s="1" t="s">
        <v>19</v>
      </c>
      <c r="L567" s="1" t="s">
        <v>17</v>
      </c>
      <c r="M567" s="1" t="s">
        <v>53</v>
      </c>
      <c r="N567" s="11" t="s">
        <v>188</v>
      </c>
      <c r="O567" s="1" t="s">
        <v>6037</v>
      </c>
      <c r="P567" s="1" t="s">
        <v>707</v>
      </c>
      <c r="Q567" s="1" t="s">
        <v>5738</v>
      </c>
      <c r="R567" s="1" t="s">
        <v>4330</v>
      </c>
      <c r="S567" s="8">
        <v>46054</v>
      </c>
      <c r="T567" s="1">
        <v>2</v>
      </c>
      <c r="U567" s="1" t="s">
        <v>4331</v>
      </c>
      <c r="V567" s="1" t="s">
        <v>4331</v>
      </c>
      <c r="W567" s="1" t="s">
        <v>1388</v>
      </c>
    </row>
    <row r="568" spans="1:23" x14ac:dyDescent="0.25">
      <c r="A568" s="1" t="s">
        <v>48</v>
      </c>
      <c r="B568" s="1" t="s">
        <v>2256</v>
      </c>
      <c r="C568" s="1" t="s">
        <v>50</v>
      </c>
      <c r="D568" s="1" t="s">
        <v>2962</v>
      </c>
      <c r="E568" s="1" t="s">
        <v>2963</v>
      </c>
      <c r="F568" s="22" t="s">
        <v>6085</v>
      </c>
      <c r="G568" s="1" t="s">
        <v>6</v>
      </c>
      <c r="H568" s="1" t="s">
        <v>20</v>
      </c>
      <c r="I568" s="1" t="s">
        <v>26</v>
      </c>
      <c r="J568" s="1" t="s">
        <v>9</v>
      </c>
      <c r="K568" s="1" t="s">
        <v>19</v>
      </c>
      <c r="L568" s="1" t="s">
        <v>19</v>
      </c>
      <c r="M568" s="1" t="s">
        <v>53</v>
      </c>
      <c r="N568" s="11" t="s">
        <v>188</v>
      </c>
      <c r="O568" s="1" t="s">
        <v>6037</v>
      </c>
      <c r="P568" s="1" t="s">
        <v>656</v>
      </c>
      <c r="Q568" s="1" t="s">
        <v>5739</v>
      </c>
      <c r="R568" s="1" t="s">
        <v>4332</v>
      </c>
      <c r="S568" s="8">
        <v>46055</v>
      </c>
      <c r="T568" s="1">
        <v>2</v>
      </c>
      <c r="U568" s="1" t="s">
        <v>1686</v>
      </c>
      <c r="V568" s="1" t="s">
        <v>1686</v>
      </c>
      <c r="W568" s="1" t="s">
        <v>1388</v>
      </c>
    </row>
    <row r="569" spans="1:23" x14ac:dyDescent="0.25">
      <c r="A569" s="1" t="s">
        <v>48</v>
      </c>
      <c r="B569" s="1" t="s">
        <v>2257</v>
      </c>
      <c r="C569" s="1" t="s">
        <v>50</v>
      </c>
      <c r="D569" s="1" t="s">
        <v>2964</v>
      </c>
      <c r="E569" s="1" t="s">
        <v>2965</v>
      </c>
      <c r="F569" s="22" t="s">
        <v>3</v>
      </c>
      <c r="G569" s="1" t="s">
        <v>5</v>
      </c>
      <c r="H569" s="1" t="s">
        <v>20</v>
      </c>
      <c r="I569" s="1" t="s">
        <v>26</v>
      </c>
      <c r="J569" s="1" t="s">
        <v>9</v>
      </c>
      <c r="K569" s="1" t="s">
        <v>16</v>
      </c>
      <c r="L569" s="1" t="s">
        <v>16</v>
      </c>
      <c r="M569" s="1" t="s">
        <v>53</v>
      </c>
      <c r="N569" s="15" t="s">
        <v>1829</v>
      </c>
      <c r="O569" s="1" t="s">
        <v>6037</v>
      </c>
      <c r="P569" s="1" t="s">
        <v>4333</v>
      </c>
      <c r="Q569" s="1" t="s">
        <v>5740</v>
      </c>
      <c r="R569" s="7" t="s">
        <v>4334</v>
      </c>
      <c r="S569" s="8">
        <v>46034</v>
      </c>
      <c r="T569" s="1">
        <v>3</v>
      </c>
      <c r="U569" s="1" t="s">
        <v>4335</v>
      </c>
      <c r="V569" s="1" t="s">
        <v>4335</v>
      </c>
      <c r="W569" s="1" t="s">
        <v>4335</v>
      </c>
    </row>
    <row r="570" spans="1:23" x14ac:dyDescent="0.25">
      <c r="A570" s="1" t="s">
        <v>48</v>
      </c>
      <c r="B570" s="1" t="s">
        <v>2258</v>
      </c>
      <c r="C570" s="1" t="s">
        <v>50</v>
      </c>
      <c r="D570" s="1" t="s">
        <v>2966</v>
      </c>
      <c r="E570" s="1" t="s">
        <v>2967</v>
      </c>
      <c r="F570" s="22" t="s">
        <v>6085</v>
      </c>
      <c r="G570" s="1" t="s">
        <v>5</v>
      </c>
      <c r="H570" s="1" t="s">
        <v>20</v>
      </c>
      <c r="I570" s="1" t="s">
        <v>25</v>
      </c>
      <c r="J570" s="1" t="s">
        <v>9</v>
      </c>
      <c r="K570" s="1" t="s">
        <v>13</v>
      </c>
      <c r="L570" s="1" t="s">
        <v>13</v>
      </c>
      <c r="M570" s="1" t="s">
        <v>53</v>
      </c>
      <c r="N570" s="11" t="s">
        <v>188</v>
      </c>
      <c r="O570" s="1" t="s">
        <v>6037</v>
      </c>
      <c r="P570" s="1" t="s">
        <v>126</v>
      </c>
      <c r="Q570" s="1" t="s">
        <v>5741</v>
      </c>
      <c r="R570" s="1" t="s">
        <v>4336</v>
      </c>
      <c r="S570" s="8">
        <v>46034</v>
      </c>
      <c r="T570" s="1">
        <v>3</v>
      </c>
      <c r="U570" s="1" t="s">
        <v>4337</v>
      </c>
      <c r="V570" s="1" t="s">
        <v>4338</v>
      </c>
      <c r="W570" s="1" t="s">
        <v>4339</v>
      </c>
    </row>
    <row r="571" spans="1:23" x14ac:dyDescent="0.25">
      <c r="A571" s="1" t="s">
        <v>48</v>
      </c>
      <c r="B571" s="2" t="s">
        <v>2259</v>
      </c>
      <c r="C571" s="1" t="s">
        <v>50</v>
      </c>
      <c r="D571" s="2" t="s">
        <v>2968</v>
      </c>
      <c r="E571" s="1" t="s">
        <v>2969</v>
      </c>
      <c r="F571" s="22" t="s">
        <v>6085</v>
      </c>
      <c r="G571" s="2" t="s">
        <v>6</v>
      </c>
      <c r="H571" s="2" t="s">
        <v>20</v>
      </c>
      <c r="I571" s="2" t="s">
        <v>26</v>
      </c>
      <c r="J571" s="2" t="s">
        <v>9</v>
      </c>
      <c r="K571" s="2" t="s">
        <v>11</v>
      </c>
      <c r="L571" s="2" t="s">
        <v>11</v>
      </c>
      <c r="M571" s="2" t="s">
        <v>53</v>
      </c>
      <c r="N571" s="2" t="s">
        <v>6025</v>
      </c>
      <c r="O571" s="2" t="s">
        <v>6235</v>
      </c>
      <c r="P571" s="2" t="s">
        <v>4340</v>
      </c>
      <c r="Q571" s="2" t="s">
        <v>5742</v>
      </c>
      <c r="R571" s="2" t="s">
        <v>4341</v>
      </c>
      <c r="S571" s="9">
        <v>46055</v>
      </c>
      <c r="T571" s="2">
        <v>2</v>
      </c>
      <c r="U571" s="2" t="s">
        <v>391</v>
      </c>
      <c r="V571" s="2" t="s">
        <v>391</v>
      </c>
      <c r="W571" s="2" t="s">
        <v>1388</v>
      </c>
    </row>
    <row r="572" spans="1:23" x14ac:dyDescent="0.25">
      <c r="A572" s="1" t="s">
        <v>48</v>
      </c>
      <c r="B572" s="1" t="s">
        <v>2260</v>
      </c>
      <c r="C572" s="1" t="s">
        <v>50</v>
      </c>
      <c r="D572" s="1" t="s">
        <v>2970</v>
      </c>
      <c r="E572" s="1" t="s">
        <v>2971</v>
      </c>
      <c r="F572" s="22" t="s">
        <v>6085</v>
      </c>
      <c r="G572" s="1" t="s">
        <v>6</v>
      </c>
      <c r="H572" s="1" t="s">
        <v>20</v>
      </c>
      <c r="I572" s="1" t="s">
        <v>25</v>
      </c>
      <c r="J572" s="1" t="s">
        <v>9</v>
      </c>
      <c r="K572" s="1" t="s">
        <v>14</v>
      </c>
      <c r="L572" s="1" t="s">
        <v>14</v>
      </c>
      <c r="M572" s="1" t="s">
        <v>53</v>
      </c>
      <c r="N572" s="11" t="s">
        <v>188</v>
      </c>
      <c r="O572" s="1" t="s">
        <v>6037</v>
      </c>
      <c r="P572" s="1" t="s">
        <v>1456</v>
      </c>
      <c r="Q572" s="1" t="s">
        <v>5743</v>
      </c>
      <c r="R572" s="1" t="s">
        <v>4342</v>
      </c>
      <c r="S572" s="8">
        <v>46054</v>
      </c>
      <c r="T572" s="1">
        <v>2</v>
      </c>
      <c r="U572" s="1" t="s">
        <v>4343</v>
      </c>
      <c r="V572" s="1" t="s">
        <v>3914</v>
      </c>
      <c r="W572" s="1" t="s">
        <v>1388</v>
      </c>
    </row>
    <row r="573" spans="1:23" x14ac:dyDescent="0.25">
      <c r="A573" s="1" t="s">
        <v>48</v>
      </c>
      <c r="B573" s="1" t="s">
        <v>2261</v>
      </c>
      <c r="C573" s="1" t="s">
        <v>50</v>
      </c>
      <c r="D573" s="1" t="s">
        <v>2972</v>
      </c>
      <c r="E573" s="1" t="s">
        <v>2973</v>
      </c>
      <c r="F573" s="22" t="s">
        <v>6085</v>
      </c>
      <c r="G573" s="1" t="s">
        <v>7</v>
      </c>
      <c r="H573" s="1" t="s">
        <v>24</v>
      </c>
      <c r="I573" s="1" t="s">
        <v>25</v>
      </c>
      <c r="J573" s="1" t="s">
        <v>9</v>
      </c>
      <c r="K573" s="1" t="s">
        <v>14</v>
      </c>
      <c r="L573" s="1" t="s">
        <v>14</v>
      </c>
      <c r="M573" s="1" t="s">
        <v>53</v>
      </c>
      <c r="N573" s="11" t="s">
        <v>188</v>
      </c>
      <c r="O573" s="1" t="s">
        <v>6037</v>
      </c>
      <c r="P573" s="1" t="s">
        <v>60</v>
      </c>
      <c r="Q573" s="1" t="s">
        <v>5546</v>
      </c>
      <c r="R573" s="1" t="s">
        <v>4344</v>
      </c>
      <c r="S573" s="8">
        <v>46113</v>
      </c>
      <c r="T573" s="1">
        <v>2</v>
      </c>
      <c r="U573" s="1" t="s">
        <v>4345</v>
      </c>
      <c r="V573" s="1" t="s">
        <v>4346</v>
      </c>
      <c r="W573" s="1" t="s">
        <v>1388</v>
      </c>
    </row>
    <row r="574" spans="1:23" x14ac:dyDescent="0.25">
      <c r="A574" s="1" t="s">
        <v>48</v>
      </c>
      <c r="B574" s="1" t="s">
        <v>2262</v>
      </c>
      <c r="C574" s="1" t="s">
        <v>50</v>
      </c>
      <c r="D574" s="1" t="s">
        <v>2974</v>
      </c>
      <c r="E574" s="1" t="s">
        <v>2975</v>
      </c>
      <c r="F574" s="22" t="s">
        <v>3</v>
      </c>
      <c r="G574" s="1" t="s">
        <v>6</v>
      </c>
      <c r="H574" s="1" t="s">
        <v>20</v>
      </c>
      <c r="I574" s="1" t="s">
        <v>25</v>
      </c>
      <c r="J574" s="1" t="s">
        <v>9</v>
      </c>
      <c r="K574" s="1" t="s">
        <v>13</v>
      </c>
      <c r="L574" s="1" t="s">
        <v>13</v>
      </c>
      <c r="M574" s="1" t="s">
        <v>53</v>
      </c>
      <c r="N574" s="1" t="s">
        <v>1014</v>
      </c>
      <c r="O574" s="1" t="s">
        <v>6037</v>
      </c>
      <c r="P574" s="1" t="s">
        <v>247</v>
      </c>
      <c r="Q574" s="1" t="s">
        <v>5744</v>
      </c>
      <c r="R574" s="7" t="s">
        <v>4347</v>
      </c>
      <c r="S574" s="8">
        <v>46023</v>
      </c>
      <c r="T574" s="1">
        <v>2</v>
      </c>
      <c r="U574" s="1" t="s">
        <v>4348</v>
      </c>
      <c r="V574" s="1" t="s">
        <v>4348</v>
      </c>
      <c r="W574" s="1" t="s">
        <v>1388</v>
      </c>
    </row>
    <row r="575" spans="1:23" x14ac:dyDescent="0.25">
      <c r="A575" s="1" t="s">
        <v>48</v>
      </c>
      <c r="B575" s="1" t="s">
        <v>2263</v>
      </c>
      <c r="C575" s="1" t="s">
        <v>50</v>
      </c>
      <c r="D575" s="1" t="s">
        <v>2976</v>
      </c>
      <c r="E575" s="1" t="s">
        <v>2977</v>
      </c>
      <c r="F575" s="22" t="s">
        <v>6085</v>
      </c>
      <c r="G575" s="1" t="s">
        <v>6</v>
      </c>
      <c r="H575" s="1" t="s">
        <v>20</v>
      </c>
      <c r="I575" s="1" t="s">
        <v>25</v>
      </c>
      <c r="J575" s="1" t="s">
        <v>9</v>
      </c>
      <c r="K575" s="1" t="s">
        <v>14</v>
      </c>
      <c r="L575" s="1" t="s">
        <v>14</v>
      </c>
      <c r="M575" s="1" t="s">
        <v>53</v>
      </c>
      <c r="N575" s="11" t="s">
        <v>188</v>
      </c>
      <c r="O575" s="1" t="s">
        <v>6037</v>
      </c>
      <c r="P575" s="1" t="s">
        <v>4043</v>
      </c>
      <c r="Q575" s="1" t="s">
        <v>5745</v>
      </c>
      <c r="R575" s="1" t="s">
        <v>4349</v>
      </c>
      <c r="S575" s="8">
        <v>45716</v>
      </c>
      <c r="T575" s="1">
        <v>1</v>
      </c>
      <c r="U575" s="1" t="s">
        <v>4350</v>
      </c>
      <c r="V575" s="1" t="s">
        <v>1388</v>
      </c>
      <c r="W575" s="1" t="s">
        <v>1388</v>
      </c>
    </row>
    <row r="576" spans="1:23" x14ac:dyDescent="0.25">
      <c r="A576" s="1" t="s">
        <v>48</v>
      </c>
      <c r="B576" s="1" t="s">
        <v>2264</v>
      </c>
      <c r="C576" s="1" t="s">
        <v>50</v>
      </c>
      <c r="D576" s="1" t="s">
        <v>2978</v>
      </c>
      <c r="E576" s="1" t="s">
        <v>2979</v>
      </c>
      <c r="F576" s="22" t="s">
        <v>6085</v>
      </c>
      <c r="G576" s="1" t="s">
        <v>7</v>
      </c>
      <c r="H576" s="1" t="s">
        <v>22</v>
      </c>
      <c r="I576" s="1" t="s">
        <v>25</v>
      </c>
      <c r="J576" s="1" t="s">
        <v>9</v>
      </c>
      <c r="K576" s="1" t="s">
        <v>13</v>
      </c>
      <c r="L576" s="1" t="s">
        <v>13</v>
      </c>
      <c r="M576" s="1" t="s">
        <v>53</v>
      </c>
      <c r="N576" s="15" t="s">
        <v>5256</v>
      </c>
      <c r="O576" s="1" t="s">
        <v>6037</v>
      </c>
      <c r="P576" s="1" t="s">
        <v>126</v>
      </c>
      <c r="Q576" s="1" t="s">
        <v>5746</v>
      </c>
      <c r="R576" s="1" t="s">
        <v>4351</v>
      </c>
      <c r="S576" s="8">
        <v>46055</v>
      </c>
      <c r="T576" s="1">
        <v>2</v>
      </c>
      <c r="U576" s="1" t="s">
        <v>1599</v>
      </c>
      <c r="V576" s="1" t="s">
        <v>796</v>
      </c>
      <c r="W576" s="1" t="s">
        <v>1388</v>
      </c>
    </row>
    <row r="577" spans="1:23" x14ac:dyDescent="0.25">
      <c r="A577" s="1" t="s">
        <v>48</v>
      </c>
      <c r="B577" s="1" t="s">
        <v>2265</v>
      </c>
      <c r="C577" s="1" t="s">
        <v>50</v>
      </c>
      <c r="D577" s="1" t="s">
        <v>2980</v>
      </c>
      <c r="E577" s="1" t="s">
        <v>2981</v>
      </c>
      <c r="F577" s="22" t="s">
        <v>6085</v>
      </c>
      <c r="G577" s="1" t="s">
        <v>6</v>
      </c>
      <c r="H577" s="1" t="s">
        <v>24</v>
      </c>
      <c r="I577" s="1" t="s">
        <v>26</v>
      </c>
      <c r="J577" s="1" t="s">
        <v>9</v>
      </c>
      <c r="K577" s="1" t="s">
        <v>10</v>
      </c>
      <c r="L577" s="1" t="s">
        <v>16</v>
      </c>
      <c r="M577" s="1" t="s">
        <v>53</v>
      </c>
      <c r="N577" s="11" t="s">
        <v>188</v>
      </c>
      <c r="O577" s="1" t="s">
        <v>6037</v>
      </c>
      <c r="P577" s="1" t="s">
        <v>126</v>
      </c>
      <c r="Q577" s="17" t="s">
        <v>5306</v>
      </c>
      <c r="R577" s="1" t="s">
        <v>4352</v>
      </c>
      <c r="S577" s="8">
        <v>46053</v>
      </c>
      <c r="T577" s="1">
        <v>2</v>
      </c>
      <c r="U577" s="1" t="s">
        <v>4353</v>
      </c>
      <c r="V577" s="1" t="s">
        <v>4353</v>
      </c>
      <c r="W577" s="1" t="s">
        <v>1388</v>
      </c>
    </row>
    <row r="578" spans="1:23" x14ac:dyDescent="0.25">
      <c r="A578" s="1" t="s">
        <v>48</v>
      </c>
      <c r="B578" s="1" t="s">
        <v>2266</v>
      </c>
      <c r="C578" s="1" t="s">
        <v>50</v>
      </c>
      <c r="D578" s="1" t="s">
        <v>2982</v>
      </c>
      <c r="E578" s="1" t="s">
        <v>2983</v>
      </c>
      <c r="F578" s="22" t="s">
        <v>5259</v>
      </c>
      <c r="G578" s="1" t="s">
        <v>5</v>
      </c>
      <c r="H578" s="1" t="s">
        <v>20</v>
      </c>
      <c r="I578" s="1" t="s">
        <v>25</v>
      </c>
      <c r="J578" s="1" t="s">
        <v>9</v>
      </c>
      <c r="K578" s="1" t="s">
        <v>16</v>
      </c>
      <c r="L578" s="1" t="s">
        <v>16</v>
      </c>
      <c r="M578" s="1" t="s">
        <v>53</v>
      </c>
      <c r="N578" s="14" t="s">
        <v>5226</v>
      </c>
      <c r="O578" s="1" t="s">
        <v>6037</v>
      </c>
      <c r="P578" s="1" t="s">
        <v>169</v>
      </c>
      <c r="Q578" s="1" t="s">
        <v>5747</v>
      </c>
      <c r="R578" s="1" t="s">
        <v>4354</v>
      </c>
      <c r="S578" s="8">
        <v>46027</v>
      </c>
      <c r="T578" s="1">
        <v>3</v>
      </c>
      <c r="U578" s="1" t="s">
        <v>410</v>
      </c>
      <c r="V578" s="1" t="s">
        <v>410</v>
      </c>
      <c r="W578" s="1" t="s">
        <v>410</v>
      </c>
    </row>
    <row r="579" spans="1:23" x14ac:dyDescent="0.25">
      <c r="A579" s="1" t="s">
        <v>48</v>
      </c>
      <c r="B579" s="1" t="s">
        <v>2267</v>
      </c>
      <c r="C579" s="1" t="s">
        <v>50</v>
      </c>
      <c r="D579" s="1" t="s">
        <v>2984</v>
      </c>
      <c r="E579" s="1" t="s">
        <v>2985</v>
      </c>
      <c r="F579" s="22" t="s">
        <v>6085</v>
      </c>
      <c r="G579" s="1" t="s">
        <v>5</v>
      </c>
      <c r="H579" s="1" t="s">
        <v>24</v>
      </c>
      <c r="I579" s="1" t="s">
        <v>25</v>
      </c>
      <c r="J579" s="1" t="s">
        <v>9</v>
      </c>
      <c r="K579" s="1" t="s">
        <v>13</v>
      </c>
      <c r="L579" s="1" t="s">
        <v>13</v>
      </c>
      <c r="M579" s="1" t="s">
        <v>53</v>
      </c>
      <c r="N579" s="11" t="s">
        <v>188</v>
      </c>
      <c r="O579" s="1" t="s">
        <v>6037</v>
      </c>
      <c r="P579" s="1" t="s">
        <v>126</v>
      </c>
      <c r="Q579" s="1" t="s">
        <v>5748</v>
      </c>
      <c r="R579" s="1" t="s">
        <v>4355</v>
      </c>
      <c r="S579" s="8">
        <v>46083</v>
      </c>
      <c r="T579" s="1">
        <v>3</v>
      </c>
      <c r="U579" s="1" t="s">
        <v>4356</v>
      </c>
      <c r="V579" s="1" t="s">
        <v>4357</v>
      </c>
      <c r="W579" s="1" t="s">
        <v>4358</v>
      </c>
    </row>
    <row r="580" spans="1:23" x14ac:dyDescent="0.25">
      <c r="A580" s="1" t="s">
        <v>48</v>
      </c>
      <c r="B580" s="1" t="s">
        <v>2268</v>
      </c>
      <c r="C580" s="1" t="s">
        <v>50</v>
      </c>
      <c r="D580" s="1" t="s">
        <v>2986</v>
      </c>
      <c r="E580" s="1" t="s">
        <v>2987</v>
      </c>
      <c r="F580" s="22" t="s">
        <v>6085</v>
      </c>
      <c r="G580" s="1" t="s">
        <v>5</v>
      </c>
      <c r="H580" s="1" t="s">
        <v>24</v>
      </c>
      <c r="I580" s="1" t="s">
        <v>25</v>
      </c>
      <c r="J580" s="1" t="s">
        <v>9</v>
      </c>
      <c r="K580" s="1" t="s">
        <v>13</v>
      </c>
      <c r="L580" s="1" t="s">
        <v>16</v>
      </c>
      <c r="M580" s="1" t="s">
        <v>53</v>
      </c>
      <c r="N580" s="11" t="s">
        <v>188</v>
      </c>
      <c r="O580" s="1" t="s">
        <v>6037</v>
      </c>
      <c r="P580" s="1" t="s">
        <v>247</v>
      </c>
      <c r="Q580" s="1" t="s">
        <v>5749</v>
      </c>
      <c r="R580" s="1" t="s">
        <v>4359</v>
      </c>
      <c r="S580" s="8">
        <v>46054</v>
      </c>
      <c r="T580" s="1">
        <v>3</v>
      </c>
      <c r="U580" s="1" t="s">
        <v>4360</v>
      </c>
      <c r="V580" s="1" t="s">
        <v>4360</v>
      </c>
      <c r="W580" s="1" t="s">
        <v>4360</v>
      </c>
    </row>
    <row r="581" spans="1:23" x14ac:dyDescent="0.25">
      <c r="A581" s="1" t="s">
        <v>48</v>
      </c>
      <c r="B581" s="1" t="s">
        <v>2269</v>
      </c>
      <c r="C581" s="1" t="s">
        <v>50</v>
      </c>
      <c r="D581" s="1" t="s">
        <v>2988</v>
      </c>
      <c r="E581" s="1" t="s">
        <v>2989</v>
      </c>
      <c r="F581" s="22" t="s">
        <v>6085</v>
      </c>
      <c r="G581" s="1" t="s">
        <v>6</v>
      </c>
      <c r="H581" s="1" t="s">
        <v>20</v>
      </c>
      <c r="I581" s="1" t="s">
        <v>26</v>
      </c>
      <c r="J581" s="1" t="s">
        <v>9</v>
      </c>
      <c r="K581" s="1" t="s">
        <v>14</v>
      </c>
      <c r="L581" s="1" t="s">
        <v>14</v>
      </c>
      <c r="M581" s="1" t="s">
        <v>53</v>
      </c>
      <c r="N581" s="15" t="s">
        <v>5257</v>
      </c>
      <c r="O581" s="1" t="s">
        <v>6037</v>
      </c>
      <c r="P581" s="1" t="s">
        <v>199</v>
      </c>
      <c r="Q581" s="1" t="s">
        <v>5750</v>
      </c>
      <c r="R581" s="1" t="s">
        <v>4361</v>
      </c>
      <c r="S581" s="8">
        <v>46069</v>
      </c>
      <c r="T581" s="1">
        <v>1</v>
      </c>
      <c r="U581" s="1" t="s">
        <v>4362</v>
      </c>
      <c r="V581" s="1" t="s">
        <v>1388</v>
      </c>
      <c r="W581" s="1" t="s">
        <v>1388</v>
      </c>
    </row>
    <row r="582" spans="1:23" x14ac:dyDescent="0.25">
      <c r="A582" s="1" t="s">
        <v>48</v>
      </c>
      <c r="B582" s="1" t="s">
        <v>2270</v>
      </c>
      <c r="C582" s="1" t="s">
        <v>50</v>
      </c>
      <c r="D582" s="1" t="s">
        <v>2990</v>
      </c>
      <c r="E582" s="1" t="s">
        <v>2991</v>
      </c>
      <c r="F582" s="22" t="s">
        <v>3</v>
      </c>
      <c r="G582" s="1" t="s">
        <v>5</v>
      </c>
      <c r="H582" s="1" t="s">
        <v>20</v>
      </c>
      <c r="I582" s="1" t="s">
        <v>26</v>
      </c>
      <c r="J582" s="1" t="s">
        <v>9</v>
      </c>
      <c r="K582" s="1" t="s">
        <v>11</v>
      </c>
      <c r="L582" s="1" t="s">
        <v>11</v>
      </c>
      <c r="M582" s="1" t="s">
        <v>53</v>
      </c>
      <c r="N582" s="11" t="s">
        <v>188</v>
      </c>
      <c r="O582" s="1" t="s">
        <v>6037</v>
      </c>
      <c r="P582" s="1" t="s">
        <v>120</v>
      </c>
      <c r="Q582" s="1" t="s">
        <v>5751</v>
      </c>
      <c r="R582" s="7" t="s">
        <v>4363</v>
      </c>
      <c r="S582" s="8">
        <v>45691</v>
      </c>
      <c r="T582" s="1">
        <v>1</v>
      </c>
      <c r="U582" s="1" t="s">
        <v>4364</v>
      </c>
      <c r="V582" s="1" t="s">
        <v>1388</v>
      </c>
      <c r="W582" s="1" t="s">
        <v>1388</v>
      </c>
    </row>
    <row r="583" spans="1:23" x14ac:dyDescent="0.25">
      <c r="A583" s="1" t="s">
        <v>48</v>
      </c>
      <c r="B583" s="1" t="s">
        <v>2271</v>
      </c>
      <c r="C583" s="1" t="s">
        <v>50</v>
      </c>
      <c r="D583" s="1" t="s">
        <v>2992</v>
      </c>
      <c r="E583" s="1" t="s">
        <v>2993</v>
      </c>
      <c r="F583" s="22" t="s">
        <v>6085</v>
      </c>
      <c r="G583" s="1" t="s">
        <v>5</v>
      </c>
      <c r="H583" s="1" t="s">
        <v>20</v>
      </c>
      <c r="I583" s="1" t="s">
        <v>26</v>
      </c>
      <c r="J583" s="1" t="s">
        <v>8</v>
      </c>
      <c r="K583" s="1" t="s">
        <v>18</v>
      </c>
      <c r="L583" s="1" t="s">
        <v>18</v>
      </c>
      <c r="M583" s="1" t="s">
        <v>53</v>
      </c>
      <c r="N583" s="11" t="s">
        <v>2091</v>
      </c>
      <c r="O583" s="1" t="s">
        <v>6235</v>
      </c>
      <c r="P583" s="1" t="s">
        <v>4365</v>
      </c>
      <c r="Q583" s="1" t="s">
        <v>5752</v>
      </c>
      <c r="R583" s="20" t="s">
        <v>4366</v>
      </c>
      <c r="S583" s="8">
        <v>46031</v>
      </c>
      <c r="T583" s="1">
        <v>3</v>
      </c>
      <c r="U583" s="1" t="s">
        <v>4367</v>
      </c>
      <c r="V583" s="1" t="s">
        <v>4368</v>
      </c>
      <c r="W583" s="1" t="s">
        <v>4368</v>
      </c>
    </row>
    <row r="584" spans="1:23" x14ac:dyDescent="0.25">
      <c r="A584" s="1" t="s">
        <v>48</v>
      </c>
      <c r="B584" s="1" t="s">
        <v>2272</v>
      </c>
      <c r="C584" s="1" t="s">
        <v>50</v>
      </c>
      <c r="D584" s="1" t="s">
        <v>2994</v>
      </c>
      <c r="E584" s="1" t="s">
        <v>2995</v>
      </c>
      <c r="F584" s="22" t="s">
        <v>6085</v>
      </c>
      <c r="G584" s="1" t="s">
        <v>5</v>
      </c>
      <c r="H584" s="1" t="s">
        <v>20</v>
      </c>
      <c r="I584" s="1" t="s">
        <v>25</v>
      </c>
      <c r="J584" s="1" t="s">
        <v>9</v>
      </c>
      <c r="K584" s="1" t="s">
        <v>13</v>
      </c>
      <c r="L584" s="1" t="s">
        <v>16</v>
      </c>
      <c r="M584" s="1" t="s">
        <v>53</v>
      </c>
      <c r="N584" s="11" t="s">
        <v>2091</v>
      </c>
      <c r="O584" s="1" t="s">
        <v>6037</v>
      </c>
      <c r="P584" s="1" t="s">
        <v>60</v>
      </c>
      <c r="Q584" s="1" t="s">
        <v>5708</v>
      </c>
      <c r="R584" s="1" t="s">
        <v>4369</v>
      </c>
      <c r="S584" s="8">
        <v>46041</v>
      </c>
      <c r="T584" s="1">
        <v>2</v>
      </c>
      <c r="U584" s="1" t="s">
        <v>4157</v>
      </c>
      <c r="V584" s="1" t="s">
        <v>4157</v>
      </c>
      <c r="W584" s="1" t="s">
        <v>1388</v>
      </c>
    </row>
    <row r="585" spans="1:23" x14ac:dyDescent="0.25">
      <c r="A585" s="1" t="s">
        <v>48</v>
      </c>
      <c r="B585" s="1" t="s">
        <v>2273</v>
      </c>
      <c r="C585" s="1" t="s">
        <v>50</v>
      </c>
      <c r="D585" s="1" t="s">
        <v>2996</v>
      </c>
      <c r="E585" s="1" t="s">
        <v>2997</v>
      </c>
      <c r="F585" s="22" t="s">
        <v>6085</v>
      </c>
      <c r="G585" s="1" t="s">
        <v>7</v>
      </c>
      <c r="H585" s="1" t="s">
        <v>20</v>
      </c>
      <c r="I585" s="1" t="s">
        <v>26</v>
      </c>
      <c r="J585" s="1" t="s">
        <v>9</v>
      </c>
      <c r="K585" s="1" t="s">
        <v>16</v>
      </c>
      <c r="L585" s="1" t="s">
        <v>16</v>
      </c>
      <c r="M585" s="1" t="s">
        <v>53</v>
      </c>
      <c r="N585" s="11" t="s">
        <v>188</v>
      </c>
      <c r="O585" s="1" t="s">
        <v>6037</v>
      </c>
      <c r="P585" s="1" t="s">
        <v>1814</v>
      </c>
      <c r="Q585" s="1" t="s">
        <v>4630</v>
      </c>
      <c r="R585" s="1" t="s">
        <v>4370</v>
      </c>
      <c r="S585" s="8">
        <v>46041</v>
      </c>
      <c r="T585" s="1">
        <v>2</v>
      </c>
      <c r="U585" s="1" t="s">
        <v>4163</v>
      </c>
      <c r="V585" s="1" t="s">
        <v>1475</v>
      </c>
      <c r="W585" s="1" t="s">
        <v>1388</v>
      </c>
    </row>
    <row r="586" spans="1:23" x14ac:dyDescent="0.25">
      <c r="A586" s="1" t="s">
        <v>48</v>
      </c>
      <c r="B586" s="1" t="s">
        <v>2274</v>
      </c>
      <c r="C586" s="1" t="s">
        <v>50</v>
      </c>
      <c r="D586" s="1" t="s">
        <v>2998</v>
      </c>
      <c r="E586" s="1" t="s">
        <v>2999</v>
      </c>
      <c r="F586" s="22" t="s">
        <v>6085</v>
      </c>
      <c r="G586" s="1" t="s">
        <v>7</v>
      </c>
      <c r="H586" s="1" t="s">
        <v>22</v>
      </c>
      <c r="I586" s="1" t="s">
        <v>26</v>
      </c>
      <c r="J586" s="1" t="s">
        <v>9</v>
      </c>
      <c r="K586" s="1" t="s">
        <v>10</v>
      </c>
      <c r="L586" s="1" t="s">
        <v>10</v>
      </c>
      <c r="M586" s="1" t="s">
        <v>53</v>
      </c>
      <c r="N586" s="11" t="s">
        <v>2091</v>
      </c>
      <c r="O586" s="1" t="s">
        <v>6037</v>
      </c>
      <c r="P586" s="1" t="s">
        <v>4371</v>
      </c>
      <c r="Q586" s="18" t="s">
        <v>5753</v>
      </c>
      <c r="R586" s="1" t="s">
        <v>4372</v>
      </c>
      <c r="S586" s="8">
        <v>46023</v>
      </c>
      <c r="T586" s="1">
        <v>1</v>
      </c>
      <c r="U586" s="1" t="s">
        <v>1560</v>
      </c>
      <c r="V586" s="1" t="s">
        <v>1388</v>
      </c>
      <c r="W586" s="1" t="s">
        <v>1388</v>
      </c>
    </row>
    <row r="587" spans="1:23" x14ac:dyDescent="0.25">
      <c r="A587" s="1" t="s">
        <v>48</v>
      </c>
      <c r="B587" s="1" t="s">
        <v>2275</v>
      </c>
      <c r="C587" s="1" t="s">
        <v>50</v>
      </c>
      <c r="D587" s="1" t="s">
        <v>3000</v>
      </c>
      <c r="E587" s="1" t="s">
        <v>3001</v>
      </c>
      <c r="F587" s="22" t="s">
        <v>6085</v>
      </c>
      <c r="G587" s="1" t="s">
        <v>6</v>
      </c>
      <c r="H587" s="1" t="s">
        <v>20</v>
      </c>
      <c r="I587" s="1" t="s">
        <v>25</v>
      </c>
      <c r="J587" s="1" t="s">
        <v>9</v>
      </c>
      <c r="K587" s="1" t="s">
        <v>16</v>
      </c>
      <c r="L587" s="1" t="s">
        <v>16</v>
      </c>
      <c r="M587" s="1" t="s">
        <v>53</v>
      </c>
      <c r="N587" s="15" t="s">
        <v>5256</v>
      </c>
      <c r="O587" s="1" t="s">
        <v>6037</v>
      </c>
      <c r="P587" s="1" t="s">
        <v>656</v>
      </c>
      <c r="Q587" s="1" t="s">
        <v>5754</v>
      </c>
      <c r="R587" s="1" t="s">
        <v>4373</v>
      </c>
      <c r="S587" s="8">
        <v>46034</v>
      </c>
      <c r="T587" s="1">
        <v>2</v>
      </c>
      <c r="U587" s="1" t="s">
        <v>4374</v>
      </c>
      <c r="V587" s="1" t="s">
        <v>4375</v>
      </c>
      <c r="W587" s="1" t="s">
        <v>1388</v>
      </c>
    </row>
    <row r="588" spans="1:23" x14ac:dyDescent="0.25">
      <c r="A588" s="1" t="s">
        <v>48</v>
      </c>
      <c r="B588" s="1" t="s">
        <v>2276</v>
      </c>
      <c r="C588" s="1" t="s">
        <v>50</v>
      </c>
      <c r="D588" s="1" t="s">
        <v>3002</v>
      </c>
      <c r="E588" s="1" t="s">
        <v>3003</v>
      </c>
      <c r="F588" s="22" t="s">
        <v>6085</v>
      </c>
      <c r="G588" s="1" t="s">
        <v>5</v>
      </c>
      <c r="H588" s="1" t="s">
        <v>21</v>
      </c>
      <c r="I588" s="1" t="s">
        <v>25</v>
      </c>
      <c r="J588" s="1" t="s">
        <v>9</v>
      </c>
      <c r="K588" s="1" t="s">
        <v>13</v>
      </c>
      <c r="L588" s="1" t="s">
        <v>13</v>
      </c>
      <c r="M588" s="1" t="s">
        <v>53</v>
      </c>
      <c r="N588" s="11" t="s">
        <v>2091</v>
      </c>
      <c r="O588" s="1" t="s">
        <v>6037</v>
      </c>
      <c r="P588" s="1" t="s">
        <v>126</v>
      </c>
      <c r="Q588" s="1" t="s">
        <v>5755</v>
      </c>
      <c r="R588" s="1" t="s">
        <v>4376</v>
      </c>
      <c r="S588" s="8">
        <v>45474</v>
      </c>
      <c r="T588" s="1">
        <v>2</v>
      </c>
      <c r="U588" s="1" t="s">
        <v>4377</v>
      </c>
      <c r="V588" s="1" t="s">
        <v>4377</v>
      </c>
      <c r="W588" s="1" t="s">
        <v>1388</v>
      </c>
    </row>
    <row r="589" spans="1:23" x14ac:dyDescent="0.25">
      <c r="A589" s="1" t="s">
        <v>48</v>
      </c>
      <c r="B589" s="1" t="s">
        <v>2277</v>
      </c>
      <c r="C589" s="1" t="s">
        <v>50</v>
      </c>
      <c r="D589" s="1" t="s">
        <v>3004</v>
      </c>
      <c r="E589" s="1" t="s">
        <v>3005</v>
      </c>
      <c r="F589" s="22" t="s">
        <v>6085</v>
      </c>
      <c r="G589" s="1" t="s">
        <v>7</v>
      </c>
      <c r="H589" s="1" t="s">
        <v>20</v>
      </c>
      <c r="I589" s="1" t="s">
        <v>26</v>
      </c>
      <c r="J589" s="1" t="s">
        <v>9</v>
      </c>
      <c r="K589" s="1" t="s">
        <v>16</v>
      </c>
      <c r="L589" s="1" t="s">
        <v>16</v>
      </c>
      <c r="M589" s="1" t="s">
        <v>53</v>
      </c>
      <c r="N589" s="15" t="s">
        <v>5256</v>
      </c>
      <c r="O589" s="1" t="s">
        <v>6037</v>
      </c>
      <c r="P589" s="1" t="s">
        <v>3944</v>
      </c>
      <c r="Q589" s="1" t="s">
        <v>5756</v>
      </c>
      <c r="R589" s="1" t="s">
        <v>4378</v>
      </c>
      <c r="S589" s="8">
        <v>45930</v>
      </c>
      <c r="T589" s="1">
        <v>2</v>
      </c>
      <c r="U589" s="1" t="s">
        <v>4379</v>
      </c>
      <c r="V589" s="1" t="s">
        <v>302</v>
      </c>
      <c r="W589" s="1" t="s">
        <v>1388</v>
      </c>
    </row>
    <row r="590" spans="1:23" x14ac:dyDescent="0.25">
      <c r="A590" s="1" t="s">
        <v>48</v>
      </c>
      <c r="B590" s="1" t="s">
        <v>2278</v>
      </c>
      <c r="C590" s="1" t="s">
        <v>50</v>
      </c>
      <c r="D590" s="1" t="s">
        <v>3006</v>
      </c>
      <c r="E590" s="1" t="s">
        <v>3007</v>
      </c>
      <c r="F590" s="22" t="s">
        <v>6085</v>
      </c>
      <c r="G590" s="1" t="s">
        <v>5</v>
      </c>
      <c r="H590" s="1" t="s">
        <v>21</v>
      </c>
      <c r="I590" s="1" t="s">
        <v>25</v>
      </c>
      <c r="J590" s="1" t="s">
        <v>9</v>
      </c>
      <c r="K590" s="1" t="s">
        <v>13</v>
      </c>
      <c r="L590" s="1" t="s">
        <v>13</v>
      </c>
      <c r="M590" s="1" t="s">
        <v>53</v>
      </c>
      <c r="N590" s="15" t="s">
        <v>5256</v>
      </c>
      <c r="O590" s="1" t="s">
        <v>6037</v>
      </c>
      <c r="P590" s="1" t="s">
        <v>60</v>
      </c>
      <c r="Q590" s="1" t="s">
        <v>5757</v>
      </c>
      <c r="R590" s="1" t="s">
        <v>4380</v>
      </c>
      <c r="S590" s="8">
        <v>46023</v>
      </c>
      <c r="T590" s="1">
        <v>3</v>
      </c>
      <c r="U590" s="1" t="s">
        <v>4381</v>
      </c>
      <c r="V590" s="1" t="s">
        <v>4382</v>
      </c>
      <c r="W590" s="1" t="s">
        <v>4383</v>
      </c>
    </row>
    <row r="591" spans="1:23" x14ac:dyDescent="0.25">
      <c r="A591" s="1" t="s">
        <v>48</v>
      </c>
      <c r="B591" s="1" t="s">
        <v>2279</v>
      </c>
      <c r="C591" s="1" t="s">
        <v>50</v>
      </c>
      <c r="D591" s="1" t="s">
        <v>3008</v>
      </c>
      <c r="E591" s="1" t="s">
        <v>3009</v>
      </c>
      <c r="F591" s="22" t="s">
        <v>3</v>
      </c>
      <c r="G591" s="1" t="s">
        <v>5</v>
      </c>
      <c r="H591" s="1" t="s">
        <v>20</v>
      </c>
      <c r="I591" s="1" t="s">
        <v>25</v>
      </c>
      <c r="J591" s="1" t="s">
        <v>9</v>
      </c>
      <c r="K591" s="1" t="s">
        <v>13</v>
      </c>
      <c r="L591" s="1" t="s">
        <v>13</v>
      </c>
      <c r="M591" s="1" t="s">
        <v>53</v>
      </c>
      <c r="N591" s="11" t="s">
        <v>2091</v>
      </c>
      <c r="O591" s="1" t="s">
        <v>6037</v>
      </c>
      <c r="P591" s="1" t="s">
        <v>126</v>
      </c>
      <c r="Q591" s="1" t="s">
        <v>5758</v>
      </c>
      <c r="R591" s="7" t="s">
        <v>4384</v>
      </c>
      <c r="S591" s="8">
        <v>46041</v>
      </c>
      <c r="T591" s="1">
        <v>3</v>
      </c>
      <c r="U591" s="1" t="s">
        <v>4385</v>
      </c>
      <c r="V591" s="1" t="s">
        <v>4385</v>
      </c>
      <c r="W591" s="1" t="s">
        <v>4385</v>
      </c>
    </row>
    <row r="592" spans="1:23" x14ac:dyDescent="0.25">
      <c r="A592" s="1" t="s">
        <v>48</v>
      </c>
      <c r="B592" s="1" t="s">
        <v>2280</v>
      </c>
      <c r="C592" s="1" t="s">
        <v>50</v>
      </c>
      <c r="D592" s="1" t="s">
        <v>3010</v>
      </c>
      <c r="E592" s="1" t="s">
        <v>3011</v>
      </c>
      <c r="F592" s="22" t="s">
        <v>6085</v>
      </c>
      <c r="G592" s="1" t="s">
        <v>6</v>
      </c>
      <c r="H592" s="1" t="s">
        <v>20</v>
      </c>
      <c r="I592" s="1" t="s">
        <v>25</v>
      </c>
      <c r="J592" s="1" t="s">
        <v>9</v>
      </c>
      <c r="K592" s="1" t="s">
        <v>13</v>
      </c>
      <c r="L592" s="1" t="s">
        <v>13</v>
      </c>
      <c r="M592" s="1" t="s">
        <v>53</v>
      </c>
      <c r="N592" s="11" t="s">
        <v>188</v>
      </c>
      <c r="O592" s="1" t="s">
        <v>6037</v>
      </c>
      <c r="P592" s="1" t="s">
        <v>247</v>
      </c>
      <c r="Q592" s="1" t="s">
        <v>5759</v>
      </c>
      <c r="R592" s="1" t="s">
        <v>4386</v>
      </c>
      <c r="S592" s="8">
        <v>46054</v>
      </c>
      <c r="T592" s="1">
        <v>2</v>
      </c>
      <c r="U592" s="1" t="s">
        <v>4387</v>
      </c>
      <c r="V592" s="1" t="s">
        <v>4387</v>
      </c>
      <c r="W592" s="1" t="s">
        <v>1388</v>
      </c>
    </row>
    <row r="593" spans="1:23" x14ac:dyDescent="0.25">
      <c r="A593" s="1" t="s">
        <v>48</v>
      </c>
      <c r="B593" s="1" t="s">
        <v>2281</v>
      </c>
      <c r="C593" s="1" t="s">
        <v>50</v>
      </c>
      <c r="D593" s="1" t="s">
        <v>3012</v>
      </c>
      <c r="E593" s="1" t="s">
        <v>3013</v>
      </c>
      <c r="F593" s="22" t="s">
        <v>6085</v>
      </c>
      <c r="G593" s="1" t="s">
        <v>6</v>
      </c>
      <c r="H593" s="1" t="s">
        <v>21</v>
      </c>
      <c r="I593" s="1" t="s">
        <v>25</v>
      </c>
      <c r="J593" s="1" t="s">
        <v>9</v>
      </c>
      <c r="K593" s="1" t="s">
        <v>18</v>
      </c>
      <c r="L593" s="1" t="s">
        <v>14</v>
      </c>
      <c r="M593" s="1" t="s">
        <v>53</v>
      </c>
      <c r="N593" s="11" t="s">
        <v>2091</v>
      </c>
      <c r="O593" s="1" t="s">
        <v>6037</v>
      </c>
      <c r="P593" s="1" t="s">
        <v>60</v>
      </c>
      <c r="Q593" s="1" t="s">
        <v>5760</v>
      </c>
      <c r="R593" s="20" t="s">
        <v>4388</v>
      </c>
      <c r="S593" s="8">
        <v>46055</v>
      </c>
      <c r="T593" s="1">
        <v>2</v>
      </c>
      <c r="U593" s="1" t="s">
        <v>4389</v>
      </c>
      <c r="V593" s="1" t="s">
        <v>4390</v>
      </c>
      <c r="W593" s="1" t="s">
        <v>1388</v>
      </c>
    </row>
    <row r="594" spans="1:23" x14ac:dyDescent="0.25">
      <c r="A594" s="1" t="s">
        <v>48</v>
      </c>
      <c r="B594" s="1" t="s">
        <v>2282</v>
      </c>
      <c r="C594" s="1" t="s">
        <v>50</v>
      </c>
      <c r="D594" s="1" t="s">
        <v>3014</v>
      </c>
      <c r="E594" s="1" t="s">
        <v>3015</v>
      </c>
      <c r="F594" s="22" t="s">
        <v>6085</v>
      </c>
      <c r="G594" s="1" t="s">
        <v>5</v>
      </c>
      <c r="H594" s="1" t="s">
        <v>24</v>
      </c>
      <c r="I594" s="1" t="s">
        <v>25</v>
      </c>
      <c r="J594" s="1" t="s">
        <v>9</v>
      </c>
      <c r="K594" s="1" t="s">
        <v>16</v>
      </c>
      <c r="L594" s="1" t="s">
        <v>16</v>
      </c>
      <c r="M594" s="1" t="s">
        <v>53</v>
      </c>
      <c r="N594" s="11" t="s">
        <v>2091</v>
      </c>
      <c r="O594" s="1" t="s">
        <v>6037</v>
      </c>
      <c r="P594" s="1" t="s">
        <v>60</v>
      </c>
      <c r="Q594" s="1" t="s">
        <v>5761</v>
      </c>
      <c r="R594" s="1" t="s">
        <v>4391</v>
      </c>
      <c r="S594" s="8">
        <v>46027</v>
      </c>
      <c r="T594" s="1">
        <v>3</v>
      </c>
      <c r="U594" s="1" t="s">
        <v>4392</v>
      </c>
      <c r="V594" s="1" t="s">
        <v>4392</v>
      </c>
      <c r="W594" s="1" t="s">
        <v>4392</v>
      </c>
    </row>
    <row r="595" spans="1:23" x14ac:dyDescent="0.25">
      <c r="A595" s="1" t="s">
        <v>48</v>
      </c>
      <c r="B595" s="1" t="s">
        <v>2283</v>
      </c>
      <c r="C595" s="1" t="s">
        <v>50</v>
      </c>
      <c r="D595" s="1" t="s">
        <v>3016</v>
      </c>
      <c r="E595" s="1" t="s">
        <v>3017</v>
      </c>
      <c r="F595" s="22" t="s">
        <v>6085</v>
      </c>
      <c r="G595" s="1" t="s">
        <v>6</v>
      </c>
      <c r="H595" s="1" t="s">
        <v>20</v>
      </c>
      <c r="I595" s="1" t="s">
        <v>25</v>
      </c>
      <c r="J595" s="1" t="s">
        <v>9</v>
      </c>
      <c r="K595" s="1" t="s">
        <v>14</v>
      </c>
      <c r="L595" s="1" t="s">
        <v>14</v>
      </c>
      <c r="M595" s="1" t="s">
        <v>53</v>
      </c>
      <c r="N595" s="11" t="s">
        <v>2091</v>
      </c>
      <c r="O595" s="1" t="s">
        <v>6037</v>
      </c>
      <c r="P595" s="1" t="s">
        <v>656</v>
      </c>
      <c r="Q595" s="1" t="s">
        <v>5762</v>
      </c>
      <c r="R595" s="1" t="s">
        <v>4393</v>
      </c>
      <c r="S595" s="8">
        <v>45698</v>
      </c>
      <c r="T595" s="1">
        <v>1</v>
      </c>
      <c r="U595" s="1" t="s">
        <v>1701</v>
      </c>
      <c r="V595" s="1" t="s">
        <v>1388</v>
      </c>
      <c r="W595" s="1" t="s">
        <v>1388</v>
      </c>
    </row>
    <row r="596" spans="1:23" x14ac:dyDescent="0.25">
      <c r="A596" s="1" t="s">
        <v>48</v>
      </c>
      <c r="B596" s="1" t="s">
        <v>2284</v>
      </c>
      <c r="C596" s="1" t="s">
        <v>50</v>
      </c>
      <c r="D596" s="1" t="s">
        <v>3018</v>
      </c>
      <c r="E596" s="1" t="s">
        <v>3019</v>
      </c>
      <c r="F596" s="22" t="s">
        <v>3</v>
      </c>
      <c r="G596" s="1" t="s">
        <v>6</v>
      </c>
      <c r="H596" s="1" t="s">
        <v>20</v>
      </c>
      <c r="I596" s="1" t="s">
        <v>26</v>
      </c>
      <c r="J596" s="1" t="s">
        <v>9</v>
      </c>
      <c r="K596" s="1" t="s">
        <v>19</v>
      </c>
      <c r="L596" s="1" t="s">
        <v>19</v>
      </c>
      <c r="M596" s="1" t="s">
        <v>53</v>
      </c>
      <c r="N596" s="11" t="s">
        <v>2091</v>
      </c>
      <c r="O596" s="1" t="s">
        <v>6037</v>
      </c>
      <c r="P596" s="1" t="s">
        <v>60</v>
      </c>
      <c r="Q596" s="1" t="s">
        <v>5763</v>
      </c>
      <c r="R596" s="7" t="s">
        <v>4394</v>
      </c>
      <c r="S596" s="8">
        <v>46034</v>
      </c>
      <c r="T596" s="1">
        <v>1</v>
      </c>
      <c r="U596" s="1" t="s">
        <v>4395</v>
      </c>
      <c r="V596" s="1" t="s">
        <v>1388</v>
      </c>
      <c r="W596" s="1" t="s">
        <v>1388</v>
      </c>
    </row>
    <row r="597" spans="1:23" x14ac:dyDescent="0.25">
      <c r="A597" s="1" t="s">
        <v>48</v>
      </c>
      <c r="B597" s="1" t="s">
        <v>2285</v>
      </c>
      <c r="C597" s="1" t="s">
        <v>50</v>
      </c>
      <c r="D597" s="1" t="s">
        <v>3020</v>
      </c>
      <c r="E597" s="1" t="s">
        <v>3021</v>
      </c>
      <c r="F597" s="22" t="s">
        <v>6085</v>
      </c>
      <c r="G597" s="1" t="s">
        <v>5</v>
      </c>
      <c r="H597" s="1" t="s">
        <v>24</v>
      </c>
      <c r="I597" s="1" t="s">
        <v>25</v>
      </c>
      <c r="J597" s="1" t="s">
        <v>9</v>
      </c>
      <c r="K597" s="1" t="s">
        <v>16</v>
      </c>
      <c r="L597" s="1" t="s">
        <v>16</v>
      </c>
      <c r="M597" s="1" t="s">
        <v>53</v>
      </c>
      <c r="N597" s="11" t="s">
        <v>188</v>
      </c>
      <c r="O597" s="1" t="s">
        <v>6235</v>
      </c>
      <c r="P597" s="1" t="s">
        <v>247</v>
      </c>
      <c r="Q597" s="1" t="s">
        <v>5714</v>
      </c>
      <c r="R597" s="1" t="s">
        <v>4396</v>
      </c>
      <c r="S597" s="8">
        <v>46023</v>
      </c>
      <c r="T597" s="1">
        <v>1</v>
      </c>
      <c r="U597" s="1" t="s">
        <v>4397</v>
      </c>
      <c r="V597" s="1" t="s">
        <v>1388</v>
      </c>
      <c r="W597" s="1" t="s">
        <v>1388</v>
      </c>
    </row>
    <row r="598" spans="1:23" x14ac:dyDescent="0.25">
      <c r="A598" s="1" t="s">
        <v>48</v>
      </c>
      <c r="B598" s="1" t="s">
        <v>2286</v>
      </c>
      <c r="C598" s="1" t="s">
        <v>50</v>
      </c>
      <c r="D598" s="1" t="s">
        <v>3022</v>
      </c>
      <c r="E598" s="1" t="s">
        <v>3023</v>
      </c>
      <c r="F598" s="22" t="s">
        <v>6085</v>
      </c>
      <c r="G598" s="1" t="s">
        <v>5</v>
      </c>
      <c r="H598" s="1" t="s">
        <v>20</v>
      </c>
      <c r="I598" s="1" t="s">
        <v>25</v>
      </c>
      <c r="J598" s="1" t="s">
        <v>9</v>
      </c>
      <c r="K598" s="1" t="s">
        <v>15</v>
      </c>
      <c r="L598" s="1" t="s">
        <v>15</v>
      </c>
      <c r="M598" s="1" t="s">
        <v>53</v>
      </c>
      <c r="N598" s="11" t="s">
        <v>2091</v>
      </c>
      <c r="O598" s="1" t="s">
        <v>6037</v>
      </c>
      <c r="P598" s="1" t="s">
        <v>1519</v>
      </c>
      <c r="Q598" s="1" t="s">
        <v>5764</v>
      </c>
      <c r="R598" s="1" t="s">
        <v>4398</v>
      </c>
      <c r="S598" s="8">
        <v>46041</v>
      </c>
      <c r="T598" s="1">
        <v>3</v>
      </c>
      <c r="U598" s="1" t="s">
        <v>302</v>
      </c>
      <c r="V598" s="1" t="s">
        <v>302</v>
      </c>
      <c r="W598" s="1" t="s">
        <v>302</v>
      </c>
    </row>
    <row r="599" spans="1:23" x14ac:dyDescent="0.25">
      <c r="A599" s="1" t="s">
        <v>48</v>
      </c>
      <c r="B599" s="1" t="s">
        <v>2287</v>
      </c>
      <c r="C599" s="1" t="s">
        <v>50</v>
      </c>
      <c r="D599" s="1" t="s">
        <v>3024</v>
      </c>
      <c r="E599" s="1" t="s">
        <v>3025</v>
      </c>
      <c r="F599" s="22" t="s">
        <v>3</v>
      </c>
      <c r="G599" s="1" t="s">
        <v>6</v>
      </c>
      <c r="H599" s="1" t="s">
        <v>20</v>
      </c>
      <c r="I599" s="1" t="s">
        <v>25</v>
      </c>
      <c r="J599" s="1" t="s">
        <v>9</v>
      </c>
      <c r="K599" s="1" t="s">
        <v>13</v>
      </c>
      <c r="L599" s="1" t="s">
        <v>16</v>
      </c>
      <c r="M599" s="1" t="s">
        <v>53</v>
      </c>
      <c r="N599" s="1" t="s">
        <v>1664</v>
      </c>
      <c r="O599" s="1" t="s">
        <v>6037</v>
      </c>
      <c r="P599" s="1" t="s">
        <v>284</v>
      </c>
      <c r="Q599" s="1" t="s">
        <v>5765</v>
      </c>
      <c r="R599" s="1" t="s">
        <v>4399</v>
      </c>
      <c r="S599" s="8">
        <v>45296</v>
      </c>
      <c r="T599" s="1">
        <v>3</v>
      </c>
      <c r="U599" s="1" t="s">
        <v>4400</v>
      </c>
      <c r="V599" s="1" t="s">
        <v>208</v>
      </c>
      <c r="W599" s="1" t="s">
        <v>4401</v>
      </c>
    </row>
    <row r="600" spans="1:23" x14ac:dyDescent="0.25">
      <c r="A600" s="1" t="s">
        <v>48</v>
      </c>
      <c r="B600" s="1" t="s">
        <v>2288</v>
      </c>
      <c r="C600" s="1" t="s">
        <v>50</v>
      </c>
      <c r="D600" s="1" t="s">
        <v>3026</v>
      </c>
      <c r="E600" s="1" t="s">
        <v>3027</v>
      </c>
      <c r="F600" s="22" t="s">
        <v>6085</v>
      </c>
      <c r="G600" s="1" t="s">
        <v>5</v>
      </c>
      <c r="H600" s="1" t="s">
        <v>20</v>
      </c>
      <c r="I600" s="1" t="s">
        <v>26</v>
      </c>
      <c r="J600" s="1" t="s">
        <v>9</v>
      </c>
      <c r="K600" s="1" t="s">
        <v>11</v>
      </c>
      <c r="L600" s="1" t="s">
        <v>11</v>
      </c>
      <c r="M600" s="1" t="s">
        <v>53</v>
      </c>
      <c r="N600" s="11" t="s">
        <v>2091</v>
      </c>
      <c r="O600" s="1" t="s">
        <v>6037</v>
      </c>
      <c r="P600" s="1" t="s">
        <v>1456</v>
      </c>
      <c r="Q600" s="1" t="s">
        <v>5418</v>
      </c>
      <c r="R600" s="1" t="s">
        <v>4402</v>
      </c>
      <c r="S600" s="8">
        <v>46069</v>
      </c>
      <c r="T600" s="1">
        <v>3</v>
      </c>
      <c r="U600" s="1" t="s">
        <v>4403</v>
      </c>
      <c r="V600" s="1" t="s">
        <v>4404</v>
      </c>
      <c r="W600" s="1" t="s">
        <v>4405</v>
      </c>
    </row>
    <row r="601" spans="1:23" x14ac:dyDescent="0.25">
      <c r="A601" s="1" t="s">
        <v>48</v>
      </c>
      <c r="B601" s="1" t="s">
        <v>2289</v>
      </c>
      <c r="C601" s="1" t="s">
        <v>50</v>
      </c>
      <c r="D601" s="1" t="s">
        <v>3028</v>
      </c>
      <c r="E601" s="1" t="s">
        <v>3029</v>
      </c>
      <c r="F601" s="22" t="s">
        <v>6085</v>
      </c>
      <c r="G601" s="1" t="s">
        <v>5</v>
      </c>
      <c r="H601" s="1" t="s">
        <v>22</v>
      </c>
      <c r="I601" s="1" t="s">
        <v>25</v>
      </c>
      <c r="J601" s="1" t="s">
        <v>9</v>
      </c>
      <c r="K601" s="1" t="s">
        <v>18</v>
      </c>
      <c r="L601" s="1" t="s">
        <v>18</v>
      </c>
      <c r="M601" s="1" t="s">
        <v>53</v>
      </c>
      <c r="N601" s="11" t="s">
        <v>188</v>
      </c>
      <c r="O601" s="1" t="s">
        <v>6037</v>
      </c>
      <c r="P601" s="1" t="s">
        <v>126</v>
      </c>
      <c r="Q601" s="1" t="s">
        <v>5766</v>
      </c>
      <c r="R601" s="18" t="s">
        <v>4406</v>
      </c>
      <c r="S601" s="8">
        <v>45845</v>
      </c>
      <c r="T601" s="1">
        <v>3</v>
      </c>
      <c r="U601" s="1" t="s">
        <v>4407</v>
      </c>
      <c r="V601" s="1" t="s">
        <v>4408</v>
      </c>
      <c r="W601" s="1" t="s">
        <v>4409</v>
      </c>
    </row>
    <row r="602" spans="1:23" x14ac:dyDescent="0.25">
      <c r="A602" s="1" t="s">
        <v>48</v>
      </c>
      <c r="B602" s="1" t="s">
        <v>2290</v>
      </c>
      <c r="C602" s="1" t="s">
        <v>50</v>
      </c>
      <c r="D602" s="1" t="s">
        <v>3030</v>
      </c>
      <c r="E602" s="1" t="s">
        <v>3031</v>
      </c>
      <c r="F602" s="22" t="s">
        <v>6085</v>
      </c>
      <c r="G602" s="1" t="s">
        <v>5</v>
      </c>
      <c r="H602" s="1" t="s">
        <v>22</v>
      </c>
      <c r="I602" s="1" t="s">
        <v>25</v>
      </c>
      <c r="J602" s="1" t="s">
        <v>9</v>
      </c>
      <c r="K602" s="1" t="s">
        <v>19</v>
      </c>
      <c r="L602" s="1" t="s">
        <v>19</v>
      </c>
      <c r="M602" s="1" t="s">
        <v>53</v>
      </c>
      <c r="N602" s="15" t="s">
        <v>1829</v>
      </c>
      <c r="O602" s="1" t="s">
        <v>6037</v>
      </c>
      <c r="P602" s="1" t="s">
        <v>4410</v>
      </c>
      <c r="Q602" s="18" t="s">
        <v>5767</v>
      </c>
      <c r="R602" s="1" t="s">
        <v>4411</v>
      </c>
      <c r="S602" s="8">
        <v>46027</v>
      </c>
      <c r="T602" s="1">
        <v>3</v>
      </c>
      <c r="U602" s="1" t="s">
        <v>1803</v>
      </c>
      <c r="V602" s="1" t="s">
        <v>4412</v>
      </c>
      <c r="W602" s="1" t="s">
        <v>4413</v>
      </c>
    </row>
    <row r="603" spans="1:23" x14ac:dyDescent="0.25">
      <c r="A603" s="1" t="s">
        <v>48</v>
      </c>
      <c r="B603" s="1" t="s">
        <v>2291</v>
      </c>
      <c r="C603" s="1" t="s">
        <v>50</v>
      </c>
      <c r="D603" s="1" t="s">
        <v>3032</v>
      </c>
      <c r="E603" s="1" t="s">
        <v>3033</v>
      </c>
      <c r="F603" s="22" t="s">
        <v>6085</v>
      </c>
      <c r="G603" s="1" t="s">
        <v>5</v>
      </c>
      <c r="H603" s="1" t="s">
        <v>24</v>
      </c>
      <c r="I603" s="1" t="s">
        <v>25</v>
      </c>
      <c r="J603" s="1" t="s">
        <v>9</v>
      </c>
      <c r="K603" s="1" t="s">
        <v>16</v>
      </c>
      <c r="L603" s="1" t="s">
        <v>16</v>
      </c>
      <c r="M603" s="1" t="s">
        <v>53</v>
      </c>
      <c r="N603" s="11" t="s">
        <v>188</v>
      </c>
      <c r="O603" s="1" t="s">
        <v>6037</v>
      </c>
      <c r="P603" s="1" t="s">
        <v>4414</v>
      </c>
      <c r="Q603" s="1" t="s">
        <v>5768</v>
      </c>
      <c r="R603" s="1" t="s">
        <v>4415</v>
      </c>
      <c r="S603" s="8">
        <v>45658</v>
      </c>
      <c r="T603" s="1">
        <v>3</v>
      </c>
      <c r="U603" s="1" t="s">
        <v>4416</v>
      </c>
      <c r="V603" s="1" t="s">
        <v>3975</v>
      </c>
      <c r="W603" s="1" t="s">
        <v>3975</v>
      </c>
    </row>
    <row r="604" spans="1:23" x14ac:dyDescent="0.25">
      <c r="A604" s="1" t="s">
        <v>48</v>
      </c>
      <c r="B604" s="1" t="s">
        <v>2292</v>
      </c>
      <c r="C604" s="1" t="s">
        <v>50</v>
      </c>
      <c r="D604" s="1" t="s">
        <v>3034</v>
      </c>
      <c r="E604" s="1" t="s">
        <v>3035</v>
      </c>
      <c r="F604" s="22" t="s">
        <v>6085</v>
      </c>
      <c r="G604" s="1" t="s">
        <v>6</v>
      </c>
      <c r="H604" s="1" t="s">
        <v>24</v>
      </c>
      <c r="I604" s="1" t="s">
        <v>25</v>
      </c>
      <c r="J604" s="1" t="s">
        <v>9</v>
      </c>
      <c r="K604" s="1" t="s">
        <v>13</v>
      </c>
      <c r="L604" s="1" t="s">
        <v>13</v>
      </c>
      <c r="M604" s="1" t="s">
        <v>53</v>
      </c>
      <c r="N604" s="11" t="s">
        <v>188</v>
      </c>
      <c r="O604" s="1" t="s">
        <v>6037</v>
      </c>
      <c r="P604" s="1" t="s">
        <v>126</v>
      </c>
      <c r="Q604" s="1" t="s">
        <v>5769</v>
      </c>
      <c r="R604" s="1" t="s">
        <v>4417</v>
      </c>
      <c r="S604" s="8">
        <v>45706</v>
      </c>
      <c r="T604" s="1">
        <v>1</v>
      </c>
      <c r="U604" s="1" t="s">
        <v>4418</v>
      </c>
      <c r="V604" s="1" t="s">
        <v>1388</v>
      </c>
      <c r="W604" s="1" t="s">
        <v>1388</v>
      </c>
    </row>
    <row r="605" spans="1:23" x14ac:dyDescent="0.25">
      <c r="A605" s="1" t="s">
        <v>48</v>
      </c>
      <c r="B605" s="1" t="s">
        <v>2293</v>
      </c>
      <c r="C605" s="1" t="s">
        <v>50</v>
      </c>
      <c r="D605" s="1" t="s">
        <v>3036</v>
      </c>
      <c r="E605" s="1" t="s">
        <v>3037</v>
      </c>
      <c r="F605" s="22" t="s">
        <v>6085</v>
      </c>
      <c r="G605" s="1" t="s">
        <v>5</v>
      </c>
      <c r="H605" s="1" t="s">
        <v>20</v>
      </c>
      <c r="I605" s="1" t="s">
        <v>25</v>
      </c>
      <c r="J605" s="1" t="s">
        <v>9</v>
      </c>
      <c r="K605" s="1" t="s">
        <v>14</v>
      </c>
      <c r="L605" s="1" t="s">
        <v>14</v>
      </c>
      <c r="M605" s="1" t="s">
        <v>53</v>
      </c>
      <c r="N605" s="11" t="s">
        <v>188</v>
      </c>
      <c r="O605" s="1" t="s">
        <v>6037</v>
      </c>
      <c r="P605" s="1" t="s">
        <v>247</v>
      </c>
      <c r="Q605" s="1" t="s">
        <v>5770</v>
      </c>
      <c r="R605" s="1" t="s">
        <v>4419</v>
      </c>
      <c r="S605" s="8">
        <v>45748</v>
      </c>
      <c r="T605" s="1">
        <v>2</v>
      </c>
      <c r="U605" s="1" t="s">
        <v>4420</v>
      </c>
      <c r="V605" s="1" t="s">
        <v>4420</v>
      </c>
      <c r="W605" s="1" t="s">
        <v>1388</v>
      </c>
    </row>
    <row r="606" spans="1:23" x14ac:dyDescent="0.25">
      <c r="A606" s="1" t="s">
        <v>48</v>
      </c>
      <c r="B606" s="1" t="s">
        <v>2294</v>
      </c>
      <c r="C606" s="1" t="s">
        <v>50</v>
      </c>
      <c r="D606" s="1" t="s">
        <v>3038</v>
      </c>
      <c r="E606" s="1" t="s">
        <v>3039</v>
      </c>
      <c r="F606" s="22" t="s">
        <v>6085</v>
      </c>
      <c r="G606" s="1" t="s">
        <v>7</v>
      </c>
      <c r="H606" s="1" t="s">
        <v>20</v>
      </c>
      <c r="I606" s="1" t="s">
        <v>25</v>
      </c>
      <c r="J606" s="1" t="s">
        <v>9</v>
      </c>
      <c r="K606" s="1" t="s">
        <v>10</v>
      </c>
      <c r="L606" s="1" t="s">
        <v>16</v>
      </c>
      <c r="M606" s="1" t="s">
        <v>53</v>
      </c>
      <c r="N606" s="11" t="s">
        <v>188</v>
      </c>
      <c r="O606" s="1" t="s">
        <v>6037</v>
      </c>
      <c r="P606" s="1" t="s">
        <v>181</v>
      </c>
      <c r="Q606" s="18" t="s">
        <v>5771</v>
      </c>
      <c r="R606" s="1" t="s">
        <v>4421</v>
      </c>
      <c r="S606" s="8">
        <v>38747</v>
      </c>
      <c r="T606" s="1">
        <v>2</v>
      </c>
      <c r="U606" s="1" t="s">
        <v>3885</v>
      </c>
      <c r="V606" s="1" t="s">
        <v>4422</v>
      </c>
      <c r="W606" s="1" t="s">
        <v>1388</v>
      </c>
    </row>
    <row r="607" spans="1:23" x14ac:dyDescent="0.25">
      <c r="A607" s="1" t="s">
        <v>48</v>
      </c>
      <c r="B607" s="1" t="s">
        <v>2295</v>
      </c>
      <c r="C607" s="1" t="s">
        <v>50</v>
      </c>
      <c r="D607" s="1" t="s">
        <v>3040</v>
      </c>
      <c r="E607" s="1" t="s">
        <v>3041</v>
      </c>
      <c r="F607" s="22" t="s">
        <v>6085</v>
      </c>
      <c r="G607" s="1" t="s">
        <v>6</v>
      </c>
      <c r="H607" s="1" t="s">
        <v>20</v>
      </c>
      <c r="I607" s="1" t="s">
        <v>25</v>
      </c>
      <c r="J607" s="1" t="s">
        <v>9</v>
      </c>
      <c r="K607" s="1" t="s">
        <v>13</v>
      </c>
      <c r="L607" s="1" t="s">
        <v>13</v>
      </c>
      <c r="M607" s="1" t="s">
        <v>53</v>
      </c>
      <c r="N607" s="11" t="s">
        <v>188</v>
      </c>
      <c r="O607" s="1" t="s">
        <v>6037</v>
      </c>
      <c r="P607" s="1" t="s">
        <v>126</v>
      </c>
      <c r="Q607" s="1" t="s">
        <v>5772</v>
      </c>
      <c r="R607" s="1" t="s">
        <v>4423</v>
      </c>
      <c r="S607" s="8">
        <v>45716</v>
      </c>
      <c r="T607" s="1">
        <v>1</v>
      </c>
      <c r="U607" s="1" t="s">
        <v>951</v>
      </c>
      <c r="V607" s="1" t="s">
        <v>1388</v>
      </c>
      <c r="W607" s="1" t="s">
        <v>1388</v>
      </c>
    </row>
    <row r="608" spans="1:23" x14ac:dyDescent="0.25">
      <c r="A608" s="1" t="s">
        <v>48</v>
      </c>
      <c r="B608" s="1" t="s">
        <v>2296</v>
      </c>
      <c r="C608" s="1" t="s">
        <v>50</v>
      </c>
      <c r="D608" s="1" t="s">
        <v>3042</v>
      </c>
      <c r="E608" s="1" t="s">
        <v>3043</v>
      </c>
      <c r="F608" s="22" t="s">
        <v>6085</v>
      </c>
      <c r="G608" s="1" t="s">
        <v>7</v>
      </c>
      <c r="H608" s="1" t="s">
        <v>20</v>
      </c>
      <c r="I608" s="1" t="s">
        <v>26</v>
      </c>
      <c r="J608" s="1" t="s">
        <v>9</v>
      </c>
      <c r="K608" s="1" t="s">
        <v>16</v>
      </c>
      <c r="L608" s="1" t="s">
        <v>16</v>
      </c>
      <c r="M608" s="1" t="s">
        <v>53</v>
      </c>
      <c r="N608" s="11" t="s">
        <v>188</v>
      </c>
      <c r="O608" s="1" t="s">
        <v>6037</v>
      </c>
      <c r="P608" s="1" t="s">
        <v>126</v>
      </c>
      <c r="Q608" s="1" t="s">
        <v>5773</v>
      </c>
      <c r="R608" s="1" t="s">
        <v>4424</v>
      </c>
      <c r="S608" s="8">
        <v>46027</v>
      </c>
      <c r="T608" s="1">
        <v>2</v>
      </c>
      <c r="U608" s="1" t="s">
        <v>4425</v>
      </c>
      <c r="V608" s="1" t="s">
        <v>4426</v>
      </c>
      <c r="W608" s="1" t="s">
        <v>1388</v>
      </c>
    </row>
    <row r="609" spans="1:23" x14ac:dyDescent="0.25">
      <c r="A609" s="1" t="s">
        <v>48</v>
      </c>
      <c r="B609" s="1" t="s">
        <v>2297</v>
      </c>
      <c r="C609" s="1" t="s">
        <v>50</v>
      </c>
      <c r="D609" s="1" t="s">
        <v>3044</v>
      </c>
      <c r="E609" s="1" t="s">
        <v>3045</v>
      </c>
      <c r="F609" s="22" t="s">
        <v>6085</v>
      </c>
      <c r="G609" s="1" t="s">
        <v>5</v>
      </c>
      <c r="H609" s="1" t="s">
        <v>20</v>
      </c>
      <c r="I609" s="1" t="s">
        <v>25</v>
      </c>
      <c r="J609" s="1" t="s">
        <v>9</v>
      </c>
      <c r="K609" s="1" t="s">
        <v>13</v>
      </c>
      <c r="L609" s="1" t="s">
        <v>13</v>
      </c>
      <c r="M609" s="1" t="s">
        <v>53</v>
      </c>
      <c r="N609" s="11" t="s">
        <v>188</v>
      </c>
      <c r="O609" s="1" t="s">
        <v>6037</v>
      </c>
      <c r="P609" s="1" t="s">
        <v>126</v>
      </c>
      <c r="Q609" s="1" t="s">
        <v>5774</v>
      </c>
      <c r="R609" s="1" t="s">
        <v>4427</v>
      </c>
      <c r="S609" s="8">
        <v>46049</v>
      </c>
      <c r="T609" s="1">
        <v>3</v>
      </c>
      <c r="U609" s="1" t="s">
        <v>4428</v>
      </c>
      <c r="V609" s="1" t="s">
        <v>4428</v>
      </c>
      <c r="W609" s="1" t="s">
        <v>4428</v>
      </c>
    </row>
    <row r="610" spans="1:23" x14ac:dyDescent="0.25">
      <c r="A610" s="1" t="s">
        <v>48</v>
      </c>
      <c r="B610" s="1" t="s">
        <v>2298</v>
      </c>
      <c r="C610" s="1" t="s">
        <v>50</v>
      </c>
      <c r="D610" s="1" t="s">
        <v>3046</v>
      </c>
      <c r="E610" s="1" t="s">
        <v>3047</v>
      </c>
      <c r="F610" s="22" t="s">
        <v>6085</v>
      </c>
      <c r="G610" s="1" t="s">
        <v>6</v>
      </c>
      <c r="H610" s="1" t="s">
        <v>21</v>
      </c>
      <c r="I610" s="1" t="s">
        <v>26</v>
      </c>
      <c r="J610" s="1" t="s">
        <v>9</v>
      </c>
      <c r="K610" s="1" t="s">
        <v>14</v>
      </c>
      <c r="L610" s="1" t="s">
        <v>14</v>
      </c>
      <c r="M610" s="1" t="s">
        <v>53</v>
      </c>
      <c r="N610" s="15" t="s">
        <v>1829</v>
      </c>
      <c r="O610" s="1" t="s">
        <v>6037</v>
      </c>
      <c r="P610" s="1" t="s">
        <v>707</v>
      </c>
      <c r="Q610" s="1" t="s">
        <v>5775</v>
      </c>
      <c r="R610" s="1" t="s">
        <v>4429</v>
      </c>
      <c r="S610" s="8">
        <v>45352</v>
      </c>
      <c r="T610" s="1">
        <v>1</v>
      </c>
      <c r="U610" s="1" t="s">
        <v>349</v>
      </c>
      <c r="V610" s="1" t="s">
        <v>1388</v>
      </c>
      <c r="W610" s="1" t="s">
        <v>1388</v>
      </c>
    </row>
    <row r="611" spans="1:23" x14ac:dyDescent="0.25">
      <c r="A611" s="1" t="s">
        <v>48</v>
      </c>
      <c r="B611" s="1" t="s">
        <v>2299</v>
      </c>
      <c r="C611" s="1" t="s">
        <v>50</v>
      </c>
      <c r="D611" s="1" t="s">
        <v>3048</v>
      </c>
      <c r="E611" s="1" t="s">
        <v>3049</v>
      </c>
      <c r="F611" s="22" t="s">
        <v>6085</v>
      </c>
      <c r="G611" s="1" t="s">
        <v>5</v>
      </c>
      <c r="H611" s="1" t="s">
        <v>24</v>
      </c>
      <c r="I611" s="1" t="s">
        <v>25</v>
      </c>
      <c r="J611" s="1" t="s">
        <v>9</v>
      </c>
      <c r="K611" s="1" t="s">
        <v>16</v>
      </c>
      <c r="L611" s="1" t="s">
        <v>16</v>
      </c>
      <c r="M611" s="1" t="s">
        <v>53</v>
      </c>
      <c r="N611" s="11" t="s">
        <v>188</v>
      </c>
      <c r="O611" s="1" t="s">
        <v>6037</v>
      </c>
      <c r="P611" s="1" t="s">
        <v>126</v>
      </c>
      <c r="Q611" s="1" t="s">
        <v>5776</v>
      </c>
      <c r="R611" s="1" t="s">
        <v>4430</v>
      </c>
      <c r="S611" s="8">
        <v>46023</v>
      </c>
      <c r="T611" s="1">
        <v>3</v>
      </c>
      <c r="U611" s="1" t="s">
        <v>4431</v>
      </c>
      <c r="V611" s="1" t="s">
        <v>4432</v>
      </c>
      <c r="W611" s="1" t="s">
        <v>4433</v>
      </c>
    </row>
    <row r="612" spans="1:23" x14ac:dyDescent="0.25">
      <c r="A612" s="1" t="s">
        <v>48</v>
      </c>
      <c r="B612" s="1" t="s">
        <v>2300</v>
      </c>
      <c r="C612" s="1" t="s">
        <v>50</v>
      </c>
      <c r="D612" s="1" t="s">
        <v>3050</v>
      </c>
      <c r="E612" s="1" t="s">
        <v>3051</v>
      </c>
      <c r="F612" s="22" t="s">
        <v>6085</v>
      </c>
      <c r="G612" s="1" t="s">
        <v>6</v>
      </c>
      <c r="H612" s="1" t="s">
        <v>20</v>
      </c>
      <c r="I612" s="1" t="s">
        <v>25</v>
      </c>
      <c r="J612" s="1" t="s">
        <v>9</v>
      </c>
      <c r="K612" s="1" t="s">
        <v>13</v>
      </c>
      <c r="L612" s="1" t="s">
        <v>13</v>
      </c>
      <c r="M612" s="1" t="s">
        <v>53</v>
      </c>
      <c r="N612" s="15" t="s">
        <v>5260</v>
      </c>
      <c r="O612" s="1" t="s">
        <v>6037</v>
      </c>
      <c r="P612" s="1" t="s">
        <v>199</v>
      </c>
      <c r="Q612" s="1" t="s">
        <v>5777</v>
      </c>
      <c r="R612" s="1" t="s">
        <v>4434</v>
      </c>
      <c r="S612" s="8">
        <v>46023</v>
      </c>
      <c r="T612" s="1">
        <v>1</v>
      </c>
      <c r="U612" s="1" t="s">
        <v>4435</v>
      </c>
      <c r="V612" s="1" t="s">
        <v>1388</v>
      </c>
      <c r="W612" s="1" t="s">
        <v>1388</v>
      </c>
    </row>
    <row r="613" spans="1:23" x14ac:dyDescent="0.25">
      <c r="A613" s="1" t="s">
        <v>48</v>
      </c>
      <c r="B613" s="1" t="s">
        <v>2301</v>
      </c>
      <c r="C613" s="1" t="s">
        <v>50</v>
      </c>
      <c r="D613" s="1" t="s">
        <v>3052</v>
      </c>
      <c r="E613" s="1" t="s">
        <v>3053</v>
      </c>
      <c r="F613" s="22" t="s">
        <v>6085</v>
      </c>
      <c r="G613" s="1" t="s">
        <v>7</v>
      </c>
      <c r="H613" s="1" t="s">
        <v>20</v>
      </c>
      <c r="I613" s="1" t="s">
        <v>26</v>
      </c>
      <c r="J613" s="1" t="s">
        <v>9</v>
      </c>
      <c r="K613" s="1" t="s">
        <v>12</v>
      </c>
      <c r="L613" s="1" t="s">
        <v>12</v>
      </c>
      <c r="M613" s="1" t="s">
        <v>53</v>
      </c>
      <c r="N613" s="11" t="s">
        <v>188</v>
      </c>
      <c r="O613" s="1" t="s">
        <v>6037</v>
      </c>
      <c r="P613" s="1" t="s">
        <v>4436</v>
      </c>
      <c r="Q613" s="1" t="s">
        <v>5778</v>
      </c>
      <c r="R613" s="1" t="s">
        <v>5258</v>
      </c>
      <c r="S613" s="8">
        <v>46083</v>
      </c>
      <c r="T613" s="1">
        <v>2</v>
      </c>
      <c r="U613" s="1" t="s">
        <v>4437</v>
      </c>
      <c r="V613" s="1" t="s">
        <v>4438</v>
      </c>
      <c r="W613" s="1" t="s">
        <v>1388</v>
      </c>
    </row>
    <row r="614" spans="1:23" x14ac:dyDescent="0.25">
      <c r="A614" s="1" t="s">
        <v>48</v>
      </c>
      <c r="B614" s="1" t="s">
        <v>2302</v>
      </c>
      <c r="C614" s="1" t="s">
        <v>50</v>
      </c>
      <c r="D614" s="1" t="s">
        <v>3054</v>
      </c>
      <c r="E614" s="1" t="s">
        <v>3055</v>
      </c>
      <c r="F614" s="22" t="s">
        <v>6085</v>
      </c>
      <c r="G614" s="1" t="s">
        <v>6</v>
      </c>
      <c r="H614" s="1" t="s">
        <v>20</v>
      </c>
      <c r="I614" s="1" t="s">
        <v>26</v>
      </c>
      <c r="J614" s="1" t="s">
        <v>9</v>
      </c>
      <c r="K614" s="1" t="s">
        <v>10</v>
      </c>
      <c r="L614" s="1" t="s">
        <v>16</v>
      </c>
      <c r="M614" s="1" t="s">
        <v>53</v>
      </c>
      <c r="N614" s="11" t="s">
        <v>188</v>
      </c>
      <c r="O614" s="1" t="s">
        <v>6037</v>
      </c>
      <c r="P614" s="1" t="s">
        <v>60</v>
      </c>
      <c r="Q614" s="17" t="s">
        <v>5779</v>
      </c>
      <c r="R614" s="1" t="s">
        <v>4439</v>
      </c>
      <c r="S614" s="8">
        <v>45714</v>
      </c>
      <c r="T614" s="1">
        <v>1</v>
      </c>
      <c r="U614" s="1" t="s">
        <v>4440</v>
      </c>
      <c r="V614" s="1" t="s">
        <v>1388</v>
      </c>
      <c r="W614" s="1" t="s">
        <v>1388</v>
      </c>
    </row>
    <row r="615" spans="1:23" x14ac:dyDescent="0.25">
      <c r="A615" s="1" t="s">
        <v>48</v>
      </c>
      <c r="B615" s="1" t="s">
        <v>2303</v>
      </c>
      <c r="C615" s="1" t="s">
        <v>50</v>
      </c>
      <c r="D615" s="1" t="s">
        <v>3056</v>
      </c>
      <c r="E615" s="1" t="s">
        <v>3057</v>
      </c>
      <c r="F615" s="22" t="s">
        <v>6085</v>
      </c>
      <c r="G615" s="1" t="s">
        <v>7</v>
      </c>
      <c r="H615" s="1" t="s">
        <v>20</v>
      </c>
      <c r="I615" s="1" t="s">
        <v>26</v>
      </c>
      <c r="J615" s="1" t="s">
        <v>9</v>
      </c>
      <c r="K615" s="1" t="s">
        <v>12</v>
      </c>
      <c r="L615" s="1" t="s">
        <v>12</v>
      </c>
      <c r="M615" s="1" t="s">
        <v>53</v>
      </c>
      <c r="N615" s="11" t="s">
        <v>188</v>
      </c>
      <c r="O615" s="1" t="s">
        <v>6037</v>
      </c>
      <c r="P615" s="1" t="s">
        <v>1456</v>
      </c>
      <c r="Q615" s="1" t="s">
        <v>5546</v>
      </c>
      <c r="R615" s="1" t="s">
        <v>4441</v>
      </c>
      <c r="S615" s="8">
        <v>46026</v>
      </c>
      <c r="T615" s="1">
        <v>2</v>
      </c>
      <c r="U615" s="1" t="s">
        <v>797</v>
      </c>
      <c r="V615" s="1" t="s">
        <v>796</v>
      </c>
      <c r="W615" s="1" t="s">
        <v>1388</v>
      </c>
    </row>
    <row r="616" spans="1:23" x14ac:dyDescent="0.25">
      <c r="A616" s="1" t="s">
        <v>48</v>
      </c>
      <c r="B616" s="1" t="s">
        <v>2304</v>
      </c>
      <c r="C616" s="1" t="s">
        <v>50</v>
      </c>
      <c r="D616" s="1" t="s">
        <v>3058</v>
      </c>
      <c r="E616" s="1" t="s">
        <v>3059</v>
      </c>
      <c r="F616" s="22" t="s">
        <v>6085</v>
      </c>
      <c r="G616" s="1" t="s">
        <v>6</v>
      </c>
      <c r="H616" s="1" t="s">
        <v>20</v>
      </c>
      <c r="I616" s="1" t="s">
        <v>25</v>
      </c>
      <c r="J616" s="1" t="s">
        <v>9</v>
      </c>
      <c r="K616" s="1" t="s">
        <v>13</v>
      </c>
      <c r="L616" s="1" t="s">
        <v>13</v>
      </c>
      <c r="M616" s="1" t="s">
        <v>53</v>
      </c>
      <c r="N616" s="15" t="s">
        <v>1829</v>
      </c>
      <c r="O616" s="1" t="s">
        <v>6037</v>
      </c>
      <c r="P616" s="1" t="s">
        <v>247</v>
      </c>
      <c r="Q616" s="1" t="s">
        <v>5780</v>
      </c>
      <c r="R616" s="1" t="s">
        <v>4442</v>
      </c>
      <c r="S616" s="8">
        <v>45694</v>
      </c>
      <c r="T616" s="1">
        <v>2</v>
      </c>
      <c r="U616" s="1" t="s">
        <v>152</v>
      </c>
      <c r="V616" s="1" t="s">
        <v>152</v>
      </c>
      <c r="W616" s="1" t="s">
        <v>1388</v>
      </c>
    </row>
    <row r="617" spans="1:23" x14ac:dyDescent="0.25">
      <c r="A617" s="1" t="s">
        <v>48</v>
      </c>
      <c r="B617" s="1" t="s">
        <v>2305</v>
      </c>
      <c r="C617" s="1" t="s">
        <v>50</v>
      </c>
      <c r="D617" s="1" t="s">
        <v>3060</v>
      </c>
      <c r="E617" s="1" t="s">
        <v>3061</v>
      </c>
      <c r="F617" s="22" t="s">
        <v>6085</v>
      </c>
      <c r="G617" s="1" t="s">
        <v>5</v>
      </c>
      <c r="H617" s="1" t="s">
        <v>24</v>
      </c>
      <c r="I617" s="1" t="s">
        <v>26</v>
      </c>
      <c r="J617" s="1" t="s">
        <v>9</v>
      </c>
      <c r="K617" s="1" t="s">
        <v>14</v>
      </c>
      <c r="L617" s="1" t="s">
        <v>14</v>
      </c>
      <c r="M617" s="1" t="s">
        <v>53</v>
      </c>
      <c r="N617" s="15" t="s">
        <v>1829</v>
      </c>
      <c r="O617" s="1" t="s">
        <v>6037</v>
      </c>
      <c r="P617" s="1" t="s">
        <v>4443</v>
      </c>
      <c r="Q617" s="1" t="s">
        <v>5380</v>
      </c>
      <c r="R617" s="1" t="s">
        <v>4444</v>
      </c>
      <c r="S617" s="8">
        <v>46027</v>
      </c>
      <c r="T617" s="1">
        <v>3</v>
      </c>
      <c r="U617" s="1" t="s">
        <v>4445</v>
      </c>
      <c r="V617" s="1" t="s">
        <v>4446</v>
      </c>
      <c r="W617" s="1" t="s">
        <v>4446</v>
      </c>
    </row>
    <row r="618" spans="1:23" x14ac:dyDescent="0.25">
      <c r="A618" s="1" t="s">
        <v>48</v>
      </c>
      <c r="B618" s="1" t="s">
        <v>2306</v>
      </c>
      <c r="C618" s="1" t="s">
        <v>50</v>
      </c>
      <c r="D618" s="1" t="s">
        <v>3062</v>
      </c>
      <c r="E618" s="1" t="s">
        <v>3063</v>
      </c>
      <c r="F618" s="22" t="s">
        <v>6085</v>
      </c>
      <c r="G618" s="1" t="s">
        <v>5</v>
      </c>
      <c r="H618" s="1" t="s">
        <v>20</v>
      </c>
      <c r="I618" s="1" t="s">
        <v>25</v>
      </c>
      <c r="J618" s="1" t="s">
        <v>9</v>
      </c>
      <c r="K618" s="1" t="s">
        <v>18</v>
      </c>
      <c r="L618" s="1" t="s">
        <v>14</v>
      </c>
      <c r="M618" s="1" t="s">
        <v>53</v>
      </c>
      <c r="N618" s="15" t="s">
        <v>1829</v>
      </c>
      <c r="O618" s="1" t="s">
        <v>6037</v>
      </c>
      <c r="P618" s="1" t="s">
        <v>247</v>
      </c>
      <c r="Q618" s="1" t="s">
        <v>5781</v>
      </c>
      <c r="R618" s="19" t="s">
        <v>4447</v>
      </c>
      <c r="S618" s="8">
        <v>46041</v>
      </c>
      <c r="T618" s="1">
        <v>1</v>
      </c>
      <c r="U618" s="1" t="s">
        <v>4448</v>
      </c>
      <c r="V618" s="1" t="s">
        <v>1388</v>
      </c>
      <c r="W618" s="1" t="s">
        <v>1388</v>
      </c>
    </row>
    <row r="619" spans="1:23" x14ac:dyDescent="0.25">
      <c r="A619" s="1" t="s">
        <v>48</v>
      </c>
      <c r="B619" s="1" t="s">
        <v>2307</v>
      </c>
      <c r="C619" s="1" t="s">
        <v>50</v>
      </c>
      <c r="D619" s="1" t="s">
        <v>3064</v>
      </c>
      <c r="E619" s="1" t="s">
        <v>3065</v>
      </c>
      <c r="F619" s="22" t="s">
        <v>6085</v>
      </c>
      <c r="G619" s="1" t="s">
        <v>6</v>
      </c>
      <c r="H619" s="1" t="s">
        <v>20</v>
      </c>
      <c r="I619" s="1" t="s">
        <v>25</v>
      </c>
      <c r="J619" s="1" t="s">
        <v>9</v>
      </c>
      <c r="K619" s="1" t="s">
        <v>16</v>
      </c>
      <c r="L619" s="1" t="s">
        <v>16</v>
      </c>
      <c r="M619" s="1" t="s">
        <v>53</v>
      </c>
      <c r="N619" s="15" t="s">
        <v>5260</v>
      </c>
      <c r="O619" s="1" t="s">
        <v>6037</v>
      </c>
      <c r="P619" s="1" t="s">
        <v>267</v>
      </c>
      <c r="Q619" s="1" t="s">
        <v>5782</v>
      </c>
      <c r="R619" s="1" t="s">
        <v>4449</v>
      </c>
      <c r="S619" s="8">
        <v>45692</v>
      </c>
      <c r="T619" s="1">
        <v>1</v>
      </c>
      <c r="U619" s="1" t="s">
        <v>4450</v>
      </c>
      <c r="V619" s="1" t="s">
        <v>1388</v>
      </c>
      <c r="W619" s="1" t="s">
        <v>1388</v>
      </c>
    </row>
    <row r="620" spans="1:23" x14ac:dyDescent="0.25">
      <c r="A620" s="1" t="s">
        <v>48</v>
      </c>
      <c r="B620" s="1" t="s">
        <v>2308</v>
      </c>
      <c r="C620" s="1" t="s">
        <v>50</v>
      </c>
      <c r="D620" s="1" t="s">
        <v>3066</v>
      </c>
      <c r="E620" s="1" t="s">
        <v>3067</v>
      </c>
      <c r="F620" s="22" t="s">
        <v>6085</v>
      </c>
      <c r="G620" s="1" t="s">
        <v>6</v>
      </c>
      <c r="H620" s="1" t="s">
        <v>20</v>
      </c>
      <c r="I620" s="1" t="s">
        <v>26</v>
      </c>
      <c r="J620" s="1" t="s">
        <v>8</v>
      </c>
      <c r="K620" s="1" t="s">
        <v>13</v>
      </c>
      <c r="L620" s="1" t="s">
        <v>13</v>
      </c>
      <c r="M620" s="1" t="s">
        <v>53</v>
      </c>
      <c r="N620" s="11" t="s">
        <v>188</v>
      </c>
      <c r="O620" s="1" t="s">
        <v>6037</v>
      </c>
      <c r="P620" s="1" t="s">
        <v>4451</v>
      </c>
      <c r="Q620" s="1" t="s">
        <v>5783</v>
      </c>
      <c r="R620" s="1" t="s">
        <v>4452</v>
      </c>
      <c r="S620" s="8">
        <v>46279</v>
      </c>
      <c r="T620" s="1">
        <v>1</v>
      </c>
      <c r="U620" s="1" t="s">
        <v>4453</v>
      </c>
      <c r="V620" s="1" t="s">
        <v>1388</v>
      </c>
      <c r="W620" s="1" t="s">
        <v>1388</v>
      </c>
    </row>
    <row r="621" spans="1:23" x14ac:dyDescent="0.25">
      <c r="A621" s="1" t="s">
        <v>48</v>
      </c>
      <c r="B621" s="1" t="s">
        <v>2309</v>
      </c>
      <c r="C621" s="1" t="s">
        <v>50</v>
      </c>
      <c r="D621" s="1" t="s">
        <v>3068</v>
      </c>
      <c r="E621" s="1" t="s">
        <v>3069</v>
      </c>
      <c r="F621" s="22" t="s">
        <v>6085</v>
      </c>
      <c r="G621" s="1" t="s">
        <v>5</v>
      </c>
      <c r="H621" s="1" t="s">
        <v>20</v>
      </c>
      <c r="I621" s="1" t="s">
        <v>26</v>
      </c>
      <c r="J621" s="1" t="s">
        <v>9</v>
      </c>
      <c r="K621" s="1" t="s">
        <v>13</v>
      </c>
      <c r="L621" s="1" t="s">
        <v>13</v>
      </c>
      <c r="M621" s="1" t="s">
        <v>53</v>
      </c>
      <c r="N621" s="11" t="s">
        <v>188</v>
      </c>
      <c r="O621" s="1" t="s">
        <v>6037</v>
      </c>
      <c r="P621" s="1" t="s">
        <v>60</v>
      </c>
      <c r="Q621" s="1" t="s">
        <v>5544</v>
      </c>
      <c r="R621" s="1" t="s">
        <v>4454</v>
      </c>
      <c r="S621" s="8">
        <v>45369</v>
      </c>
      <c r="T621" s="1">
        <v>2</v>
      </c>
      <c r="U621" s="1" t="s">
        <v>4455</v>
      </c>
      <c r="V621" s="1" t="s">
        <v>4456</v>
      </c>
      <c r="W621" s="1" t="s">
        <v>1388</v>
      </c>
    </row>
    <row r="622" spans="1:23" x14ac:dyDescent="0.25">
      <c r="A622" s="1" t="s">
        <v>48</v>
      </c>
      <c r="B622" s="1" t="s">
        <v>2310</v>
      </c>
      <c r="C622" s="1" t="s">
        <v>50</v>
      </c>
      <c r="D622" s="1" t="s">
        <v>3070</v>
      </c>
      <c r="E622" s="1" t="s">
        <v>3071</v>
      </c>
      <c r="F622" s="22" t="s">
        <v>5259</v>
      </c>
      <c r="G622" s="1" t="s">
        <v>6</v>
      </c>
      <c r="H622" s="1" t="s">
        <v>20</v>
      </c>
      <c r="I622" s="1" t="s">
        <v>25</v>
      </c>
      <c r="J622" s="1" t="s">
        <v>9</v>
      </c>
      <c r="K622" s="1" t="s">
        <v>14</v>
      </c>
      <c r="L622" s="1" t="s">
        <v>14</v>
      </c>
      <c r="M622" s="1" t="s">
        <v>53</v>
      </c>
      <c r="N622" s="1" t="s">
        <v>6027</v>
      </c>
      <c r="O622" s="1" t="s">
        <v>6037</v>
      </c>
      <c r="P622" s="1" t="s">
        <v>175</v>
      </c>
      <c r="Q622" s="1" t="s">
        <v>5456</v>
      </c>
      <c r="R622" s="1" t="s">
        <v>4457</v>
      </c>
      <c r="S622" s="8">
        <v>46209</v>
      </c>
      <c r="T622" s="1">
        <v>2</v>
      </c>
      <c r="U622" s="1" t="s">
        <v>4458</v>
      </c>
      <c r="V622" s="1" t="s">
        <v>4458</v>
      </c>
      <c r="W622" s="1" t="s">
        <v>1388</v>
      </c>
    </row>
    <row r="623" spans="1:23" x14ac:dyDescent="0.25">
      <c r="A623" s="1" t="s">
        <v>48</v>
      </c>
      <c r="B623" s="1" t="s">
        <v>2311</v>
      </c>
      <c r="C623" s="1" t="s">
        <v>50</v>
      </c>
      <c r="D623" s="1" t="s">
        <v>3072</v>
      </c>
      <c r="E623" s="1" t="s">
        <v>3073</v>
      </c>
      <c r="F623" s="22" t="s">
        <v>6085</v>
      </c>
      <c r="G623" s="1" t="s">
        <v>6</v>
      </c>
      <c r="H623" s="1" t="s">
        <v>24</v>
      </c>
      <c r="I623" s="1" t="s">
        <v>26</v>
      </c>
      <c r="J623" s="1" t="s">
        <v>9</v>
      </c>
      <c r="K623" s="1" t="s">
        <v>16</v>
      </c>
      <c r="L623" s="1" t="s">
        <v>16</v>
      </c>
      <c r="M623" s="1" t="s">
        <v>53</v>
      </c>
      <c r="N623" s="15" t="s">
        <v>1829</v>
      </c>
      <c r="O623" s="1" t="s">
        <v>6037</v>
      </c>
      <c r="P623" s="1" t="s">
        <v>267</v>
      </c>
      <c r="Q623" s="1" t="s">
        <v>5784</v>
      </c>
      <c r="R623" s="1" t="s">
        <v>4459</v>
      </c>
      <c r="S623" s="8">
        <v>46023</v>
      </c>
      <c r="T623" s="1">
        <v>2</v>
      </c>
      <c r="U623" s="1" t="s">
        <v>1407</v>
      </c>
      <c r="V623" s="1" t="s">
        <v>1587</v>
      </c>
      <c r="W623" s="1" t="s">
        <v>1388</v>
      </c>
    </row>
    <row r="624" spans="1:23" x14ac:dyDescent="0.25">
      <c r="A624" s="1" t="s">
        <v>48</v>
      </c>
      <c r="B624" s="1" t="s">
        <v>2312</v>
      </c>
      <c r="C624" s="1" t="s">
        <v>50</v>
      </c>
      <c r="D624" s="1" t="s">
        <v>3074</v>
      </c>
      <c r="E624" s="1" t="s">
        <v>3075</v>
      </c>
      <c r="F624" s="22" t="s">
        <v>6085</v>
      </c>
      <c r="G624" s="1" t="s">
        <v>6</v>
      </c>
      <c r="H624" s="1" t="s">
        <v>20</v>
      </c>
      <c r="I624" s="1" t="s">
        <v>25</v>
      </c>
      <c r="J624" s="1" t="s">
        <v>9</v>
      </c>
      <c r="K624" s="1" t="s">
        <v>13</v>
      </c>
      <c r="L624" s="1" t="s">
        <v>13</v>
      </c>
      <c r="M624" s="1" t="s">
        <v>53</v>
      </c>
      <c r="N624" s="11" t="s">
        <v>188</v>
      </c>
      <c r="O624" s="1" t="s">
        <v>6037</v>
      </c>
      <c r="P624" s="1" t="s">
        <v>126</v>
      </c>
      <c r="Q624" s="1" t="s">
        <v>5785</v>
      </c>
      <c r="R624" s="1" t="s">
        <v>4460</v>
      </c>
      <c r="S624" s="8">
        <v>45689</v>
      </c>
      <c r="T624" s="1">
        <v>2</v>
      </c>
      <c r="U624" s="1" t="s">
        <v>4461</v>
      </c>
      <c r="V624" s="1" t="s">
        <v>4461</v>
      </c>
      <c r="W624" s="1" t="s">
        <v>1388</v>
      </c>
    </row>
    <row r="625" spans="1:23" x14ac:dyDescent="0.25">
      <c r="A625" s="1" t="s">
        <v>48</v>
      </c>
      <c r="B625" s="1" t="s">
        <v>2313</v>
      </c>
      <c r="C625" s="1" t="s">
        <v>50</v>
      </c>
      <c r="D625" s="1" t="s">
        <v>3076</v>
      </c>
      <c r="E625" s="1" t="s">
        <v>3077</v>
      </c>
      <c r="F625" s="22" t="s">
        <v>6085</v>
      </c>
      <c r="G625" s="1" t="s">
        <v>5</v>
      </c>
      <c r="H625" s="1" t="s">
        <v>20</v>
      </c>
      <c r="I625" s="1" t="s">
        <v>25</v>
      </c>
      <c r="J625" s="1" t="s">
        <v>9</v>
      </c>
      <c r="K625" s="1" t="s">
        <v>13</v>
      </c>
      <c r="L625" s="1" t="s">
        <v>16</v>
      </c>
      <c r="M625" s="1" t="s">
        <v>53</v>
      </c>
      <c r="N625" s="11" t="s">
        <v>6032</v>
      </c>
      <c r="O625" s="1" t="s">
        <v>6037</v>
      </c>
      <c r="P625" s="1" t="s">
        <v>306</v>
      </c>
      <c r="Q625" s="1" t="s">
        <v>5747</v>
      </c>
      <c r="R625" s="1" t="s">
        <v>4462</v>
      </c>
      <c r="S625" s="8">
        <v>45925</v>
      </c>
      <c r="T625" s="1">
        <v>3</v>
      </c>
      <c r="U625" s="1" t="s">
        <v>151</v>
      </c>
      <c r="V625" s="1" t="s">
        <v>151</v>
      </c>
      <c r="W625" s="1" t="s">
        <v>151</v>
      </c>
    </row>
    <row r="626" spans="1:23" x14ac:dyDescent="0.25">
      <c r="A626" s="1" t="s">
        <v>48</v>
      </c>
      <c r="B626" s="1" t="s">
        <v>2314</v>
      </c>
      <c r="C626" s="1" t="s">
        <v>50</v>
      </c>
      <c r="D626" s="1" t="s">
        <v>3078</v>
      </c>
      <c r="E626" s="1" t="s">
        <v>3079</v>
      </c>
      <c r="F626" s="22" t="s">
        <v>6085</v>
      </c>
      <c r="G626" s="1" t="s">
        <v>7</v>
      </c>
      <c r="H626" s="1" t="s">
        <v>22</v>
      </c>
      <c r="I626" s="1" t="s">
        <v>25</v>
      </c>
      <c r="J626" s="1" t="s">
        <v>9</v>
      </c>
      <c r="K626" s="1" t="s">
        <v>14</v>
      </c>
      <c r="L626" s="1" t="s">
        <v>14</v>
      </c>
      <c r="M626" s="1" t="s">
        <v>53</v>
      </c>
      <c r="N626" s="11" t="s">
        <v>2091</v>
      </c>
      <c r="O626" s="1" t="s">
        <v>6037</v>
      </c>
      <c r="P626" s="1" t="s">
        <v>4463</v>
      </c>
      <c r="Q626" s="1" t="s">
        <v>5786</v>
      </c>
      <c r="R626" s="1" t="s">
        <v>4464</v>
      </c>
      <c r="S626" s="8">
        <v>46055</v>
      </c>
      <c r="T626" s="1">
        <v>2</v>
      </c>
      <c r="U626" s="1" t="s">
        <v>4465</v>
      </c>
      <c r="V626" s="1" t="s">
        <v>4466</v>
      </c>
      <c r="W626" s="1" t="s">
        <v>1388</v>
      </c>
    </row>
    <row r="627" spans="1:23" x14ac:dyDescent="0.25">
      <c r="A627" s="1" t="s">
        <v>48</v>
      </c>
      <c r="B627" s="1" t="s">
        <v>2315</v>
      </c>
      <c r="C627" s="1" t="s">
        <v>50</v>
      </c>
      <c r="D627" s="1" t="s">
        <v>3080</v>
      </c>
      <c r="E627" s="1" t="s">
        <v>3081</v>
      </c>
      <c r="F627" s="22" t="s">
        <v>6085</v>
      </c>
      <c r="G627" s="1" t="s">
        <v>6</v>
      </c>
      <c r="H627" s="1" t="s">
        <v>24</v>
      </c>
      <c r="I627" s="1" t="s">
        <v>25</v>
      </c>
      <c r="J627" s="1" t="s">
        <v>9</v>
      </c>
      <c r="K627" s="1" t="s">
        <v>16</v>
      </c>
      <c r="L627" s="1" t="s">
        <v>17</v>
      </c>
      <c r="M627" s="1" t="s">
        <v>53</v>
      </c>
      <c r="N627" s="15" t="s">
        <v>6023</v>
      </c>
      <c r="O627" s="1" t="s">
        <v>6037</v>
      </c>
      <c r="P627" s="1" t="s">
        <v>60</v>
      </c>
      <c r="Q627" s="1" t="s">
        <v>5787</v>
      </c>
      <c r="R627" s="1" t="s">
        <v>4467</v>
      </c>
      <c r="S627" s="8">
        <v>46062</v>
      </c>
      <c r="T627" s="1">
        <v>2</v>
      </c>
      <c r="U627" s="1" t="s">
        <v>4468</v>
      </c>
      <c r="V627" s="1" t="s">
        <v>4468</v>
      </c>
      <c r="W627" s="1" t="s">
        <v>1388</v>
      </c>
    </row>
    <row r="628" spans="1:23" x14ac:dyDescent="0.25">
      <c r="A628" s="1" t="s">
        <v>48</v>
      </c>
      <c r="B628" s="1" t="s">
        <v>2316</v>
      </c>
      <c r="C628" s="1" t="s">
        <v>50</v>
      </c>
      <c r="D628" s="1" t="s">
        <v>3082</v>
      </c>
      <c r="E628" s="1" t="s">
        <v>3083</v>
      </c>
      <c r="F628" s="22" t="s">
        <v>6085</v>
      </c>
      <c r="G628" s="1" t="s">
        <v>6</v>
      </c>
      <c r="H628" s="1" t="s">
        <v>20</v>
      </c>
      <c r="I628" s="1" t="s">
        <v>25</v>
      </c>
      <c r="J628" s="1" t="s">
        <v>9</v>
      </c>
      <c r="K628" s="1" t="s">
        <v>14</v>
      </c>
      <c r="L628" s="1" t="s">
        <v>14</v>
      </c>
      <c r="M628" s="1" t="s">
        <v>53</v>
      </c>
      <c r="N628" s="11" t="s">
        <v>188</v>
      </c>
      <c r="O628" s="1" t="s">
        <v>6037</v>
      </c>
      <c r="P628" s="1" t="s">
        <v>707</v>
      </c>
      <c r="Q628" s="1" t="s">
        <v>5788</v>
      </c>
      <c r="R628" s="1" t="s">
        <v>4469</v>
      </c>
      <c r="S628" s="8">
        <v>45744</v>
      </c>
      <c r="T628" s="1">
        <v>1</v>
      </c>
      <c r="U628" s="1" t="s">
        <v>4470</v>
      </c>
      <c r="V628" s="1" t="s">
        <v>1388</v>
      </c>
      <c r="W628" s="1" t="s">
        <v>1388</v>
      </c>
    </row>
    <row r="629" spans="1:23" x14ac:dyDescent="0.25">
      <c r="A629" s="1" t="s">
        <v>48</v>
      </c>
      <c r="B629" s="1" t="s">
        <v>2317</v>
      </c>
      <c r="C629" s="1" t="s">
        <v>50</v>
      </c>
      <c r="D629" s="1" t="s">
        <v>3084</v>
      </c>
      <c r="E629" s="1" t="s">
        <v>3085</v>
      </c>
      <c r="F629" s="22" t="s">
        <v>6085</v>
      </c>
      <c r="G629" s="1" t="s">
        <v>5</v>
      </c>
      <c r="H629" s="1" t="s">
        <v>24</v>
      </c>
      <c r="I629" s="1" t="s">
        <v>25</v>
      </c>
      <c r="J629" s="1" t="s">
        <v>9</v>
      </c>
      <c r="K629" s="1" t="s">
        <v>13</v>
      </c>
      <c r="L629" s="1" t="s">
        <v>13</v>
      </c>
      <c r="M629" s="1" t="s">
        <v>53</v>
      </c>
      <c r="N629" s="11" t="s">
        <v>2091</v>
      </c>
      <c r="O629" s="1" t="s">
        <v>6037</v>
      </c>
      <c r="P629" s="1" t="s">
        <v>126</v>
      </c>
      <c r="Q629" s="1" t="s">
        <v>5789</v>
      </c>
      <c r="R629" s="1" t="s">
        <v>4471</v>
      </c>
      <c r="S629" s="8">
        <v>45849</v>
      </c>
      <c r="T629" s="1">
        <v>3</v>
      </c>
      <c r="U629" s="1" t="s">
        <v>4472</v>
      </c>
      <c r="V629" s="1" t="s">
        <v>4473</v>
      </c>
      <c r="W629" s="1" t="s">
        <v>4474</v>
      </c>
    </row>
    <row r="630" spans="1:23" x14ac:dyDescent="0.25">
      <c r="A630" s="1" t="s">
        <v>48</v>
      </c>
      <c r="B630" s="1" t="s">
        <v>2318</v>
      </c>
      <c r="C630" s="1" t="s">
        <v>50</v>
      </c>
      <c r="D630" s="1" t="s">
        <v>3086</v>
      </c>
      <c r="E630" s="1" t="s">
        <v>3087</v>
      </c>
      <c r="F630" s="22" t="s">
        <v>6085</v>
      </c>
      <c r="G630" s="1" t="s">
        <v>6</v>
      </c>
      <c r="H630" s="1" t="s">
        <v>24</v>
      </c>
      <c r="I630" s="1" t="s">
        <v>25</v>
      </c>
      <c r="J630" s="1" t="s">
        <v>9</v>
      </c>
      <c r="K630" s="1" t="s">
        <v>16</v>
      </c>
      <c r="L630" s="1" t="s">
        <v>16</v>
      </c>
      <c r="M630" s="1" t="s">
        <v>53</v>
      </c>
      <c r="N630" s="11" t="s">
        <v>2091</v>
      </c>
      <c r="O630" s="1" t="s">
        <v>6037</v>
      </c>
      <c r="P630" s="1" t="s">
        <v>1456</v>
      </c>
      <c r="Q630" s="1" t="s">
        <v>5790</v>
      </c>
      <c r="R630" s="1" t="s">
        <v>4475</v>
      </c>
      <c r="S630" s="8">
        <v>46027</v>
      </c>
      <c r="T630" s="1">
        <v>2</v>
      </c>
      <c r="U630" s="1" t="s">
        <v>4476</v>
      </c>
      <c r="V630" s="1" t="s">
        <v>4477</v>
      </c>
      <c r="W630" s="1" t="s">
        <v>1388</v>
      </c>
    </row>
    <row r="631" spans="1:23" x14ac:dyDescent="0.25">
      <c r="A631" s="1" t="s">
        <v>48</v>
      </c>
      <c r="B631" s="1" t="s">
        <v>2319</v>
      </c>
      <c r="C631" s="1" t="s">
        <v>50</v>
      </c>
      <c r="D631" s="1" t="s">
        <v>3088</v>
      </c>
      <c r="E631" s="1" t="s">
        <v>3089</v>
      </c>
      <c r="F631" s="22" t="s">
        <v>6085</v>
      </c>
      <c r="G631" s="1" t="s">
        <v>5</v>
      </c>
      <c r="H631" s="1" t="s">
        <v>20</v>
      </c>
      <c r="I631" s="1" t="s">
        <v>25</v>
      </c>
      <c r="J631" s="1" t="s">
        <v>9</v>
      </c>
      <c r="K631" s="1" t="s">
        <v>13</v>
      </c>
      <c r="L631" s="1" t="s">
        <v>13</v>
      </c>
      <c r="M631" s="1" t="s">
        <v>53</v>
      </c>
      <c r="N631" s="11" t="s">
        <v>2091</v>
      </c>
      <c r="O631" s="1" t="s">
        <v>6037</v>
      </c>
      <c r="P631" s="1" t="s">
        <v>126</v>
      </c>
      <c r="Q631" s="1" t="s">
        <v>5791</v>
      </c>
      <c r="R631" s="1" t="s">
        <v>4478</v>
      </c>
      <c r="S631" s="8">
        <v>46027</v>
      </c>
      <c r="T631" s="1">
        <v>3</v>
      </c>
      <c r="U631" s="1" t="s">
        <v>4479</v>
      </c>
      <c r="V631" s="1" t="s">
        <v>4480</v>
      </c>
      <c r="W631" s="1" t="s">
        <v>4480</v>
      </c>
    </row>
    <row r="632" spans="1:23" x14ac:dyDescent="0.25">
      <c r="A632" s="1" t="s">
        <v>48</v>
      </c>
      <c r="B632" s="1" t="s">
        <v>2320</v>
      </c>
      <c r="C632" s="1" t="s">
        <v>50</v>
      </c>
      <c r="D632" s="1" t="s">
        <v>3090</v>
      </c>
      <c r="E632" s="1" t="s">
        <v>3091</v>
      </c>
      <c r="F632" s="22" t="s">
        <v>6085</v>
      </c>
      <c r="G632" s="1" t="s">
        <v>6</v>
      </c>
      <c r="H632" s="1" t="s">
        <v>20</v>
      </c>
      <c r="I632" s="1" t="s">
        <v>25</v>
      </c>
      <c r="J632" s="1" t="s">
        <v>9</v>
      </c>
      <c r="K632" s="1" t="s">
        <v>13</v>
      </c>
      <c r="L632" s="1" t="s">
        <v>13</v>
      </c>
      <c r="M632" s="1" t="s">
        <v>53</v>
      </c>
      <c r="N632" s="11" t="s">
        <v>188</v>
      </c>
      <c r="O632" s="1" t="s">
        <v>6037</v>
      </c>
      <c r="P632" s="1" t="s">
        <v>60</v>
      </c>
      <c r="Q632" s="1" t="s">
        <v>6</v>
      </c>
      <c r="R632" s="1" t="s">
        <v>4481</v>
      </c>
      <c r="S632" s="8">
        <v>45691</v>
      </c>
      <c r="T632" s="1">
        <v>1</v>
      </c>
      <c r="U632" s="1" t="s">
        <v>4482</v>
      </c>
      <c r="V632" s="1" t="s">
        <v>1388</v>
      </c>
      <c r="W632" s="1" t="s">
        <v>1388</v>
      </c>
    </row>
    <row r="633" spans="1:23" x14ac:dyDescent="0.25">
      <c r="A633" s="1" t="s">
        <v>48</v>
      </c>
      <c r="B633" s="1" t="s">
        <v>2321</v>
      </c>
      <c r="C633" s="1" t="s">
        <v>50</v>
      </c>
      <c r="D633" s="1" t="s">
        <v>3092</v>
      </c>
      <c r="E633" s="1" t="s">
        <v>3093</v>
      </c>
      <c r="F633" s="22" t="s">
        <v>6085</v>
      </c>
      <c r="G633" s="1" t="s">
        <v>6</v>
      </c>
      <c r="H633" s="1" t="s">
        <v>21</v>
      </c>
      <c r="I633" s="1" t="s">
        <v>25</v>
      </c>
      <c r="J633" s="1" t="s">
        <v>9</v>
      </c>
      <c r="K633" s="1" t="s">
        <v>13</v>
      </c>
      <c r="L633" s="1" t="s">
        <v>16</v>
      </c>
      <c r="M633" s="1" t="s">
        <v>53</v>
      </c>
      <c r="N633" s="11" t="s">
        <v>188</v>
      </c>
      <c r="O633" s="1" t="s">
        <v>6037</v>
      </c>
      <c r="P633" s="1" t="s">
        <v>60</v>
      </c>
      <c r="Q633" s="1" t="s">
        <v>5563</v>
      </c>
      <c r="R633" s="1" t="s">
        <v>4483</v>
      </c>
      <c r="S633" s="8">
        <v>45694</v>
      </c>
      <c r="T633" s="1">
        <v>1</v>
      </c>
      <c r="U633" s="1" t="s">
        <v>4484</v>
      </c>
      <c r="V633" s="1" t="s">
        <v>1388</v>
      </c>
      <c r="W633" s="1" t="s">
        <v>1388</v>
      </c>
    </row>
    <row r="634" spans="1:23" x14ac:dyDescent="0.25">
      <c r="A634" s="1" t="s">
        <v>48</v>
      </c>
      <c r="B634" s="1" t="s">
        <v>2322</v>
      </c>
      <c r="C634" s="1" t="s">
        <v>50</v>
      </c>
      <c r="D634" s="1" t="s">
        <v>3094</v>
      </c>
      <c r="E634" s="1" t="s">
        <v>3095</v>
      </c>
      <c r="F634" s="22" t="s">
        <v>6085</v>
      </c>
      <c r="G634" s="1" t="s">
        <v>5</v>
      </c>
      <c r="H634" s="1" t="s">
        <v>24</v>
      </c>
      <c r="I634" s="1" t="s">
        <v>25</v>
      </c>
      <c r="J634" s="1" t="s">
        <v>9</v>
      </c>
      <c r="K634" s="1" t="s">
        <v>14</v>
      </c>
      <c r="L634" s="1" t="s">
        <v>14</v>
      </c>
      <c r="M634" s="1" t="s">
        <v>53</v>
      </c>
      <c r="N634" s="15" t="s">
        <v>5256</v>
      </c>
      <c r="O634" s="1" t="s">
        <v>6037</v>
      </c>
      <c r="P634" s="1" t="s">
        <v>66</v>
      </c>
      <c r="Q634" s="1" t="s">
        <v>5792</v>
      </c>
      <c r="R634" s="1" t="s">
        <v>4485</v>
      </c>
      <c r="S634" s="8">
        <v>46023</v>
      </c>
      <c r="T634" s="1">
        <v>3</v>
      </c>
      <c r="U634" s="1" t="s">
        <v>4486</v>
      </c>
      <c r="V634" s="1" t="s">
        <v>4487</v>
      </c>
      <c r="W634" s="1" t="s">
        <v>4488</v>
      </c>
    </row>
    <row r="635" spans="1:23" x14ac:dyDescent="0.25">
      <c r="A635" s="1" t="s">
        <v>48</v>
      </c>
      <c r="B635" s="1" t="s">
        <v>2323</v>
      </c>
      <c r="C635" s="1" t="s">
        <v>50</v>
      </c>
      <c r="D635" s="1" t="s">
        <v>3096</v>
      </c>
      <c r="E635" s="1" t="s">
        <v>3097</v>
      </c>
      <c r="F635" s="22" t="s">
        <v>6085</v>
      </c>
      <c r="G635" s="1" t="s">
        <v>5</v>
      </c>
      <c r="H635" s="1" t="s">
        <v>20</v>
      </c>
      <c r="I635" s="1" t="s">
        <v>25</v>
      </c>
      <c r="J635" s="1" t="s">
        <v>9</v>
      </c>
      <c r="K635" s="1" t="s">
        <v>14</v>
      </c>
      <c r="L635" s="1" t="s">
        <v>14</v>
      </c>
      <c r="M635" s="1" t="s">
        <v>53</v>
      </c>
      <c r="N635" s="15" t="s">
        <v>1829</v>
      </c>
      <c r="O635" s="1" t="s">
        <v>6037</v>
      </c>
      <c r="P635" s="1" t="s">
        <v>593</v>
      </c>
      <c r="Q635" s="1" t="s">
        <v>5793</v>
      </c>
      <c r="R635" s="1" t="s">
        <v>4489</v>
      </c>
      <c r="S635" s="8">
        <v>46023</v>
      </c>
      <c r="T635" s="1">
        <v>3</v>
      </c>
      <c r="U635" s="1" t="s">
        <v>4490</v>
      </c>
      <c r="V635" s="1" t="s">
        <v>4490</v>
      </c>
      <c r="W635" s="1" t="s">
        <v>4490</v>
      </c>
    </row>
    <row r="636" spans="1:23" x14ac:dyDescent="0.25">
      <c r="A636" s="1" t="s">
        <v>48</v>
      </c>
      <c r="B636" s="1" t="s">
        <v>2324</v>
      </c>
      <c r="C636" s="1" t="s">
        <v>50</v>
      </c>
      <c r="D636" s="1" t="s">
        <v>3098</v>
      </c>
      <c r="E636" s="1" t="s">
        <v>3099</v>
      </c>
      <c r="F636" s="22" t="s">
        <v>6085</v>
      </c>
      <c r="G636" s="1" t="s">
        <v>5</v>
      </c>
      <c r="H636" s="1" t="s">
        <v>20</v>
      </c>
      <c r="I636" s="1" t="s">
        <v>26</v>
      </c>
      <c r="J636" s="1" t="s">
        <v>9</v>
      </c>
      <c r="K636" s="1" t="s">
        <v>19</v>
      </c>
      <c r="L636" s="1" t="s">
        <v>19</v>
      </c>
      <c r="M636" s="1" t="s">
        <v>53</v>
      </c>
      <c r="N636" s="11" t="s">
        <v>188</v>
      </c>
      <c r="O636" s="1" t="s">
        <v>6037</v>
      </c>
      <c r="P636" s="1" t="s">
        <v>60</v>
      </c>
      <c r="Q636" s="18" t="s">
        <v>5794</v>
      </c>
      <c r="R636" s="1" t="s">
        <v>4491</v>
      </c>
      <c r="S636" s="8">
        <v>46055</v>
      </c>
      <c r="T636" s="1">
        <v>3</v>
      </c>
      <c r="U636" s="1" t="s">
        <v>4492</v>
      </c>
      <c r="V636" s="1" t="s">
        <v>4493</v>
      </c>
      <c r="W636" s="1" t="s">
        <v>4494</v>
      </c>
    </row>
    <row r="637" spans="1:23" x14ac:dyDescent="0.25">
      <c r="A637" s="1" t="s">
        <v>48</v>
      </c>
      <c r="B637" s="1" t="s">
        <v>2325</v>
      </c>
      <c r="C637" s="1" t="s">
        <v>50</v>
      </c>
      <c r="D637" s="1" t="s">
        <v>3100</v>
      </c>
      <c r="E637" s="1" t="s">
        <v>3101</v>
      </c>
      <c r="F637" s="22" t="s">
        <v>6085</v>
      </c>
      <c r="G637" s="1" t="s">
        <v>6</v>
      </c>
      <c r="H637" s="1" t="s">
        <v>24</v>
      </c>
      <c r="I637" s="1" t="s">
        <v>25</v>
      </c>
      <c r="J637" s="1" t="s">
        <v>9</v>
      </c>
      <c r="K637" s="1" t="s">
        <v>13</v>
      </c>
      <c r="L637" s="1" t="s">
        <v>16</v>
      </c>
      <c r="M637" s="1" t="s">
        <v>53</v>
      </c>
      <c r="N637" s="15" t="s">
        <v>5256</v>
      </c>
      <c r="O637" s="2" t="s">
        <v>6235</v>
      </c>
      <c r="P637" s="1" t="s">
        <v>60</v>
      </c>
      <c r="Q637" s="1" t="s">
        <v>5795</v>
      </c>
      <c r="R637" s="1" t="s">
        <v>4225</v>
      </c>
      <c r="S637" s="8">
        <v>46055</v>
      </c>
      <c r="T637" s="1">
        <v>2</v>
      </c>
      <c r="U637" s="1" t="s">
        <v>4495</v>
      </c>
      <c r="V637" s="1" t="s">
        <v>4495</v>
      </c>
      <c r="W637" s="1" t="s">
        <v>1388</v>
      </c>
    </row>
    <row r="638" spans="1:23" x14ac:dyDescent="0.25">
      <c r="A638" s="1" t="s">
        <v>48</v>
      </c>
      <c r="B638" s="1" t="s">
        <v>2326</v>
      </c>
      <c r="C638" s="1" t="s">
        <v>50</v>
      </c>
      <c r="D638" s="1" t="s">
        <v>3102</v>
      </c>
      <c r="E638" s="1" t="s">
        <v>3103</v>
      </c>
      <c r="F638" s="22" t="s">
        <v>6085</v>
      </c>
      <c r="G638" s="1" t="s">
        <v>6</v>
      </c>
      <c r="H638" s="1" t="s">
        <v>20</v>
      </c>
      <c r="I638" s="1" t="s">
        <v>26</v>
      </c>
      <c r="J638" s="1" t="s">
        <v>9</v>
      </c>
      <c r="K638" s="1" t="s">
        <v>16</v>
      </c>
      <c r="L638" s="1" t="s">
        <v>16</v>
      </c>
      <c r="M638" s="1" t="s">
        <v>53</v>
      </c>
      <c r="N638" s="15" t="s">
        <v>5260</v>
      </c>
      <c r="O638" s="1" t="s">
        <v>6037</v>
      </c>
      <c r="P638" s="1" t="s">
        <v>4496</v>
      </c>
      <c r="Q638" s="1" t="s">
        <v>5796</v>
      </c>
      <c r="R638" s="1" t="s">
        <v>4497</v>
      </c>
      <c r="S638" s="8">
        <v>46053</v>
      </c>
      <c r="T638" s="1">
        <v>2</v>
      </c>
      <c r="U638" s="1" t="s">
        <v>280</v>
      </c>
      <c r="V638" s="1" t="s">
        <v>280</v>
      </c>
      <c r="W638" s="1" t="s">
        <v>1388</v>
      </c>
    </row>
    <row r="639" spans="1:23" x14ac:dyDescent="0.25">
      <c r="A639" s="1" t="s">
        <v>48</v>
      </c>
      <c r="B639" s="1" t="s">
        <v>2327</v>
      </c>
      <c r="C639" s="1" t="s">
        <v>50</v>
      </c>
      <c r="D639" s="1" t="s">
        <v>3104</v>
      </c>
      <c r="E639" s="1" t="s">
        <v>3105</v>
      </c>
      <c r="F639" s="22" t="s">
        <v>6085</v>
      </c>
      <c r="G639" s="1" t="s">
        <v>5</v>
      </c>
      <c r="H639" s="1" t="s">
        <v>20</v>
      </c>
      <c r="I639" s="1" t="s">
        <v>25</v>
      </c>
      <c r="J639" s="1" t="s">
        <v>9</v>
      </c>
      <c r="K639" s="1" t="s">
        <v>16</v>
      </c>
      <c r="L639" s="1" t="s">
        <v>16</v>
      </c>
      <c r="M639" s="1" t="s">
        <v>53</v>
      </c>
      <c r="N639" s="11" t="s">
        <v>188</v>
      </c>
      <c r="O639" s="1" t="s">
        <v>6037</v>
      </c>
      <c r="P639" s="1" t="s">
        <v>60</v>
      </c>
      <c r="Q639" s="1" t="s">
        <v>5797</v>
      </c>
      <c r="R639" s="1" t="s">
        <v>4498</v>
      </c>
      <c r="S639" s="8">
        <v>45323</v>
      </c>
      <c r="T639" s="1">
        <v>1</v>
      </c>
      <c r="U639" s="1" t="s">
        <v>4499</v>
      </c>
      <c r="V639" s="1" t="s">
        <v>1388</v>
      </c>
      <c r="W639" s="1" t="s">
        <v>1388</v>
      </c>
    </row>
    <row r="640" spans="1:23" x14ac:dyDescent="0.25">
      <c r="A640" s="1" t="s">
        <v>48</v>
      </c>
      <c r="B640" s="1" t="s">
        <v>2328</v>
      </c>
      <c r="C640" s="1" t="s">
        <v>50</v>
      </c>
      <c r="D640" s="1" t="s">
        <v>3106</v>
      </c>
      <c r="E640" s="1" t="s">
        <v>3107</v>
      </c>
      <c r="F640" s="22" t="s">
        <v>6085</v>
      </c>
      <c r="G640" s="1" t="s">
        <v>5</v>
      </c>
      <c r="H640" s="1" t="s">
        <v>24</v>
      </c>
      <c r="I640" s="1" t="s">
        <v>26</v>
      </c>
      <c r="J640" s="1" t="s">
        <v>8</v>
      </c>
      <c r="K640" s="1" t="s">
        <v>14</v>
      </c>
      <c r="L640" s="1" t="s">
        <v>14</v>
      </c>
      <c r="M640" s="1" t="s">
        <v>53</v>
      </c>
      <c r="N640" s="11" t="s">
        <v>188</v>
      </c>
      <c r="O640" s="1" t="s">
        <v>6037</v>
      </c>
      <c r="P640" s="1" t="s">
        <v>4500</v>
      </c>
      <c r="Q640" s="1" t="s">
        <v>5380</v>
      </c>
      <c r="R640" s="1" t="s">
        <v>4501</v>
      </c>
      <c r="S640" s="8">
        <v>46053</v>
      </c>
      <c r="T640" s="1">
        <v>3</v>
      </c>
      <c r="U640" s="1" t="s">
        <v>4502</v>
      </c>
      <c r="V640" s="1" t="s">
        <v>4503</v>
      </c>
      <c r="W640" s="1" t="s">
        <v>4504</v>
      </c>
    </row>
    <row r="641" spans="1:23" x14ac:dyDescent="0.25">
      <c r="A641" s="1" t="s">
        <v>48</v>
      </c>
      <c r="B641" s="1" t="s">
        <v>2329</v>
      </c>
      <c r="C641" s="1" t="s">
        <v>50</v>
      </c>
      <c r="D641" s="1" t="s">
        <v>3108</v>
      </c>
      <c r="E641" s="1" t="s">
        <v>3109</v>
      </c>
      <c r="F641" s="22" t="s">
        <v>6085</v>
      </c>
      <c r="G641" s="1" t="s">
        <v>6</v>
      </c>
      <c r="H641" s="1" t="s">
        <v>21</v>
      </c>
      <c r="I641" s="1" t="s">
        <v>25</v>
      </c>
      <c r="J641" s="1" t="s">
        <v>9</v>
      </c>
      <c r="K641" s="1" t="s">
        <v>10</v>
      </c>
      <c r="L641" s="1" t="s">
        <v>16</v>
      </c>
      <c r="M641" s="1" t="s">
        <v>53</v>
      </c>
      <c r="N641" s="15" t="s">
        <v>1829</v>
      </c>
      <c r="O641" s="1" t="s">
        <v>6037</v>
      </c>
      <c r="P641" s="1" t="s">
        <v>126</v>
      </c>
      <c r="Q641" s="18" t="s">
        <v>5798</v>
      </c>
      <c r="R641" s="1" t="s">
        <v>4505</v>
      </c>
      <c r="S641" s="8">
        <v>45695</v>
      </c>
      <c r="T641" s="1">
        <v>1</v>
      </c>
      <c r="U641" s="1" t="s">
        <v>4506</v>
      </c>
      <c r="V641" s="1" t="s">
        <v>1388</v>
      </c>
      <c r="W641" s="1" t="s">
        <v>1388</v>
      </c>
    </row>
    <row r="642" spans="1:23" x14ac:dyDescent="0.25">
      <c r="A642" s="1" t="s">
        <v>48</v>
      </c>
      <c r="B642" s="1" t="s">
        <v>2330</v>
      </c>
      <c r="C642" s="1" t="s">
        <v>50</v>
      </c>
      <c r="D642" s="1" t="s">
        <v>3110</v>
      </c>
      <c r="E642" s="1" t="s">
        <v>3111</v>
      </c>
      <c r="F642" s="22" t="s">
        <v>6085</v>
      </c>
      <c r="G642" s="1" t="s">
        <v>7</v>
      </c>
      <c r="H642" s="1" t="s">
        <v>24</v>
      </c>
      <c r="I642" s="1" t="s">
        <v>26</v>
      </c>
      <c r="J642" s="1" t="s">
        <v>9</v>
      </c>
      <c r="K642" s="1" t="s">
        <v>14</v>
      </c>
      <c r="L642" s="1" t="s">
        <v>14</v>
      </c>
      <c r="M642" s="1" t="s">
        <v>53</v>
      </c>
      <c r="N642" s="15" t="s">
        <v>1829</v>
      </c>
      <c r="O642" s="1" t="s">
        <v>6037</v>
      </c>
      <c r="P642" s="1" t="s">
        <v>60</v>
      </c>
      <c r="Q642" s="1" t="s">
        <v>5799</v>
      </c>
      <c r="R642" s="1" t="s">
        <v>4507</v>
      </c>
      <c r="S642" s="8">
        <v>46027</v>
      </c>
      <c r="T642" s="1">
        <v>2</v>
      </c>
      <c r="U642" s="1" t="s">
        <v>4508</v>
      </c>
      <c r="V642" s="1" t="s">
        <v>1453</v>
      </c>
      <c r="W642" s="1" t="s">
        <v>1388</v>
      </c>
    </row>
    <row r="643" spans="1:23" x14ac:dyDescent="0.25">
      <c r="A643" s="1" t="s">
        <v>48</v>
      </c>
      <c r="B643" s="1" t="s">
        <v>2331</v>
      </c>
      <c r="C643" s="1" t="s">
        <v>50</v>
      </c>
      <c r="D643" s="1" t="s">
        <v>3112</v>
      </c>
      <c r="E643" s="1" t="s">
        <v>3113</v>
      </c>
      <c r="F643" s="22" t="s">
        <v>5259</v>
      </c>
      <c r="G643" s="1" t="s">
        <v>6</v>
      </c>
      <c r="H643" s="1" t="s">
        <v>20</v>
      </c>
      <c r="I643" s="1" t="s">
        <v>26</v>
      </c>
      <c r="J643" s="1" t="s">
        <v>9</v>
      </c>
      <c r="K643" s="1" t="s">
        <v>12</v>
      </c>
      <c r="L643" s="1" t="s">
        <v>12</v>
      </c>
      <c r="M643" s="1" t="s">
        <v>53</v>
      </c>
      <c r="N643" s="14" t="s">
        <v>5226</v>
      </c>
      <c r="O643" s="1" t="s">
        <v>6037</v>
      </c>
      <c r="P643" s="1" t="s">
        <v>4509</v>
      </c>
      <c r="Q643" s="1" t="s">
        <v>5800</v>
      </c>
      <c r="R643" s="1" t="s">
        <v>4510</v>
      </c>
      <c r="S643" s="8">
        <v>46041</v>
      </c>
      <c r="T643" s="1">
        <v>1</v>
      </c>
      <c r="U643" s="1" t="s">
        <v>4511</v>
      </c>
      <c r="V643" s="1" t="s">
        <v>1388</v>
      </c>
      <c r="W643" s="1" t="s">
        <v>1388</v>
      </c>
    </row>
    <row r="644" spans="1:23" x14ac:dyDescent="0.25">
      <c r="A644" s="1" t="s">
        <v>48</v>
      </c>
      <c r="B644" s="1" t="s">
        <v>2332</v>
      </c>
      <c r="C644" s="1" t="s">
        <v>50</v>
      </c>
      <c r="D644" s="1" t="s">
        <v>3114</v>
      </c>
      <c r="E644" s="1" t="s">
        <v>3115</v>
      </c>
      <c r="F644" s="22" t="s">
        <v>6085</v>
      </c>
      <c r="G644" s="1" t="s">
        <v>5</v>
      </c>
      <c r="H644" s="1" t="s">
        <v>24</v>
      </c>
      <c r="I644" s="1" t="s">
        <v>26</v>
      </c>
      <c r="J644" s="1" t="s">
        <v>9</v>
      </c>
      <c r="K644" s="1" t="s">
        <v>16</v>
      </c>
      <c r="L644" s="1" t="s">
        <v>16</v>
      </c>
      <c r="M644" s="1" t="s">
        <v>53</v>
      </c>
      <c r="N644" s="15" t="s">
        <v>5260</v>
      </c>
      <c r="O644" s="1" t="s">
        <v>6037</v>
      </c>
      <c r="P644" s="1" t="s">
        <v>1456</v>
      </c>
      <c r="Q644" s="1" t="s">
        <v>5801</v>
      </c>
      <c r="R644" s="1" t="s">
        <v>4512</v>
      </c>
      <c r="S644" s="8">
        <v>46027</v>
      </c>
      <c r="T644" s="1">
        <v>3</v>
      </c>
      <c r="U644" s="1" t="s">
        <v>4513</v>
      </c>
      <c r="V644" s="1" t="s">
        <v>4513</v>
      </c>
      <c r="W644" s="1" t="s">
        <v>4513</v>
      </c>
    </row>
    <row r="645" spans="1:23" x14ac:dyDescent="0.25">
      <c r="A645" s="1" t="s">
        <v>48</v>
      </c>
      <c r="B645" s="1" t="s">
        <v>2333</v>
      </c>
      <c r="C645" s="1" t="s">
        <v>50</v>
      </c>
      <c r="D645" s="1" t="s">
        <v>3116</v>
      </c>
      <c r="E645" s="1" t="s">
        <v>3117</v>
      </c>
      <c r="F645" s="22" t="s">
        <v>6085</v>
      </c>
      <c r="G645" s="1" t="s">
        <v>5</v>
      </c>
      <c r="H645" s="1" t="s">
        <v>20</v>
      </c>
      <c r="I645" s="1" t="s">
        <v>25</v>
      </c>
      <c r="J645" s="1" t="s">
        <v>9</v>
      </c>
      <c r="K645" s="1" t="s">
        <v>16</v>
      </c>
      <c r="L645" s="1" t="s">
        <v>16</v>
      </c>
      <c r="M645" s="1" t="s">
        <v>53</v>
      </c>
      <c r="N645" s="11" t="s">
        <v>188</v>
      </c>
      <c r="O645" s="1" t="s">
        <v>6037</v>
      </c>
      <c r="P645" s="1" t="s">
        <v>126</v>
      </c>
      <c r="Q645" s="1" t="s">
        <v>5802</v>
      </c>
      <c r="R645" s="1" t="s">
        <v>4514</v>
      </c>
      <c r="S645" s="8">
        <v>46027</v>
      </c>
      <c r="T645" s="1">
        <v>3</v>
      </c>
      <c r="U645" s="1" t="s">
        <v>4515</v>
      </c>
      <c r="V645" s="1" t="s">
        <v>4516</v>
      </c>
      <c r="W645" s="1" t="s">
        <v>4517</v>
      </c>
    </row>
    <row r="646" spans="1:23" x14ac:dyDescent="0.25">
      <c r="A646" s="1" t="s">
        <v>48</v>
      </c>
      <c r="B646" s="1" t="s">
        <v>2334</v>
      </c>
      <c r="C646" s="1" t="s">
        <v>50</v>
      </c>
      <c r="D646" s="1" t="s">
        <v>3118</v>
      </c>
      <c r="E646" s="1" t="s">
        <v>3119</v>
      </c>
      <c r="F646" s="22" t="s">
        <v>6085</v>
      </c>
      <c r="G646" s="1" t="s">
        <v>6</v>
      </c>
      <c r="H646" s="1" t="s">
        <v>20</v>
      </c>
      <c r="I646" s="1" t="s">
        <v>25</v>
      </c>
      <c r="J646" s="1" t="s">
        <v>9</v>
      </c>
      <c r="K646" s="1" t="s">
        <v>11</v>
      </c>
      <c r="L646" s="1" t="s">
        <v>11</v>
      </c>
      <c r="M646" s="1" t="s">
        <v>53</v>
      </c>
      <c r="N646" s="11" t="s">
        <v>188</v>
      </c>
      <c r="O646" s="1" t="s">
        <v>6037</v>
      </c>
      <c r="P646" s="1" t="s">
        <v>593</v>
      </c>
      <c r="Q646" s="1" t="s">
        <v>5803</v>
      </c>
      <c r="R646" s="1" t="s">
        <v>4518</v>
      </c>
      <c r="S646" s="8">
        <v>46204</v>
      </c>
      <c r="T646" s="1">
        <v>3</v>
      </c>
      <c r="U646" s="1" t="s">
        <v>1407</v>
      </c>
      <c r="V646" s="1" t="s">
        <v>1407</v>
      </c>
      <c r="W646" s="1" t="s">
        <v>1407</v>
      </c>
    </row>
    <row r="647" spans="1:23" x14ac:dyDescent="0.25">
      <c r="A647" s="1" t="s">
        <v>48</v>
      </c>
      <c r="B647" s="1" t="s">
        <v>2335</v>
      </c>
      <c r="C647" s="1" t="s">
        <v>50</v>
      </c>
      <c r="D647" s="1" t="s">
        <v>3120</v>
      </c>
      <c r="E647" s="1" t="s">
        <v>3121</v>
      </c>
      <c r="F647" s="22" t="s">
        <v>6085</v>
      </c>
      <c r="G647" s="1" t="s">
        <v>6</v>
      </c>
      <c r="H647" s="1" t="s">
        <v>20</v>
      </c>
      <c r="I647" s="1" t="s">
        <v>26</v>
      </c>
      <c r="J647" s="1" t="s">
        <v>9</v>
      </c>
      <c r="K647" s="1" t="s">
        <v>14</v>
      </c>
      <c r="L647" s="1" t="s">
        <v>14</v>
      </c>
      <c r="M647" s="1" t="s">
        <v>53</v>
      </c>
      <c r="N647" s="11" t="s">
        <v>188</v>
      </c>
      <c r="O647" s="1" t="s">
        <v>6037</v>
      </c>
      <c r="P647" s="1" t="s">
        <v>66</v>
      </c>
      <c r="Q647" s="18" t="s">
        <v>5565</v>
      </c>
      <c r="R647" s="1" t="s">
        <v>4519</v>
      </c>
      <c r="S647" s="8">
        <v>46041</v>
      </c>
      <c r="T647" s="1">
        <v>2</v>
      </c>
      <c r="U647" s="1" t="s">
        <v>4520</v>
      </c>
      <c r="V647" s="1" t="s">
        <v>4520</v>
      </c>
      <c r="W647" s="1" t="s">
        <v>1388</v>
      </c>
    </row>
    <row r="648" spans="1:23" x14ac:dyDescent="0.25">
      <c r="A648" s="1" t="s">
        <v>48</v>
      </c>
      <c r="B648" s="1" t="s">
        <v>2336</v>
      </c>
      <c r="C648" s="1" t="s">
        <v>50</v>
      </c>
      <c r="D648" s="1" t="s">
        <v>3122</v>
      </c>
      <c r="E648" s="1" t="s">
        <v>3123</v>
      </c>
      <c r="F648" s="22" t="s">
        <v>6085</v>
      </c>
      <c r="G648" s="1" t="s">
        <v>6</v>
      </c>
      <c r="H648" s="1" t="s">
        <v>20</v>
      </c>
      <c r="I648" s="1" t="s">
        <v>26</v>
      </c>
      <c r="J648" s="1" t="s">
        <v>9</v>
      </c>
      <c r="K648" s="1" t="s">
        <v>19</v>
      </c>
      <c r="L648" s="1" t="s">
        <v>19</v>
      </c>
      <c r="M648" s="1" t="s">
        <v>53</v>
      </c>
      <c r="N648" s="11" t="s">
        <v>6024</v>
      </c>
      <c r="O648" s="1" t="s">
        <v>6037</v>
      </c>
      <c r="P648" s="1" t="s">
        <v>306</v>
      </c>
      <c r="Q648" s="1" t="s">
        <v>5804</v>
      </c>
      <c r="R648" s="1" t="s">
        <v>4521</v>
      </c>
      <c r="S648" s="8">
        <v>46062</v>
      </c>
      <c r="T648" s="1">
        <v>1</v>
      </c>
      <c r="U648" s="1" t="s">
        <v>4522</v>
      </c>
      <c r="V648" s="1" t="s">
        <v>1388</v>
      </c>
      <c r="W648" s="1" t="s">
        <v>1388</v>
      </c>
    </row>
    <row r="649" spans="1:23" x14ac:dyDescent="0.25">
      <c r="A649" s="1" t="s">
        <v>48</v>
      </c>
      <c r="B649" s="1" t="s">
        <v>2337</v>
      </c>
      <c r="C649" s="1" t="s">
        <v>50</v>
      </c>
      <c r="D649" s="1" t="s">
        <v>3124</v>
      </c>
      <c r="E649" s="1" t="s">
        <v>3125</v>
      </c>
      <c r="F649" s="22" t="s">
        <v>6085</v>
      </c>
      <c r="G649" s="1" t="s">
        <v>7</v>
      </c>
      <c r="H649" s="1" t="s">
        <v>20</v>
      </c>
      <c r="I649" s="1" t="s">
        <v>25</v>
      </c>
      <c r="J649" s="1" t="s">
        <v>9</v>
      </c>
      <c r="K649" s="1" t="s">
        <v>13</v>
      </c>
      <c r="L649" s="1" t="s">
        <v>13</v>
      </c>
      <c r="M649" s="1" t="s">
        <v>53</v>
      </c>
      <c r="N649" s="11" t="s">
        <v>188</v>
      </c>
      <c r="O649" s="1" t="s">
        <v>6037</v>
      </c>
      <c r="P649" s="1" t="s">
        <v>1456</v>
      </c>
      <c r="Q649" s="1" t="s">
        <v>4417</v>
      </c>
      <c r="R649" s="1" t="s">
        <v>4523</v>
      </c>
      <c r="S649" s="8">
        <v>46143</v>
      </c>
      <c r="T649" s="1">
        <v>2</v>
      </c>
      <c r="U649" s="1" t="s">
        <v>4524</v>
      </c>
      <c r="V649" s="1" t="s">
        <v>4525</v>
      </c>
      <c r="W649" s="1" t="s">
        <v>1388</v>
      </c>
    </row>
    <row r="650" spans="1:23" x14ac:dyDescent="0.25">
      <c r="A650" s="1" t="s">
        <v>48</v>
      </c>
      <c r="B650" s="1" t="s">
        <v>2338</v>
      </c>
      <c r="C650" s="1" t="s">
        <v>50</v>
      </c>
      <c r="D650" s="1" t="s">
        <v>3126</v>
      </c>
      <c r="E650" s="1" t="s">
        <v>3127</v>
      </c>
      <c r="F650" s="22" t="s">
        <v>6085</v>
      </c>
      <c r="G650" s="1" t="s">
        <v>1383</v>
      </c>
      <c r="H650" s="1" t="s">
        <v>24</v>
      </c>
      <c r="I650" s="1" t="s">
        <v>26</v>
      </c>
      <c r="J650" s="1" t="s">
        <v>8</v>
      </c>
      <c r="K650" s="1" t="s">
        <v>16</v>
      </c>
      <c r="L650" s="1" t="s">
        <v>16</v>
      </c>
      <c r="M650" s="1" t="s">
        <v>53</v>
      </c>
      <c r="N650" s="11" t="s">
        <v>188</v>
      </c>
      <c r="O650" s="1" t="s">
        <v>6037</v>
      </c>
      <c r="P650" s="1" t="s">
        <v>4526</v>
      </c>
      <c r="Q650" s="1" t="s">
        <v>5805</v>
      </c>
      <c r="R650" s="1" t="s">
        <v>4527</v>
      </c>
      <c r="S650" s="8">
        <v>46113</v>
      </c>
      <c r="T650" s="1">
        <v>1</v>
      </c>
      <c r="U650" s="1" t="s">
        <v>4528</v>
      </c>
      <c r="V650" s="1" t="s">
        <v>1388</v>
      </c>
      <c r="W650" s="1" t="s">
        <v>1388</v>
      </c>
    </row>
    <row r="651" spans="1:23" x14ac:dyDescent="0.25">
      <c r="A651" s="1" t="s">
        <v>48</v>
      </c>
      <c r="B651" s="1" t="s">
        <v>2339</v>
      </c>
      <c r="C651" s="1" t="s">
        <v>50</v>
      </c>
      <c r="D651" s="1" t="s">
        <v>3128</v>
      </c>
      <c r="E651" s="1" t="s">
        <v>3129</v>
      </c>
      <c r="F651" s="22" t="s">
        <v>6085</v>
      </c>
      <c r="G651" s="1" t="s">
        <v>1383</v>
      </c>
      <c r="H651" s="1" t="s">
        <v>24</v>
      </c>
      <c r="I651" s="1" t="s">
        <v>25</v>
      </c>
      <c r="J651" s="1" t="s">
        <v>8</v>
      </c>
      <c r="K651" s="1" t="s">
        <v>15</v>
      </c>
      <c r="L651" s="1" t="s">
        <v>15</v>
      </c>
      <c r="M651" s="1" t="s">
        <v>53</v>
      </c>
      <c r="N651" s="11" t="s">
        <v>188</v>
      </c>
      <c r="O651" s="1" t="s">
        <v>6037</v>
      </c>
      <c r="P651" s="1" t="s">
        <v>4529</v>
      </c>
      <c r="Q651" s="1" t="s">
        <v>5806</v>
      </c>
      <c r="R651" s="1" t="s">
        <v>4530</v>
      </c>
      <c r="S651" s="8">
        <v>46065</v>
      </c>
      <c r="T651" s="1">
        <v>1</v>
      </c>
      <c r="U651" s="1" t="s">
        <v>4531</v>
      </c>
      <c r="V651" s="1" t="s">
        <v>1388</v>
      </c>
      <c r="W651" s="1" t="s">
        <v>1388</v>
      </c>
    </row>
    <row r="652" spans="1:23" x14ac:dyDescent="0.25">
      <c r="A652" s="1" t="s">
        <v>48</v>
      </c>
      <c r="B652" s="1" t="s">
        <v>2340</v>
      </c>
      <c r="C652" s="1" t="s">
        <v>50</v>
      </c>
      <c r="D652" s="1" t="s">
        <v>3130</v>
      </c>
      <c r="E652" s="1" t="s">
        <v>3131</v>
      </c>
      <c r="F652" s="22" t="s">
        <v>6085</v>
      </c>
      <c r="G652" s="1" t="s">
        <v>6</v>
      </c>
      <c r="H652" s="1" t="s">
        <v>24</v>
      </c>
      <c r="I652" s="1" t="s">
        <v>26</v>
      </c>
      <c r="J652" s="1" t="s">
        <v>9</v>
      </c>
      <c r="K652" s="1" t="s">
        <v>10</v>
      </c>
      <c r="L652" s="1" t="s">
        <v>16</v>
      </c>
      <c r="M652" s="1" t="s">
        <v>53</v>
      </c>
      <c r="N652" s="11" t="s">
        <v>188</v>
      </c>
      <c r="O652" s="1" t="s">
        <v>6037</v>
      </c>
      <c r="P652" s="1" t="s">
        <v>1456</v>
      </c>
      <c r="Q652" s="18" t="s">
        <v>5807</v>
      </c>
      <c r="R652" s="1" t="s">
        <v>4532</v>
      </c>
      <c r="S652" s="8">
        <v>45679</v>
      </c>
      <c r="T652" s="1">
        <v>1</v>
      </c>
      <c r="U652" s="1" t="s">
        <v>4533</v>
      </c>
      <c r="V652" s="1" t="s">
        <v>1388</v>
      </c>
      <c r="W652" s="1" t="s">
        <v>1388</v>
      </c>
    </row>
    <row r="653" spans="1:23" x14ac:dyDescent="0.25">
      <c r="A653" s="1" t="s">
        <v>48</v>
      </c>
      <c r="B653" s="1" t="s">
        <v>2341</v>
      </c>
      <c r="C653" s="1" t="s">
        <v>50</v>
      </c>
      <c r="D653" s="1" t="s">
        <v>3132</v>
      </c>
      <c r="E653" s="1" t="s">
        <v>3133</v>
      </c>
      <c r="F653" s="22" t="s">
        <v>6085</v>
      </c>
      <c r="G653" s="1" t="s">
        <v>5</v>
      </c>
      <c r="H653" s="1" t="s">
        <v>20</v>
      </c>
      <c r="I653" s="1" t="s">
        <v>26</v>
      </c>
      <c r="J653" s="1" t="s">
        <v>9</v>
      </c>
      <c r="K653" s="1" t="s">
        <v>14</v>
      </c>
      <c r="L653" s="1" t="s">
        <v>14</v>
      </c>
      <c r="M653" s="1" t="s">
        <v>53</v>
      </c>
      <c r="N653" s="11" t="s">
        <v>188</v>
      </c>
      <c r="O653" s="1" t="s">
        <v>6037</v>
      </c>
      <c r="P653" s="1" t="s">
        <v>66</v>
      </c>
      <c r="Q653" s="1" t="s">
        <v>5808</v>
      </c>
      <c r="R653" s="1" t="s">
        <v>4534</v>
      </c>
      <c r="S653" s="8">
        <v>45687</v>
      </c>
      <c r="T653" s="1">
        <v>3</v>
      </c>
      <c r="U653" s="1" t="s">
        <v>165</v>
      </c>
      <c r="V653" s="1" t="s">
        <v>4535</v>
      </c>
      <c r="W653" s="1" t="s">
        <v>4536</v>
      </c>
    </row>
    <row r="654" spans="1:23" x14ac:dyDescent="0.25">
      <c r="A654" s="1" t="s">
        <v>48</v>
      </c>
      <c r="B654" s="1" t="s">
        <v>2342</v>
      </c>
      <c r="C654" s="1" t="s">
        <v>50</v>
      </c>
      <c r="D654" s="1" t="s">
        <v>3134</v>
      </c>
      <c r="E654" s="1" t="s">
        <v>3135</v>
      </c>
      <c r="F654" s="22" t="s">
        <v>6085</v>
      </c>
      <c r="G654" s="1" t="s">
        <v>5</v>
      </c>
      <c r="H654" s="1" t="s">
        <v>20</v>
      </c>
      <c r="I654" s="1" t="s">
        <v>25</v>
      </c>
      <c r="J654" s="1" t="s">
        <v>9</v>
      </c>
      <c r="K654" s="1" t="s">
        <v>13</v>
      </c>
      <c r="L654" s="1" t="s">
        <v>13</v>
      </c>
      <c r="M654" s="1" t="s">
        <v>53</v>
      </c>
      <c r="N654" s="15" t="s">
        <v>1829</v>
      </c>
      <c r="O654" s="1" t="s">
        <v>6037</v>
      </c>
      <c r="P654" s="1" t="s">
        <v>247</v>
      </c>
      <c r="Q654" s="1" t="s">
        <v>5809</v>
      </c>
      <c r="R654" s="1" t="s">
        <v>4537</v>
      </c>
      <c r="S654" s="8">
        <v>46023</v>
      </c>
      <c r="T654" s="1">
        <v>3</v>
      </c>
      <c r="U654" s="1" t="s">
        <v>4538</v>
      </c>
      <c r="V654" s="1" t="s">
        <v>4539</v>
      </c>
      <c r="W654" s="1" t="s">
        <v>4540</v>
      </c>
    </row>
    <row r="655" spans="1:23" x14ac:dyDescent="0.25">
      <c r="A655" s="1" t="s">
        <v>48</v>
      </c>
      <c r="B655" s="1" t="s">
        <v>2343</v>
      </c>
      <c r="C655" s="1" t="s">
        <v>50</v>
      </c>
      <c r="D655" s="1" t="s">
        <v>3136</v>
      </c>
      <c r="E655" s="1" t="s">
        <v>3137</v>
      </c>
      <c r="F655" s="22" t="s">
        <v>3</v>
      </c>
      <c r="G655" s="1" t="s">
        <v>5</v>
      </c>
      <c r="H655" s="1" t="s">
        <v>24</v>
      </c>
      <c r="I655" s="1" t="s">
        <v>25</v>
      </c>
      <c r="J655" s="1" t="s">
        <v>9</v>
      </c>
      <c r="K655" s="1" t="s">
        <v>14</v>
      </c>
      <c r="L655" s="1" t="s">
        <v>14</v>
      </c>
      <c r="M655" s="1" t="s">
        <v>53</v>
      </c>
      <c r="N655" s="11" t="s">
        <v>188</v>
      </c>
      <c r="O655" s="1" t="s">
        <v>6037</v>
      </c>
      <c r="P655" s="1" t="s">
        <v>126</v>
      </c>
      <c r="Q655" s="1" t="s">
        <v>5810</v>
      </c>
      <c r="R655" s="7" t="s">
        <v>4541</v>
      </c>
      <c r="S655" s="8">
        <v>46062</v>
      </c>
      <c r="T655" s="1">
        <v>2</v>
      </c>
      <c r="U655" s="1" t="s">
        <v>454</v>
      </c>
      <c r="V655" s="1" t="s">
        <v>744</v>
      </c>
      <c r="W655" s="1" t="s">
        <v>1388</v>
      </c>
    </row>
    <row r="656" spans="1:23" x14ac:dyDescent="0.25">
      <c r="A656" s="1" t="s">
        <v>48</v>
      </c>
      <c r="B656" s="1" t="s">
        <v>2344</v>
      </c>
      <c r="C656" s="1" t="s">
        <v>50</v>
      </c>
      <c r="D656" s="1" t="s">
        <v>3138</v>
      </c>
      <c r="E656" s="1" t="s">
        <v>3139</v>
      </c>
      <c r="F656" s="22" t="s">
        <v>6085</v>
      </c>
      <c r="G656" s="1" t="s">
        <v>5</v>
      </c>
      <c r="H656" s="1" t="s">
        <v>20</v>
      </c>
      <c r="I656" s="1" t="s">
        <v>25</v>
      </c>
      <c r="J656" s="1" t="s">
        <v>9</v>
      </c>
      <c r="K656" s="1" t="s">
        <v>13</v>
      </c>
      <c r="L656" s="1" t="s">
        <v>13</v>
      </c>
      <c r="M656" s="1" t="s">
        <v>53</v>
      </c>
      <c r="N656" s="11" t="s">
        <v>188</v>
      </c>
      <c r="O656" s="1" t="s">
        <v>6037</v>
      </c>
      <c r="P656" s="1" t="s">
        <v>593</v>
      </c>
      <c r="Q656" s="1" t="s">
        <v>4156</v>
      </c>
      <c r="R656" s="1" t="s">
        <v>4542</v>
      </c>
      <c r="S656" s="8">
        <v>46048</v>
      </c>
      <c r="T656" s="1">
        <v>2</v>
      </c>
      <c r="U656" s="1" t="s">
        <v>4543</v>
      </c>
      <c r="V656" s="1" t="s">
        <v>4544</v>
      </c>
      <c r="W656" s="1" t="s">
        <v>1388</v>
      </c>
    </row>
    <row r="657" spans="1:23" x14ac:dyDescent="0.25">
      <c r="A657" s="1" t="s">
        <v>48</v>
      </c>
      <c r="B657" s="1" t="s">
        <v>2345</v>
      </c>
      <c r="C657" s="1" t="s">
        <v>50</v>
      </c>
      <c r="D657" s="1" t="s">
        <v>3140</v>
      </c>
      <c r="E657" s="1" t="s">
        <v>3141</v>
      </c>
      <c r="F657" s="22" t="s">
        <v>6085</v>
      </c>
      <c r="G657" s="1" t="s">
        <v>6</v>
      </c>
      <c r="H657" s="1" t="s">
        <v>24</v>
      </c>
      <c r="I657" s="1" t="s">
        <v>25</v>
      </c>
      <c r="J657" s="1" t="s">
        <v>9</v>
      </c>
      <c r="K657" s="1" t="s">
        <v>13</v>
      </c>
      <c r="L657" s="1" t="s">
        <v>16</v>
      </c>
      <c r="M657" s="1" t="s">
        <v>53</v>
      </c>
      <c r="N657" s="11" t="s">
        <v>188</v>
      </c>
      <c r="O657" s="2" t="s">
        <v>6235</v>
      </c>
      <c r="P657" s="1" t="s">
        <v>593</v>
      </c>
      <c r="Q657" s="1" t="s">
        <v>5811</v>
      </c>
      <c r="R657" s="1" t="s">
        <v>4545</v>
      </c>
      <c r="S657" s="8">
        <v>46053</v>
      </c>
      <c r="T657" s="1">
        <v>2</v>
      </c>
      <c r="U657" s="1" t="s">
        <v>4546</v>
      </c>
      <c r="V657" s="1" t="s">
        <v>4546</v>
      </c>
      <c r="W657" s="1" t="s">
        <v>1388</v>
      </c>
    </row>
    <row r="658" spans="1:23" x14ac:dyDescent="0.25">
      <c r="A658" s="1" t="s">
        <v>48</v>
      </c>
      <c r="B658" s="1" t="s">
        <v>2346</v>
      </c>
      <c r="C658" s="1" t="s">
        <v>50</v>
      </c>
      <c r="D658" s="1" t="s">
        <v>3142</v>
      </c>
      <c r="E658" s="1" t="s">
        <v>3143</v>
      </c>
      <c r="F658" s="22" t="s">
        <v>6085</v>
      </c>
      <c r="G658" s="1" t="s">
        <v>5</v>
      </c>
      <c r="H658" s="1" t="s">
        <v>20</v>
      </c>
      <c r="I658" s="1" t="s">
        <v>25</v>
      </c>
      <c r="J658" s="1" t="s">
        <v>9</v>
      </c>
      <c r="K658" s="1" t="s">
        <v>14</v>
      </c>
      <c r="L658" s="1" t="s">
        <v>14</v>
      </c>
      <c r="M658" s="1" t="s">
        <v>53</v>
      </c>
      <c r="N658" s="11" t="s">
        <v>188</v>
      </c>
      <c r="O658" s="1" t="s">
        <v>6037</v>
      </c>
      <c r="P658" s="1" t="s">
        <v>1456</v>
      </c>
      <c r="Q658" s="1" t="s">
        <v>5812</v>
      </c>
      <c r="R658" s="1" t="s">
        <v>4547</v>
      </c>
      <c r="S658" s="8">
        <v>45672</v>
      </c>
      <c r="T658" s="1">
        <v>3</v>
      </c>
      <c r="U658" s="1" t="s">
        <v>302</v>
      </c>
      <c r="V658" s="1" t="s">
        <v>411</v>
      </c>
      <c r="W658" s="1" t="s">
        <v>411</v>
      </c>
    </row>
    <row r="659" spans="1:23" x14ac:dyDescent="0.25">
      <c r="A659" s="1" t="s">
        <v>48</v>
      </c>
      <c r="B659" s="1" t="s">
        <v>2347</v>
      </c>
      <c r="C659" s="1" t="s">
        <v>50</v>
      </c>
      <c r="D659" s="1" t="s">
        <v>3144</v>
      </c>
      <c r="E659" s="1" t="s">
        <v>3145</v>
      </c>
      <c r="F659" s="22" t="s">
        <v>6085</v>
      </c>
      <c r="G659" s="1" t="s">
        <v>6</v>
      </c>
      <c r="H659" s="1" t="s">
        <v>20</v>
      </c>
      <c r="I659" s="1" t="s">
        <v>25</v>
      </c>
      <c r="J659" s="1" t="s">
        <v>9</v>
      </c>
      <c r="K659" s="1" t="s">
        <v>19</v>
      </c>
      <c r="L659" s="1" t="s">
        <v>19</v>
      </c>
      <c r="M659" s="1" t="s">
        <v>53</v>
      </c>
      <c r="N659" s="11" t="s">
        <v>188</v>
      </c>
      <c r="O659" s="1" t="s">
        <v>6037</v>
      </c>
      <c r="P659" s="1" t="s">
        <v>60</v>
      </c>
      <c r="Q659" s="18" t="s">
        <v>5813</v>
      </c>
      <c r="R659" s="1" t="s">
        <v>4548</v>
      </c>
      <c r="S659" s="8">
        <v>46034</v>
      </c>
      <c r="T659" s="1">
        <v>2</v>
      </c>
      <c r="U659" s="1" t="s">
        <v>4549</v>
      </c>
      <c r="V659" s="1" t="s">
        <v>1588</v>
      </c>
      <c r="W659" s="1" t="s">
        <v>1388</v>
      </c>
    </row>
    <row r="660" spans="1:23" x14ac:dyDescent="0.25">
      <c r="A660" s="1" t="s">
        <v>48</v>
      </c>
      <c r="B660" s="1" t="s">
        <v>2348</v>
      </c>
      <c r="C660" s="1" t="s">
        <v>50</v>
      </c>
      <c r="D660" s="1" t="s">
        <v>3146</v>
      </c>
      <c r="E660" s="1" t="s">
        <v>3147</v>
      </c>
      <c r="F660" s="22" t="s">
        <v>6085</v>
      </c>
      <c r="G660" s="1" t="s">
        <v>6</v>
      </c>
      <c r="H660" s="1" t="s">
        <v>24</v>
      </c>
      <c r="I660" s="1" t="s">
        <v>25</v>
      </c>
      <c r="J660" s="1" t="s">
        <v>9</v>
      </c>
      <c r="K660" s="1" t="s">
        <v>13</v>
      </c>
      <c r="L660" s="1" t="s">
        <v>13</v>
      </c>
      <c r="M660" s="1" t="s">
        <v>53</v>
      </c>
      <c r="N660" s="11" t="s">
        <v>188</v>
      </c>
      <c r="O660" s="1" t="s">
        <v>6037</v>
      </c>
      <c r="P660" s="1" t="s">
        <v>247</v>
      </c>
      <c r="Q660" s="1" t="s">
        <v>5814</v>
      </c>
      <c r="R660" s="1" t="s">
        <v>734</v>
      </c>
      <c r="S660" s="8">
        <v>45663</v>
      </c>
      <c r="T660" s="1">
        <v>1</v>
      </c>
      <c r="U660" s="1" t="s">
        <v>4550</v>
      </c>
      <c r="V660" s="1" t="s">
        <v>1388</v>
      </c>
      <c r="W660" s="1" t="s">
        <v>1388</v>
      </c>
    </row>
    <row r="661" spans="1:23" x14ac:dyDescent="0.25">
      <c r="A661" s="1" t="s">
        <v>48</v>
      </c>
      <c r="B661" s="1" t="s">
        <v>2349</v>
      </c>
      <c r="C661" s="1" t="s">
        <v>50</v>
      </c>
      <c r="D661" s="1" t="s">
        <v>3148</v>
      </c>
      <c r="E661" s="1" t="s">
        <v>3149</v>
      </c>
      <c r="F661" s="22" t="s">
        <v>6085</v>
      </c>
      <c r="G661" s="1" t="s">
        <v>5</v>
      </c>
      <c r="H661" s="1" t="s">
        <v>24</v>
      </c>
      <c r="I661" s="1" t="s">
        <v>25</v>
      </c>
      <c r="J661" s="1" t="s">
        <v>9</v>
      </c>
      <c r="K661" s="1" t="s">
        <v>14</v>
      </c>
      <c r="L661" s="1" t="s">
        <v>14</v>
      </c>
      <c r="M661" s="1" t="s">
        <v>53</v>
      </c>
      <c r="N661" s="15" t="s">
        <v>1829</v>
      </c>
      <c r="O661" s="1" t="s">
        <v>6037</v>
      </c>
      <c r="P661" s="1" t="s">
        <v>4551</v>
      </c>
      <c r="Q661" s="1" t="s">
        <v>5815</v>
      </c>
      <c r="R661" s="1" t="s">
        <v>4552</v>
      </c>
      <c r="S661" s="8">
        <v>46023</v>
      </c>
      <c r="T661" s="1">
        <v>1</v>
      </c>
      <c r="U661" s="1" t="s">
        <v>1455</v>
      </c>
      <c r="V661" s="1" t="s">
        <v>1388</v>
      </c>
      <c r="W661" s="1" t="s">
        <v>1388</v>
      </c>
    </row>
    <row r="662" spans="1:23" x14ac:dyDescent="0.25">
      <c r="A662" s="1" t="s">
        <v>48</v>
      </c>
      <c r="B662" s="1" t="s">
        <v>2350</v>
      </c>
      <c r="C662" s="1" t="s">
        <v>50</v>
      </c>
      <c r="D662" s="1" t="s">
        <v>3150</v>
      </c>
      <c r="E662" s="1" t="s">
        <v>3151</v>
      </c>
      <c r="F662" s="22" t="s">
        <v>6085</v>
      </c>
      <c r="G662" s="1" t="s">
        <v>6</v>
      </c>
      <c r="H662" s="1" t="s">
        <v>20</v>
      </c>
      <c r="I662" s="1" t="s">
        <v>25</v>
      </c>
      <c r="J662" s="1" t="s">
        <v>9</v>
      </c>
      <c r="K662" s="1" t="s">
        <v>18</v>
      </c>
      <c r="L662" s="1" t="s">
        <v>14</v>
      </c>
      <c r="M662" s="1" t="s">
        <v>53</v>
      </c>
      <c r="N662" s="15" t="s">
        <v>1829</v>
      </c>
      <c r="O662" s="2" t="s">
        <v>6235</v>
      </c>
      <c r="P662" s="1" t="s">
        <v>4553</v>
      </c>
      <c r="Q662" s="1" t="s">
        <v>5816</v>
      </c>
      <c r="R662" s="19" t="s">
        <v>4554</v>
      </c>
      <c r="S662" s="8">
        <v>46062</v>
      </c>
      <c r="T662" s="1">
        <v>1</v>
      </c>
      <c r="U662" s="1" t="s">
        <v>702</v>
      </c>
      <c r="V662" s="1" t="s">
        <v>1388</v>
      </c>
      <c r="W662" s="1" t="s">
        <v>1388</v>
      </c>
    </row>
    <row r="663" spans="1:23" x14ac:dyDescent="0.25">
      <c r="A663" s="1" t="s">
        <v>48</v>
      </c>
      <c r="B663" s="1" t="s">
        <v>2351</v>
      </c>
      <c r="C663" s="1" t="s">
        <v>50</v>
      </c>
      <c r="D663" s="1" t="s">
        <v>3152</v>
      </c>
      <c r="E663" s="1" t="s">
        <v>3153</v>
      </c>
      <c r="F663" s="22" t="s">
        <v>6085</v>
      </c>
      <c r="G663" s="1" t="s">
        <v>6</v>
      </c>
      <c r="H663" s="1" t="s">
        <v>20</v>
      </c>
      <c r="I663" s="1" t="s">
        <v>25</v>
      </c>
      <c r="J663" s="1" t="s">
        <v>9</v>
      </c>
      <c r="K663" s="1" t="s">
        <v>14</v>
      </c>
      <c r="L663" s="1" t="s">
        <v>14</v>
      </c>
      <c r="M663" s="1" t="s">
        <v>53</v>
      </c>
      <c r="N663" s="11" t="s">
        <v>188</v>
      </c>
      <c r="O663" s="1" t="s">
        <v>6037</v>
      </c>
      <c r="P663" s="1" t="s">
        <v>656</v>
      </c>
      <c r="Q663" s="1" t="s">
        <v>5817</v>
      </c>
      <c r="R663" s="1" t="s">
        <v>4555</v>
      </c>
      <c r="S663" s="8">
        <v>45698</v>
      </c>
      <c r="T663" s="1">
        <v>1</v>
      </c>
      <c r="U663" s="1" t="s">
        <v>411</v>
      </c>
      <c r="V663" s="1" t="s">
        <v>1388</v>
      </c>
      <c r="W663" s="1" t="s">
        <v>1388</v>
      </c>
    </row>
    <row r="664" spans="1:23" x14ac:dyDescent="0.25">
      <c r="A664" s="1" t="s">
        <v>48</v>
      </c>
      <c r="B664" s="1" t="s">
        <v>2352</v>
      </c>
      <c r="C664" s="1" t="s">
        <v>50</v>
      </c>
      <c r="D664" s="1" t="s">
        <v>3154</v>
      </c>
      <c r="E664" s="1" t="s">
        <v>3155</v>
      </c>
      <c r="F664" s="22" t="s">
        <v>6085</v>
      </c>
      <c r="G664" s="1" t="s">
        <v>6</v>
      </c>
      <c r="H664" s="1" t="s">
        <v>20</v>
      </c>
      <c r="I664" s="1" t="s">
        <v>25</v>
      </c>
      <c r="J664" s="1" t="s">
        <v>9</v>
      </c>
      <c r="K664" s="1" t="s">
        <v>14</v>
      </c>
      <c r="L664" s="1" t="s">
        <v>14</v>
      </c>
      <c r="M664" s="1" t="s">
        <v>53</v>
      </c>
      <c r="N664" s="11" t="s">
        <v>2091</v>
      </c>
      <c r="O664" s="1" t="s">
        <v>6037</v>
      </c>
      <c r="P664" s="1" t="s">
        <v>66</v>
      </c>
      <c r="Q664" s="1" t="s">
        <v>5539</v>
      </c>
      <c r="R664" s="1" t="s">
        <v>4556</v>
      </c>
      <c r="S664" s="8">
        <v>46035</v>
      </c>
      <c r="T664" s="1">
        <v>2</v>
      </c>
      <c r="U664" s="1" t="s">
        <v>4438</v>
      </c>
      <c r="V664" s="1" t="s">
        <v>4557</v>
      </c>
      <c r="W664" s="1" t="s">
        <v>1388</v>
      </c>
    </row>
    <row r="665" spans="1:23" x14ac:dyDescent="0.25">
      <c r="A665" s="1" t="s">
        <v>48</v>
      </c>
      <c r="B665" s="1" t="s">
        <v>2353</v>
      </c>
      <c r="C665" s="1" t="s">
        <v>50</v>
      </c>
      <c r="D665" s="1" t="s">
        <v>3156</v>
      </c>
      <c r="E665" s="1" t="s">
        <v>3157</v>
      </c>
      <c r="F665" s="22" t="s">
        <v>6085</v>
      </c>
      <c r="G665" s="1" t="s">
        <v>5</v>
      </c>
      <c r="H665" s="1" t="s">
        <v>20</v>
      </c>
      <c r="I665" s="1" t="s">
        <v>25</v>
      </c>
      <c r="J665" s="1" t="s">
        <v>9</v>
      </c>
      <c r="K665" s="1" t="s">
        <v>10</v>
      </c>
      <c r="L665" s="1" t="s">
        <v>16</v>
      </c>
      <c r="M665" s="1" t="s">
        <v>53</v>
      </c>
      <c r="N665" s="11" t="s">
        <v>188</v>
      </c>
      <c r="O665" s="1" t="s">
        <v>6037</v>
      </c>
      <c r="P665" s="1" t="s">
        <v>162</v>
      </c>
      <c r="Q665" s="20" t="s">
        <v>5818</v>
      </c>
      <c r="R665" s="1" t="s">
        <v>4558</v>
      </c>
      <c r="S665" s="8">
        <v>46051</v>
      </c>
      <c r="T665" s="1">
        <v>3</v>
      </c>
      <c r="U665" s="1" t="s">
        <v>4559</v>
      </c>
      <c r="V665" s="1" t="s">
        <v>4560</v>
      </c>
      <c r="W665" s="1" t="s">
        <v>4561</v>
      </c>
    </row>
    <row r="666" spans="1:23" x14ac:dyDescent="0.25">
      <c r="A666" s="1" t="s">
        <v>48</v>
      </c>
      <c r="B666" s="1" t="s">
        <v>2354</v>
      </c>
      <c r="C666" s="1" t="s">
        <v>50</v>
      </c>
      <c r="D666" s="1" t="s">
        <v>3158</v>
      </c>
      <c r="E666" s="1" t="s">
        <v>3159</v>
      </c>
      <c r="F666" s="22" t="s">
        <v>6085</v>
      </c>
      <c r="G666" s="1" t="s">
        <v>5</v>
      </c>
      <c r="H666" s="1" t="s">
        <v>20</v>
      </c>
      <c r="I666" s="1" t="s">
        <v>26</v>
      </c>
      <c r="J666" s="1" t="s">
        <v>8</v>
      </c>
      <c r="K666" s="1" t="s">
        <v>12</v>
      </c>
      <c r="L666" s="1" t="s">
        <v>12</v>
      </c>
      <c r="M666" s="1" t="s">
        <v>53</v>
      </c>
      <c r="N666" s="15" t="s">
        <v>1829</v>
      </c>
      <c r="O666" s="1" t="s">
        <v>6037</v>
      </c>
      <c r="P666" s="1" t="s">
        <v>4302</v>
      </c>
      <c r="Q666" s="1" t="s">
        <v>5819</v>
      </c>
      <c r="R666" s="1" t="s">
        <v>4562</v>
      </c>
      <c r="S666" s="8">
        <v>45355</v>
      </c>
      <c r="T666" s="1">
        <v>2</v>
      </c>
      <c r="U666" s="1" t="s">
        <v>4563</v>
      </c>
      <c r="V666" s="1" t="s">
        <v>4564</v>
      </c>
      <c r="W666" s="1" t="s">
        <v>1388</v>
      </c>
    </row>
    <row r="667" spans="1:23" x14ac:dyDescent="0.25">
      <c r="A667" s="1" t="s">
        <v>48</v>
      </c>
      <c r="B667" s="1" t="s">
        <v>2355</v>
      </c>
      <c r="C667" s="1" t="s">
        <v>50</v>
      </c>
      <c r="D667" s="1" t="s">
        <v>3160</v>
      </c>
      <c r="E667" s="1" t="s">
        <v>3161</v>
      </c>
      <c r="F667" s="22" t="s">
        <v>6085</v>
      </c>
      <c r="G667" s="1" t="s">
        <v>6</v>
      </c>
      <c r="H667" s="1" t="s">
        <v>24</v>
      </c>
      <c r="I667" s="1" t="s">
        <v>25</v>
      </c>
      <c r="J667" s="1" t="s">
        <v>9</v>
      </c>
      <c r="K667" s="1" t="s">
        <v>13</v>
      </c>
      <c r="L667" s="1" t="s">
        <v>16</v>
      </c>
      <c r="M667" s="1" t="s">
        <v>53</v>
      </c>
      <c r="N667" s="11" t="s">
        <v>2091</v>
      </c>
      <c r="O667" s="1" t="s">
        <v>6037</v>
      </c>
      <c r="P667" s="1" t="s">
        <v>60</v>
      </c>
      <c r="Q667" s="1" t="s">
        <v>5392</v>
      </c>
      <c r="R667" s="1" t="s">
        <v>4565</v>
      </c>
      <c r="S667" s="8">
        <v>45672</v>
      </c>
      <c r="T667" s="1">
        <v>1</v>
      </c>
      <c r="U667" s="1" t="s">
        <v>4566</v>
      </c>
      <c r="V667" s="1" t="s">
        <v>1388</v>
      </c>
      <c r="W667" s="1" t="s">
        <v>1388</v>
      </c>
    </row>
    <row r="668" spans="1:23" x14ac:dyDescent="0.25">
      <c r="A668" s="1" t="s">
        <v>48</v>
      </c>
      <c r="B668" s="1" t="s">
        <v>2356</v>
      </c>
      <c r="C668" s="1" t="s">
        <v>50</v>
      </c>
      <c r="D668" s="1" t="s">
        <v>3162</v>
      </c>
      <c r="E668" s="1" t="s">
        <v>3163</v>
      </c>
      <c r="F668" s="22" t="s">
        <v>6085</v>
      </c>
      <c r="G668" s="1" t="s">
        <v>5</v>
      </c>
      <c r="H668" s="1" t="s">
        <v>21</v>
      </c>
      <c r="I668" s="1" t="s">
        <v>25</v>
      </c>
      <c r="J668" s="1" t="s">
        <v>9</v>
      </c>
      <c r="K668" s="1" t="s">
        <v>14</v>
      </c>
      <c r="L668" s="1" t="s">
        <v>14</v>
      </c>
      <c r="M668" s="1" t="s">
        <v>53</v>
      </c>
      <c r="N668" s="11" t="s">
        <v>188</v>
      </c>
      <c r="O668" s="1" t="s">
        <v>6037</v>
      </c>
      <c r="P668" s="1" t="s">
        <v>1456</v>
      </c>
      <c r="Q668" s="1" t="s">
        <v>5</v>
      </c>
      <c r="R668" s="1" t="s">
        <v>4567</v>
      </c>
      <c r="S668" s="8">
        <v>46023</v>
      </c>
      <c r="T668" s="1">
        <v>3</v>
      </c>
      <c r="U668" s="1" t="s">
        <v>848</v>
      </c>
      <c r="V668" s="1" t="s">
        <v>3811</v>
      </c>
      <c r="W668" s="1" t="s">
        <v>3811</v>
      </c>
    </row>
    <row r="669" spans="1:23" x14ac:dyDescent="0.25">
      <c r="A669" s="1" t="s">
        <v>48</v>
      </c>
      <c r="B669" s="1" t="s">
        <v>2357</v>
      </c>
      <c r="C669" s="1" t="s">
        <v>50</v>
      </c>
      <c r="D669" s="1" t="s">
        <v>3164</v>
      </c>
      <c r="E669" s="1" t="s">
        <v>3165</v>
      </c>
      <c r="F669" s="22" t="s">
        <v>6085</v>
      </c>
      <c r="G669" s="1" t="s">
        <v>6</v>
      </c>
      <c r="H669" s="1" t="s">
        <v>20</v>
      </c>
      <c r="I669" s="1" t="s">
        <v>25</v>
      </c>
      <c r="J669" s="1" t="s">
        <v>9</v>
      </c>
      <c r="K669" s="1" t="s">
        <v>15</v>
      </c>
      <c r="L669" s="1" t="s">
        <v>15</v>
      </c>
      <c r="M669" s="1" t="s">
        <v>53</v>
      </c>
      <c r="N669" s="11" t="s">
        <v>188</v>
      </c>
      <c r="O669" s="1" t="s">
        <v>6037</v>
      </c>
      <c r="P669" s="1" t="s">
        <v>4568</v>
      </c>
      <c r="Q669" s="1" t="s">
        <v>5820</v>
      </c>
      <c r="R669" s="1" t="s">
        <v>4569</v>
      </c>
      <c r="S669" s="8">
        <v>46023</v>
      </c>
      <c r="T669" s="1">
        <v>2</v>
      </c>
      <c r="U669" s="1" t="s">
        <v>634</v>
      </c>
      <c r="V669" s="1" t="s">
        <v>4063</v>
      </c>
      <c r="W669" s="1" t="s">
        <v>1388</v>
      </c>
    </row>
    <row r="670" spans="1:23" x14ac:dyDescent="0.25">
      <c r="A670" s="1" t="s">
        <v>48</v>
      </c>
      <c r="B670" s="1" t="s">
        <v>2358</v>
      </c>
      <c r="C670" s="1" t="s">
        <v>50</v>
      </c>
      <c r="D670" s="1" t="s">
        <v>3166</v>
      </c>
      <c r="E670" s="1" t="s">
        <v>3167</v>
      </c>
      <c r="F670" s="22" t="s">
        <v>3</v>
      </c>
      <c r="G670" s="1" t="s">
        <v>5</v>
      </c>
      <c r="H670" s="1" t="s">
        <v>24</v>
      </c>
      <c r="I670" s="1" t="s">
        <v>25</v>
      </c>
      <c r="J670" s="1" t="s">
        <v>9</v>
      </c>
      <c r="K670" s="1" t="s">
        <v>13</v>
      </c>
      <c r="L670" s="1" t="s">
        <v>13</v>
      </c>
      <c r="M670" s="1" t="s">
        <v>53</v>
      </c>
      <c r="N670" s="11" t="s">
        <v>188</v>
      </c>
      <c r="O670" s="1" t="s">
        <v>6037</v>
      </c>
      <c r="P670" s="1" t="s">
        <v>247</v>
      </c>
      <c r="Q670" s="1" t="s">
        <v>5821</v>
      </c>
      <c r="R670" s="7" t="s">
        <v>4570</v>
      </c>
      <c r="S670" s="8">
        <v>46023</v>
      </c>
      <c r="T670" s="1">
        <v>3</v>
      </c>
      <c r="U670" s="1" t="s">
        <v>4571</v>
      </c>
      <c r="V670" s="1" t="s">
        <v>4572</v>
      </c>
      <c r="W670" s="1" t="s">
        <v>4573</v>
      </c>
    </row>
    <row r="671" spans="1:23" x14ac:dyDescent="0.25">
      <c r="A671" s="1" t="s">
        <v>48</v>
      </c>
      <c r="B671" s="1" t="s">
        <v>2359</v>
      </c>
      <c r="C671" s="1" t="s">
        <v>50</v>
      </c>
      <c r="D671" s="1" t="s">
        <v>3168</v>
      </c>
      <c r="E671" s="1" t="s">
        <v>3169</v>
      </c>
      <c r="F671" s="22" t="s">
        <v>3</v>
      </c>
      <c r="G671" s="1" t="s">
        <v>6</v>
      </c>
      <c r="H671" s="1" t="s">
        <v>20</v>
      </c>
      <c r="I671" s="1" t="s">
        <v>25</v>
      </c>
      <c r="J671" s="1" t="s">
        <v>9</v>
      </c>
      <c r="K671" s="1" t="s">
        <v>19</v>
      </c>
      <c r="L671" s="1" t="s">
        <v>19</v>
      </c>
      <c r="M671" s="1" t="s">
        <v>53</v>
      </c>
      <c r="N671" s="15" t="s">
        <v>5256</v>
      </c>
      <c r="O671" s="1" t="s">
        <v>6037</v>
      </c>
      <c r="P671" s="1" t="s">
        <v>247</v>
      </c>
      <c r="Q671" s="1" t="s">
        <v>5822</v>
      </c>
      <c r="R671" s="7" t="s">
        <v>4574</v>
      </c>
      <c r="S671" s="8">
        <v>46056</v>
      </c>
      <c r="T671" s="1">
        <v>2</v>
      </c>
      <c r="U671" s="1" t="s">
        <v>4575</v>
      </c>
      <c r="V671" s="1" t="s">
        <v>4575</v>
      </c>
      <c r="W671" s="1" t="s">
        <v>1388</v>
      </c>
    </row>
    <row r="672" spans="1:23" x14ac:dyDescent="0.25">
      <c r="A672" s="1" t="s">
        <v>48</v>
      </c>
      <c r="B672" s="1" t="s">
        <v>2360</v>
      </c>
      <c r="C672" s="1" t="s">
        <v>50</v>
      </c>
      <c r="D672" s="1" t="s">
        <v>3170</v>
      </c>
      <c r="E672" s="1" t="s">
        <v>3171</v>
      </c>
      <c r="F672" s="22" t="s">
        <v>6085</v>
      </c>
      <c r="G672" s="1" t="s">
        <v>6</v>
      </c>
      <c r="H672" s="1" t="s">
        <v>20</v>
      </c>
      <c r="I672" s="1" t="s">
        <v>25</v>
      </c>
      <c r="J672" s="1" t="s">
        <v>9</v>
      </c>
      <c r="K672" s="1" t="s">
        <v>14</v>
      </c>
      <c r="L672" s="1" t="s">
        <v>14</v>
      </c>
      <c r="M672" s="1" t="s">
        <v>53</v>
      </c>
      <c r="N672" s="11" t="s">
        <v>188</v>
      </c>
      <c r="O672" s="1" t="s">
        <v>6037</v>
      </c>
      <c r="P672" s="1" t="s">
        <v>247</v>
      </c>
      <c r="Q672" s="1" t="s">
        <v>5823</v>
      </c>
      <c r="R672" s="1" t="s">
        <v>4576</v>
      </c>
      <c r="S672" s="8">
        <v>46028</v>
      </c>
      <c r="T672" s="1">
        <v>2</v>
      </c>
      <c r="U672" s="1" t="s">
        <v>4577</v>
      </c>
      <c r="V672" s="1" t="s">
        <v>4577</v>
      </c>
      <c r="W672" s="1" t="s">
        <v>1388</v>
      </c>
    </row>
    <row r="673" spans="1:23" x14ac:dyDescent="0.25">
      <c r="A673" s="1" t="s">
        <v>48</v>
      </c>
      <c r="B673" s="1" t="s">
        <v>2361</v>
      </c>
      <c r="C673" s="1" t="s">
        <v>50</v>
      </c>
      <c r="D673" s="1" t="s">
        <v>3172</v>
      </c>
      <c r="E673" s="1" t="s">
        <v>3173</v>
      </c>
      <c r="F673" s="22" t="s">
        <v>5259</v>
      </c>
      <c r="G673" s="1" t="s">
        <v>5</v>
      </c>
      <c r="H673" s="1" t="s">
        <v>20</v>
      </c>
      <c r="I673" s="1" t="s">
        <v>26</v>
      </c>
      <c r="J673" s="1" t="s">
        <v>9</v>
      </c>
      <c r="K673" s="1" t="s">
        <v>14</v>
      </c>
      <c r="L673" s="1" t="s">
        <v>14</v>
      </c>
      <c r="M673" s="1" t="s">
        <v>53</v>
      </c>
      <c r="N673" s="14" t="s">
        <v>6237</v>
      </c>
      <c r="O673" s="1" t="s">
        <v>6037</v>
      </c>
      <c r="P673" s="1" t="s">
        <v>4578</v>
      </c>
      <c r="Q673" s="1" t="s">
        <v>5824</v>
      </c>
      <c r="R673" s="1" t="s">
        <v>4579</v>
      </c>
      <c r="S673" s="8">
        <v>45931</v>
      </c>
      <c r="T673" s="1">
        <v>3</v>
      </c>
      <c r="U673" s="1" t="s">
        <v>4580</v>
      </c>
      <c r="V673" s="1" t="s">
        <v>4580</v>
      </c>
      <c r="W673" s="1" t="s">
        <v>4580</v>
      </c>
    </row>
    <row r="674" spans="1:23" x14ac:dyDescent="0.25">
      <c r="A674" s="1" t="s">
        <v>48</v>
      </c>
      <c r="B674" s="1" t="s">
        <v>2362</v>
      </c>
      <c r="C674" s="1" t="s">
        <v>50</v>
      </c>
      <c r="D674" s="1" t="s">
        <v>3174</v>
      </c>
      <c r="E674" s="1" t="s">
        <v>3175</v>
      </c>
      <c r="F674" s="22" t="s">
        <v>6085</v>
      </c>
      <c r="G674" s="1" t="s">
        <v>5</v>
      </c>
      <c r="H674" s="1" t="s">
        <v>20</v>
      </c>
      <c r="I674" s="1" t="s">
        <v>26</v>
      </c>
      <c r="J674" s="1" t="s">
        <v>9</v>
      </c>
      <c r="K674" s="1" t="s">
        <v>19</v>
      </c>
      <c r="L674" s="1" t="s">
        <v>11</v>
      </c>
      <c r="M674" s="1" t="s">
        <v>53</v>
      </c>
      <c r="N674" s="15" t="s">
        <v>5256</v>
      </c>
      <c r="O674" s="1" t="s">
        <v>6037</v>
      </c>
      <c r="P674" s="1" t="s">
        <v>4581</v>
      </c>
      <c r="Q674" s="1" t="s">
        <v>5825</v>
      </c>
      <c r="R674" s="1" t="s">
        <v>4582</v>
      </c>
      <c r="S674" s="8">
        <v>45676</v>
      </c>
      <c r="T674" s="1">
        <v>3</v>
      </c>
      <c r="U674" s="1" t="s">
        <v>4583</v>
      </c>
      <c r="V674" s="1" t="s">
        <v>810</v>
      </c>
      <c r="W674" s="1" t="s">
        <v>810</v>
      </c>
    </row>
    <row r="675" spans="1:23" x14ac:dyDescent="0.25">
      <c r="A675" s="1" t="s">
        <v>48</v>
      </c>
      <c r="B675" s="1" t="s">
        <v>2363</v>
      </c>
      <c r="C675" s="1" t="s">
        <v>50</v>
      </c>
      <c r="D675" s="1" t="s">
        <v>3176</v>
      </c>
      <c r="E675" s="1" t="s">
        <v>3177</v>
      </c>
      <c r="F675" s="22" t="s">
        <v>6085</v>
      </c>
      <c r="G675" s="1" t="s">
        <v>6</v>
      </c>
      <c r="H675" s="1" t="s">
        <v>24</v>
      </c>
      <c r="I675" s="1" t="s">
        <v>26</v>
      </c>
      <c r="J675" s="1" t="s">
        <v>9</v>
      </c>
      <c r="K675" s="1" t="s">
        <v>19</v>
      </c>
      <c r="L675" s="1" t="s">
        <v>19</v>
      </c>
      <c r="M675" s="1" t="s">
        <v>53</v>
      </c>
      <c r="N675" s="11" t="s">
        <v>2091</v>
      </c>
      <c r="O675" s="1" t="s">
        <v>6037</v>
      </c>
      <c r="P675" s="1" t="s">
        <v>4584</v>
      </c>
      <c r="Q675" s="1" t="s">
        <v>5306</v>
      </c>
      <c r="R675" s="1" t="s">
        <v>4585</v>
      </c>
      <c r="S675" s="8">
        <v>45705</v>
      </c>
      <c r="T675" s="1">
        <v>1</v>
      </c>
      <c r="U675" s="1" t="s">
        <v>4586</v>
      </c>
      <c r="V675" s="1" t="s">
        <v>1388</v>
      </c>
      <c r="W675" s="1" t="s">
        <v>1388</v>
      </c>
    </row>
    <row r="676" spans="1:23" x14ac:dyDescent="0.25">
      <c r="A676" s="1" t="s">
        <v>48</v>
      </c>
      <c r="B676" s="1" t="s">
        <v>2364</v>
      </c>
      <c r="C676" s="1" t="s">
        <v>50</v>
      </c>
      <c r="D676" s="1" t="s">
        <v>3178</v>
      </c>
      <c r="E676" s="1" t="s">
        <v>3179</v>
      </c>
      <c r="F676" s="22" t="s">
        <v>6085</v>
      </c>
      <c r="G676" s="1" t="s">
        <v>6</v>
      </c>
      <c r="H676" s="1" t="s">
        <v>20</v>
      </c>
      <c r="I676" s="1" t="s">
        <v>25</v>
      </c>
      <c r="J676" s="1" t="s">
        <v>9</v>
      </c>
      <c r="K676" s="1" t="s">
        <v>13</v>
      </c>
      <c r="L676" s="1" t="s">
        <v>16</v>
      </c>
      <c r="M676" s="1" t="s">
        <v>78</v>
      </c>
      <c r="N676" s="11" t="s">
        <v>188</v>
      </c>
      <c r="O676" s="1" t="s">
        <v>6037</v>
      </c>
      <c r="P676" s="1" t="s">
        <v>60</v>
      </c>
      <c r="Q676" s="1" t="s">
        <v>5826</v>
      </c>
      <c r="R676" s="1" t="s">
        <v>4587</v>
      </c>
      <c r="S676" s="8">
        <v>46062</v>
      </c>
      <c r="T676" s="1">
        <v>2</v>
      </c>
      <c r="U676" s="1" t="s">
        <v>4588</v>
      </c>
      <c r="V676" s="1" t="s">
        <v>4589</v>
      </c>
      <c r="W676" s="1" t="s">
        <v>1388</v>
      </c>
    </row>
    <row r="677" spans="1:23" x14ac:dyDescent="0.25">
      <c r="A677" s="1" t="s">
        <v>48</v>
      </c>
      <c r="B677" s="1" t="s">
        <v>2365</v>
      </c>
      <c r="C677" s="1" t="s">
        <v>50</v>
      </c>
      <c r="D677" s="1" t="s">
        <v>3180</v>
      </c>
      <c r="E677" s="1" t="s">
        <v>3181</v>
      </c>
      <c r="F677" s="22" t="s">
        <v>6085</v>
      </c>
      <c r="G677" s="1" t="s">
        <v>6</v>
      </c>
      <c r="H677" s="1" t="s">
        <v>24</v>
      </c>
      <c r="I677" s="1" t="s">
        <v>26</v>
      </c>
      <c r="J677" s="1" t="s">
        <v>8</v>
      </c>
      <c r="K677" s="1" t="s">
        <v>18</v>
      </c>
      <c r="L677" s="1" t="s">
        <v>18</v>
      </c>
      <c r="M677" s="1" t="s">
        <v>78</v>
      </c>
      <c r="N677" s="11" t="s">
        <v>188</v>
      </c>
      <c r="O677" s="1" t="s">
        <v>6037</v>
      </c>
      <c r="P677" s="1" t="s">
        <v>4590</v>
      </c>
      <c r="Q677" s="1" t="s">
        <v>5827</v>
      </c>
      <c r="R677" s="20" t="s">
        <v>4591</v>
      </c>
      <c r="S677" s="8">
        <v>46031</v>
      </c>
      <c r="T677" s="1">
        <v>2</v>
      </c>
      <c r="U677" s="1" t="s">
        <v>4592</v>
      </c>
      <c r="V677" s="1" t="s">
        <v>4592</v>
      </c>
      <c r="W677" s="1" t="s">
        <v>1388</v>
      </c>
    </row>
    <row r="678" spans="1:23" x14ac:dyDescent="0.25">
      <c r="A678" s="1" t="s">
        <v>48</v>
      </c>
      <c r="B678" s="1" t="s">
        <v>2366</v>
      </c>
      <c r="C678" s="1" t="s">
        <v>50</v>
      </c>
      <c r="D678" s="1" t="s">
        <v>3182</v>
      </c>
      <c r="E678" s="1" t="s">
        <v>3183</v>
      </c>
      <c r="F678" s="22" t="s">
        <v>3</v>
      </c>
      <c r="G678" s="1" t="s">
        <v>5</v>
      </c>
      <c r="H678" s="1" t="s">
        <v>20</v>
      </c>
      <c r="I678" s="1" t="s">
        <v>26</v>
      </c>
      <c r="J678" s="1" t="s">
        <v>8</v>
      </c>
      <c r="K678" s="1" t="s">
        <v>15</v>
      </c>
      <c r="L678" s="1" t="s">
        <v>15</v>
      </c>
      <c r="M678" s="1" t="s">
        <v>78</v>
      </c>
      <c r="N678" s="1" t="s">
        <v>5226</v>
      </c>
      <c r="O678" s="1" t="s">
        <v>6235</v>
      </c>
      <c r="P678" s="1" t="s">
        <v>1399</v>
      </c>
      <c r="Q678" s="1" t="s">
        <v>5828</v>
      </c>
      <c r="R678" s="1" t="s">
        <v>4593</v>
      </c>
      <c r="S678" s="8">
        <v>46027</v>
      </c>
      <c r="T678" s="1">
        <v>3</v>
      </c>
      <c r="U678" s="1" t="s">
        <v>4594</v>
      </c>
      <c r="V678" s="1" t="s">
        <v>4594</v>
      </c>
      <c r="W678" s="1" t="s">
        <v>4594</v>
      </c>
    </row>
    <row r="679" spans="1:23" x14ac:dyDescent="0.25">
      <c r="A679" s="1" t="s">
        <v>48</v>
      </c>
      <c r="B679" s="1" t="s">
        <v>2367</v>
      </c>
      <c r="C679" s="1" t="s">
        <v>50</v>
      </c>
      <c r="D679" s="1" t="s">
        <v>3184</v>
      </c>
      <c r="E679" s="1" t="s">
        <v>3185</v>
      </c>
      <c r="F679" s="22" t="s">
        <v>3</v>
      </c>
      <c r="G679" s="1" t="s">
        <v>7</v>
      </c>
      <c r="H679" s="1" t="s">
        <v>20</v>
      </c>
      <c r="I679" s="1" t="s">
        <v>25</v>
      </c>
      <c r="J679" s="1" t="s">
        <v>9</v>
      </c>
      <c r="K679" s="1" t="s">
        <v>14</v>
      </c>
      <c r="L679" s="1" t="s">
        <v>14</v>
      </c>
      <c r="M679" s="1" t="s">
        <v>78</v>
      </c>
      <c r="N679" s="11" t="s">
        <v>188</v>
      </c>
      <c r="O679" s="1" t="s">
        <v>6037</v>
      </c>
      <c r="P679" s="1" t="s">
        <v>247</v>
      </c>
      <c r="Q679" s="1" t="s">
        <v>5829</v>
      </c>
      <c r="R679" s="7" t="s">
        <v>4595</v>
      </c>
      <c r="S679" s="8">
        <v>46034</v>
      </c>
      <c r="T679" s="1">
        <v>3</v>
      </c>
      <c r="U679" s="1" t="s">
        <v>4596</v>
      </c>
      <c r="V679" s="1" t="s">
        <v>4597</v>
      </c>
      <c r="W679" s="1" t="s">
        <v>4598</v>
      </c>
    </row>
    <row r="680" spans="1:23" x14ac:dyDescent="0.25">
      <c r="A680" s="1" t="s">
        <v>48</v>
      </c>
      <c r="B680" s="1" t="s">
        <v>2368</v>
      </c>
      <c r="C680" s="1" t="s">
        <v>50</v>
      </c>
      <c r="D680" s="1" t="s">
        <v>3186</v>
      </c>
      <c r="E680" s="1" t="s">
        <v>3187</v>
      </c>
      <c r="F680" s="22" t="s">
        <v>6085</v>
      </c>
      <c r="G680" s="1" t="s">
        <v>7</v>
      </c>
      <c r="H680" s="1" t="s">
        <v>23</v>
      </c>
      <c r="I680" s="1" t="s">
        <v>26</v>
      </c>
      <c r="J680" s="1" t="s">
        <v>9</v>
      </c>
      <c r="K680" s="1" t="s">
        <v>16</v>
      </c>
      <c r="L680" s="1" t="s">
        <v>16</v>
      </c>
      <c r="M680" s="1" t="s">
        <v>78</v>
      </c>
      <c r="N680" s="11" t="s">
        <v>188</v>
      </c>
      <c r="O680" s="1" t="s">
        <v>6037</v>
      </c>
      <c r="P680" s="1" t="s">
        <v>60</v>
      </c>
      <c r="Q680" s="1" t="s">
        <v>5830</v>
      </c>
      <c r="R680" s="1" t="s">
        <v>4599</v>
      </c>
      <c r="S680" s="8">
        <v>46023</v>
      </c>
      <c r="T680" s="1">
        <v>2</v>
      </c>
      <c r="U680" s="1" t="s">
        <v>4600</v>
      </c>
      <c r="V680" s="1" t="s">
        <v>4601</v>
      </c>
      <c r="W680" s="1" t="s">
        <v>1388</v>
      </c>
    </row>
    <row r="681" spans="1:23" x14ac:dyDescent="0.25">
      <c r="A681" s="1" t="s">
        <v>48</v>
      </c>
      <c r="B681" s="1" t="s">
        <v>2369</v>
      </c>
      <c r="C681" s="1" t="s">
        <v>50</v>
      </c>
      <c r="D681" s="1" t="s">
        <v>3188</v>
      </c>
      <c r="E681" s="1" t="s">
        <v>3189</v>
      </c>
      <c r="F681" s="22" t="s">
        <v>6085</v>
      </c>
      <c r="G681" s="1" t="s">
        <v>6</v>
      </c>
      <c r="H681" s="1" t="s">
        <v>20</v>
      </c>
      <c r="I681" s="1" t="s">
        <v>25</v>
      </c>
      <c r="J681" s="1" t="s">
        <v>8</v>
      </c>
      <c r="K681" s="1" t="s">
        <v>19</v>
      </c>
      <c r="L681" s="1" t="s">
        <v>19</v>
      </c>
      <c r="M681" s="1" t="s">
        <v>78</v>
      </c>
      <c r="N681" s="11" t="s">
        <v>188</v>
      </c>
      <c r="O681" s="1" t="s">
        <v>6037</v>
      </c>
      <c r="P681" s="1" t="s">
        <v>4602</v>
      </c>
      <c r="Q681" s="1" t="s">
        <v>5308</v>
      </c>
      <c r="R681" s="1" t="s">
        <v>4603</v>
      </c>
      <c r="S681" s="8">
        <v>46113</v>
      </c>
      <c r="T681" s="1">
        <v>2</v>
      </c>
      <c r="U681" s="1" t="s">
        <v>4604</v>
      </c>
      <c r="V681" s="1" t="s">
        <v>4604</v>
      </c>
      <c r="W681" s="1" t="s">
        <v>1388</v>
      </c>
    </row>
    <row r="682" spans="1:23" x14ac:dyDescent="0.25">
      <c r="A682" s="1" t="s">
        <v>48</v>
      </c>
      <c r="B682" s="1" t="s">
        <v>2370</v>
      </c>
      <c r="C682" s="1" t="s">
        <v>50</v>
      </c>
      <c r="D682" s="1" t="s">
        <v>3190</v>
      </c>
      <c r="E682" s="1" t="s">
        <v>3191</v>
      </c>
      <c r="F682" s="22" t="s">
        <v>3</v>
      </c>
      <c r="G682" s="1" t="s">
        <v>6</v>
      </c>
      <c r="H682" s="1" t="s">
        <v>20</v>
      </c>
      <c r="I682" s="1" t="s">
        <v>25</v>
      </c>
      <c r="J682" s="1" t="s">
        <v>9</v>
      </c>
      <c r="K682" s="1" t="s">
        <v>13</v>
      </c>
      <c r="L682" s="1" t="s">
        <v>13</v>
      </c>
      <c r="M682" s="1" t="s">
        <v>78</v>
      </c>
      <c r="N682" s="1" t="s">
        <v>1664</v>
      </c>
      <c r="O682" s="1" t="s">
        <v>6037</v>
      </c>
      <c r="P682" s="1" t="s">
        <v>284</v>
      </c>
      <c r="Q682" s="1" t="s">
        <v>5831</v>
      </c>
      <c r="R682" s="1" t="s">
        <v>4605</v>
      </c>
      <c r="S682" s="8">
        <v>45317</v>
      </c>
      <c r="T682" s="1">
        <v>1</v>
      </c>
      <c r="U682" s="1" t="s">
        <v>4606</v>
      </c>
      <c r="V682" s="1" t="s">
        <v>1388</v>
      </c>
      <c r="W682" s="1" t="s">
        <v>1388</v>
      </c>
    </row>
    <row r="683" spans="1:23" x14ac:dyDescent="0.25">
      <c r="A683" s="1" t="s">
        <v>48</v>
      </c>
      <c r="B683" s="1" t="s">
        <v>2371</v>
      </c>
      <c r="C683" s="1" t="s">
        <v>50</v>
      </c>
      <c r="D683" s="1" t="s">
        <v>3192</v>
      </c>
      <c r="E683" s="1" t="s">
        <v>3193</v>
      </c>
      <c r="F683" s="22" t="s">
        <v>6085</v>
      </c>
      <c r="G683" s="1" t="s">
        <v>6</v>
      </c>
      <c r="H683" s="1" t="s">
        <v>24</v>
      </c>
      <c r="I683" s="1" t="s">
        <v>25</v>
      </c>
      <c r="J683" s="1" t="s">
        <v>9</v>
      </c>
      <c r="K683" s="1" t="s">
        <v>13</v>
      </c>
      <c r="L683" s="1" t="s">
        <v>13</v>
      </c>
      <c r="M683" s="1" t="s">
        <v>78</v>
      </c>
      <c r="N683" s="11" t="s">
        <v>188</v>
      </c>
      <c r="O683" s="1" t="s">
        <v>6037</v>
      </c>
      <c r="P683" s="1" t="s">
        <v>126</v>
      </c>
      <c r="Q683" s="1" t="s">
        <v>4417</v>
      </c>
      <c r="R683" s="1" t="s">
        <v>4607</v>
      </c>
      <c r="S683" s="8">
        <v>46085</v>
      </c>
      <c r="T683" s="1">
        <v>2</v>
      </c>
      <c r="U683" s="1" t="s">
        <v>3975</v>
      </c>
      <c r="V683" s="1" t="s">
        <v>3975</v>
      </c>
      <c r="W683" s="1" t="s">
        <v>1388</v>
      </c>
    </row>
    <row r="684" spans="1:23" x14ac:dyDescent="0.25">
      <c r="A684" s="1" t="s">
        <v>48</v>
      </c>
      <c r="B684" s="1" t="s">
        <v>2372</v>
      </c>
      <c r="C684" s="1" t="s">
        <v>50</v>
      </c>
      <c r="D684" s="1" t="s">
        <v>3194</v>
      </c>
      <c r="E684" s="1" t="s">
        <v>3195</v>
      </c>
      <c r="F684" s="22" t="s">
        <v>6085</v>
      </c>
      <c r="G684" s="1" t="s">
        <v>7</v>
      </c>
      <c r="H684" s="1" t="s">
        <v>24</v>
      </c>
      <c r="I684" s="1" t="s">
        <v>25</v>
      </c>
      <c r="J684" s="1" t="s">
        <v>9</v>
      </c>
      <c r="K684" s="1" t="s">
        <v>16</v>
      </c>
      <c r="L684" s="1" t="s">
        <v>16</v>
      </c>
      <c r="M684" s="1" t="s">
        <v>78</v>
      </c>
      <c r="N684" s="11" t="s">
        <v>188</v>
      </c>
      <c r="O684" s="1" t="s">
        <v>6037</v>
      </c>
      <c r="P684" s="1" t="s">
        <v>1456</v>
      </c>
      <c r="Q684" s="1" t="s">
        <v>1456</v>
      </c>
      <c r="R684" s="1" t="s">
        <v>4608</v>
      </c>
      <c r="S684" s="8">
        <v>46113</v>
      </c>
      <c r="T684" s="1">
        <v>2</v>
      </c>
      <c r="U684" s="1" t="s">
        <v>4609</v>
      </c>
      <c r="V684" s="1" t="s">
        <v>4610</v>
      </c>
      <c r="W684" s="1" t="s">
        <v>1388</v>
      </c>
    </row>
    <row r="685" spans="1:23" x14ac:dyDescent="0.25">
      <c r="A685" s="1" t="s">
        <v>48</v>
      </c>
      <c r="B685" s="1" t="s">
        <v>2373</v>
      </c>
      <c r="C685" s="1" t="s">
        <v>50</v>
      </c>
      <c r="D685" s="1" t="s">
        <v>3196</v>
      </c>
      <c r="E685" s="1" t="s">
        <v>3197</v>
      </c>
      <c r="F685" s="22" t="s">
        <v>3</v>
      </c>
      <c r="G685" s="1" t="s">
        <v>5</v>
      </c>
      <c r="H685" s="1" t="s">
        <v>21</v>
      </c>
      <c r="I685" s="1" t="s">
        <v>25</v>
      </c>
      <c r="J685" s="1" t="s">
        <v>9</v>
      </c>
      <c r="K685" s="1" t="s">
        <v>14</v>
      </c>
      <c r="L685" s="1" t="s">
        <v>14</v>
      </c>
      <c r="M685" s="1" t="s">
        <v>78</v>
      </c>
      <c r="N685" s="11" t="s">
        <v>188</v>
      </c>
      <c r="O685" s="1" t="s">
        <v>6037</v>
      </c>
      <c r="P685" s="1" t="s">
        <v>4611</v>
      </c>
      <c r="Q685" s="1" t="s">
        <v>5832</v>
      </c>
      <c r="R685" s="7" t="s">
        <v>4612</v>
      </c>
      <c r="S685" s="8">
        <v>46054</v>
      </c>
      <c r="T685" s="1">
        <v>3</v>
      </c>
      <c r="U685" s="1" t="s">
        <v>1475</v>
      </c>
      <c r="V685" s="1" t="s">
        <v>1475</v>
      </c>
      <c r="W685" s="1" t="s">
        <v>1475</v>
      </c>
    </row>
    <row r="686" spans="1:23" x14ac:dyDescent="0.25">
      <c r="A686" s="1" t="s">
        <v>48</v>
      </c>
      <c r="B686" s="1" t="s">
        <v>2374</v>
      </c>
      <c r="C686" s="1" t="s">
        <v>50</v>
      </c>
      <c r="D686" s="1" t="s">
        <v>3198</v>
      </c>
      <c r="E686" s="1" t="s">
        <v>3199</v>
      </c>
      <c r="F686" s="22" t="s">
        <v>6085</v>
      </c>
      <c r="G686" s="1" t="s">
        <v>5</v>
      </c>
      <c r="H686" s="1" t="s">
        <v>20</v>
      </c>
      <c r="I686" s="1" t="s">
        <v>25</v>
      </c>
      <c r="J686" s="1" t="s">
        <v>9</v>
      </c>
      <c r="K686" s="1" t="s">
        <v>13</v>
      </c>
      <c r="L686" s="1" t="s">
        <v>13</v>
      </c>
      <c r="M686" s="1" t="s">
        <v>78</v>
      </c>
      <c r="N686" s="11" t="s">
        <v>188</v>
      </c>
      <c r="O686" s="1" t="s">
        <v>6037</v>
      </c>
      <c r="P686" s="1" t="s">
        <v>126</v>
      </c>
      <c r="Q686" s="1" t="s">
        <v>5833</v>
      </c>
      <c r="R686" s="1" t="s">
        <v>4613</v>
      </c>
      <c r="S686" s="8">
        <v>45735</v>
      </c>
      <c r="T686" s="1">
        <v>3</v>
      </c>
      <c r="U686" s="1" t="s">
        <v>4614</v>
      </c>
      <c r="V686" s="1" t="s">
        <v>4566</v>
      </c>
      <c r="W686" s="1" t="s">
        <v>4566</v>
      </c>
    </row>
    <row r="687" spans="1:23" x14ac:dyDescent="0.25">
      <c r="A687" s="1" t="s">
        <v>48</v>
      </c>
      <c r="B687" s="1" t="s">
        <v>2375</v>
      </c>
      <c r="C687" s="1" t="s">
        <v>50</v>
      </c>
      <c r="D687" s="1" t="s">
        <v>3200</v>
      </c>
      <c r="E687" s="1" t="s">
        <v>3201</v>
      </c>
      <c r="F687" s="22" t="s">
        <v>6085</v>
      </c>
      <c r="G687" s="1" t="s">
        <v>5</v>
      </c>
      <c r="H687" s="1" t="s">
        <v>24</v>
      </c>
      <c r="I687" s="1" t="s">
        <v>26</v>
      </c>
      <c r="J687" s="1" t="s">
        <v>9</v>
      </c>
      <c r="K687" s="1" t="s">
        <v>13</v>
      </c>
      <c r="L687" s="1" t="s">
        <v>13</v>
      </c>
      <c r="M687" s="1" t="s">
        <v>78</v>
      </c>
      <c r="N687" s="11" t="s">
        <v>188</v>
      </c>
      <c r="O687" s="1" t="s">
        <v>6037</v>
      </c>
      <c r="P687" s="1" t="s">
        <v>247</v>
      </c>
      <c r="Q687" s="1" t="s">
        <v>5834</v>
      </c>
      <c r="R687" s="1" t="s">
        <v>4615</v>
      </c>
      <c r="S687" s="8">
        <v>46023</v>
      </c>
      <c r="T687" s="1">
        <v>3</v>
      </c>
      <c r="U687" s="1" t="s">
        <v>1498</v>
      </c>
      <c r="V687" s="1" t="s">
        <v>1498</v>
      </c>
      <c r="W687" s="1" t="s">
        <v>1498</v>
      </c>
    </row>
    <row r="688" spans="1:23" x14ac:dyDescent="0.25">
      <c r="A688" s="1" t="s">
        <v>48</v>
      </c>
      <c r="B688" s="1" t="s">
        <v>2376</v>
      </c>
      <c r="C688" s="1" t="s">
        <v>50</v>
      </c>
      <c r="D688" s="1" t="s">
        <v>3202</v>
      </c>
      <c r="E688" s="1" t="s">
        <v>3203</v>
      </c>
      <c r="F688" s="22" t="s">
        <v>6085</v>
      </c>
      <c r="G688" s="1" t="s">
        <v>7</v>
      </c>
      <c r="H688" s="1" t="s">
        <v>20</v>
      </c>
      <c r="I688" s="1" t="s">
        <v>25</v>
      </c>
      <c r="J688" s="1" t="s">
        <v>9</v>
      </c>
      <c r="K688" s="1" t="s">
        <v>13</v>
      </c>
      <c r="L688" s="1" t="s">
        <v>13</v>
      </c>
      <c r="M688" s="1" t="s">
        <v>78</v>
      </c>
      <c r="N688" s="11" t="s">
        <v>188</v>
      </c>
      <c r="O688" s="1" t="s">
        <v>6037</v>
      </c>
      <c r="P688" s="1" t="s">
        <v>247</v>
      </c>
      <c r="Q688" s="1" t="s">
        <v>734</v>
      </c>
      <c r="R688" s="1" t="s">
        <v>4616</v>
      </c>
      <c r="S688" s="8">
        <v>46023</v>
      </c>
      <c r="T688" s="1">
        <v>2</v>
      </c>
      <c r="U688" s="1" t="s">
        <v>4617</v>
      </c>
      <c r="V688" s="1" t="s">
        <v>4618</v>
      </c>
      <c r="W688" s="1" t="s">
        <v>1388</v>
      </c>
    </row>
    <row r="689" spans="1:23" x14ac:dyDescent="0.25">
      <c r="A689" s="1" t="s">
        <v>48</v>
      </c>
      <c r="B689" s="1" t="s">
        <v>2377</v>
      </c>
      <c r="C689" s="1" t="s">
        <v>50</v>
      </c>
      <c r="D689" s="1" t="s">
        <v>3204</v>
      </c>
      <c r="E689" s="1" t="s">
        <v>3205</v>
      </c>
      <c r="F689" s="22" t="s">
        <v>6085</v>
      </c>
      <c r="G689" s="1" t="s">
        <v>6</v>
      </c>
      <c r="H689" s="1" t="s">
        <v>20</v>
      </c>
      <c r="I689" s="1" t="s">
        <v>26</v>
      </c>
      <c r="J689" s="1" t="s">
        <v>9</v>
      </c>
      <c r="K689" s="1" t="s">
        <v>14</v>
      </c>
      <c r="L689" s="1" t="s">
        <v>14</v>
      </c>
      <c r="M689" s="1" t="s">
        <v>78</v>
      </c>
      <c r="N689" s="11" t="s">
        <v>188</v>
      </c>
      <c r="O689" s="1" t="s">
        <v>6037</v>
      </c>
      <c r="P689" s="1" t="s">
        <v>126</v>
      </c>
      <c r="Q689" s="18" t="s">
        <v>5835</v>
      </c>
      <c r="R689" s="1" t="s">
        <v>4619</v>
      </c>
      <c r="S689" s="8">
        <v>46062</v>
      </c>
      <c r="T689" s="1">
        <v>1</v>
      </c>
      <c r="U689" s="1" t="s">
        <v>4620</v>
      </c>
      <c r="V689" s="1" t="s">
        <v>1388</v>
      </c>
      <c r="W689" s="1" t="s">
        <v>1388</v>
      </c>
    </row>
    <row r="690" spans="1:23" x14ac:dyDescent="0.25">
      <c r="A690" s="1" t="s">
        <v>48</v>
      </c>
      <c r="B690" s="1" t="s">
        <v>2378</v>
      </c>
      <c r="C690" s="1" t="s">
        <v>50</v>
      </c>
      <c r="D690" s="1" t="s">
        <v>3206</v>
      </c>
      <c r="E690" s="1" t="s">
        <v>3207</v>
      </c>
      <c r="F690" s="22" t="s">
        <v>6085</v>
      </c>
      <c r="G690" s="1" t="s">
        <v>7</v>
      </c>
      <c r="H690" s="1" t="s">
        <v>20</v>
      </c>
      <c r="I690" s="1" t="s">
        <v>26</v>
      </c>
      <c r="J690" s="1" t="s">
        <v>9</v>
      </c>
      <c r="K690" s="1" t="s">
        <v>10</v>
      </c>
      <c r="L690" s="1" t="s">
        <v>16</v>
      </c>
      <c r="M690" s="1" t="s">
        <v>78</v>
      </c>
      <c r="N690" s="1" t="s">
        <v>1013</v>
      </c>
      <c r="O690" s="1" t="s">
        <v>6037</v>
      </c>
      <c r="P690" s="1" t="s">
        <v>107</v>
      </c>
      <c r="Q690" s="18" t="s">
        <v>7</v>
      </c>
      <c r="R690" s="1" t="s">
        <v>4621</v>
      </c>
      <c r="S690" s="8">
        <v>46081</v>
      </c>
      <c r="T690" s="1">
        <v>2</v>
      </c>
      <c r="U690" s="1" t="s">
        <v>4622</v>
      </c>
      <c r="V690" s="1" t="s">
        <v>4623</v>
      </c>
      <c r="W690" s="1" t="s">
        <v>1388</v>
      </c>
    </row>
    <row r="691" spans="1:23" x14ac:dyDescent="0.25">
      <c r="A691" s="1" t="s">
        <v>48</v>
      </c>
      <c r="B691" s="1" t="s">
        <v>2379</v>
      </c>
      <c r="C691" s="1" t="s">
        <v>50</v>
      </c>
      <c r="D691" s="1" t="s">
        <v>3208</v>
      </c>
      <c r="E691" s="1" t="s">
        <v>3209</v>
      </c>
      <c r="F691" s="22" t="s">
        <v>3</v>
      </c>
      <c r="G691" s="1" t="s">
        <v>5</v>
      </c>
      <c r="H691" s="1" t="s">
        <v>20</v>
      </c>
      <c r="I691" s="1" t="s">
        <v>26</v>
      </c>
      <c r="J691" s="1" t="s">
        <v>9</v>
      </c>
      <c r="K691" s="1" t="s">
        <v>15</v>
      </c>
      <c r="L691" s="1" t="s">
        <v>15</v>
      </c>
      <c r="M691" s="1" t="s">
        <v>78</v>
      </c>
      <c r="N691" s="11" t="s">
        <v>188</v>
      </c>
      <c r="O691" s="1" t="s">
        <v>6037</v>
      </c>
      <c r="P691" s="1" t="s">
        <v>1456</v>
      </c>
      <c r="Q691" s="1" t="s">
        <v>5836</v>
      </c>
      <c r="R691" s="7" t="s">
        <v>4624</v>
      </c>
      <c r="S691" s="8">
        <v>46023</v>
      </c>
      <c r="T691" s="1">
        <v>2</v>
      </c>
      <c r="U691" s="1" t="s">
        <v>4035</v>
      </c>
      <c r="V691" s="1" t="s">
        <v>4035</v>
      </c>
      <c r="W691" s="1" t="s">
        <v>1388</v>
      </c>
    </row>
    <row r="692" spans="1:23" x14ac:dyDescent="0.25">
      <c r="A692" s="1" t="s">
        <v>48</v>
      </c>
      <c r="B692" s="1" t="s">
        <v>2380</v>
      </c>
      <c r="C692" s="1" t="s">
        <v>50</v>
      </c>
      <c r="D692" s="1" t="s">
        <v>3210</v>
      </c>
      <c r="E692" s="1" t="s">
        <v>3211</v>
      </c>
      <c r="F692" s="22" t="s">
        <v>6085</v>
      </c>
      <c r="G692" s="1" t="s">
        <v>6</v>
      </c>
      <c r="H692" s="1" t="s">
        <v>20</v>
      </c>
      <c r="I692" s="1" t="s">
        <v>25</v>
      </c>
      <c r="J692" s="1" t="s">
        <v>9</v>
      </c>
      <c r="K692" s="1" t="s">
        <v>13</v>
      </c>
      <c r="L692" s="1" t="s">
        <v>10</v>
      </c>
      <c r="M692" s="1" t="s">
        <v>78</v>
      </c>
      <c r="N692" s="11" t="s">
        <v>188</v>
      </c>
      <c r="O692" s="1" t="s">
        <v>6037</v>
      </c>
      <c r="P692" s="1" t="s">
        <v>306</v>
      </c>
      <c r="Q692" s="1" t="s">
        <v>5837</v>
      </c>
      <c r="R692" s="1" t="s">
        <v>4625</v>
      </c>
      <c r="S692" s="8">
        <v>46023</v>
      </c>
      <c r="T692" s="1">
        <v>2</v>
      </c>
      <c r="U692" s="1" t="s">
        <v>730</v>
      </c>
      <c r="V692" s="1" t="s">
        <v>349</v>
      </c>
      <c r="W692" s="1" t="s">
        <v>1388</v>
      </c>
    </row>
    <row r="693" spans="1:23" x14ac:dyDescent="0.25">
      <c r="A693" s="1" t="s">
        <v>48</v>
      </c>
      <c r="B693" s="1" t="s">
        <v>2381</v>
      </c>
      <c r="C693" s="1" t="s">
        <v>50</v>
      </c>
      <c r="D693" s="1" t="s">
        <v>3212</v>
      </c>
      <c r="E693" s="1" t="s">
        <v>3213</v>
      </c>
      <c r="F693" s="22" t="s">
        <v>6085</v>
      </c>
      <c r="G693" s="1" t="s">
        <v>6</v>
      </c>
      <c r="H693" s="1" t="s">
        <v>20</v>
      </c>
      <c r="I693" s="1" t="s">
        <v>25</v>
      </c>
      <c r="J693" s="1" t="s">
        <v>9</v>
      </c>
      <c r="K693" s="1" t="s">
        <v>14</v>
      </c>
      <c r="L693" s="1" t="s">
        <v>14</v>
      </c>
      <c r="M693" s="1" t="s">
        <v>78</v>
      </c>
      <c r="N693" s="11" t="s">
        <v>188</v>
      </c>
      <c r="O693" s="1" t="s">
        <v>6037</v>
      </c>
      <c r="P693" s="1" t="s">
        <v>126</v>
      </c>
      <c r="Q693" s="1" t="s">
        <v>5838</v>
      </c>
      <c r="R693" s="1" t="s">
        <v>4626</v>
      </c>
      <c r="S693" s="8">
        <v>46054</v>
      </c>
      <c r="T693" s="1">
        <v>2</v>
      </c>
      <c r="U693" s="1" t="s">
        <v>433</v>
      </c>
      <c r="V693" s="1" t="s">
        <v>4627</v>
      </c>
      <c r="W693" s="1" t="s">
        <v>1388</v>
      </c>
    </row>
    <row r="694" spans="1:23" x14ac:dyDescent="0.25">
      <c r="A694" s="1" t="s">
        <v>48</v>
      </c>
      <c r="B694" s="1" t="s">
        <v>2382</v>
      </c>
      <c r="C694" s="1" t="s">
        <v>50</v>
      </c>
      <c r="D694" s="1" t="s">
        <v>3214</v>
      </c>
      <c r="E694" s="1" t="s">
        <v>3215</v>
      </c>
      <c r="F694" s="22" t="s">
        <v>6085</v>
      </c>
      <c r="G694" s="1" t="s">
        <v>6</v>
      </c>
      <c r="H694" s="1" t="s">
        <v>24</v>
      </c>
      <c r="I694" s="1" t="s">
        <v>25</v>
      </c>
      <c r="J694" s="1" t="s">
        <v>9</v>
      </c>
      <c r="K694" s="1" t="s">
        <v>13</v>
      </c>
      <c r="L694" s="1" t="s">
        <v>13</v>
      </c>
      <c r="M694" s="1" t="s">
        <v>78</v>
      </c>
      <c r="N694" s="11" t="s">
        <v>188</v>
      </c>
      <c r="O694" s="1" t="s">
        <v>6037</v>
      </c>
      <c r="P694" s="1" t="s">
        <v>126</v>
      </c>
      <c r="Q694" s="1" t="s">
        <v>5839</v>
      </c>
      <c r="R694" s="1" t="s">
        <v>4628</v>
      </c>
      <c r="S694" s="8">
        <v>45658</v>
      </c>
      <c r="T694" s="1">
        <v>1</v>
      </c>
      <c r="U694" s="1" t="s">
        <v>4629</v>
      </c>
      <c r="V694" s="1" t="s">
        <v>1388</v>
      </c>
      <c r="W694" s="1" t="s">
        <v>1388</v>
      </c>
    </row>
    <row r="695" spans="1:23" x14ac:dyDescent="0.25">
      <c r="A695" s="1" t="s">
        <v>48</v>
      </c>
      <c r="B695" s="1" t="s">
        <v>2383</v>
      </c>
      <c r="C695" s="1" t="s">
        <v>50</v>
      </c>
      <c r="D695" s="1" t="s">
        <v>3216</v>
      </c>
      <c r="E695" s="1" t="s">
        <v>3217</v>
      </c>
      <c r="F695" s="22" t="s">
        <v>6085</v>
      </c>
      <c r="G695" s="1" t="s">
        <v>7</v>
      </c>
      <c r="H695" s="1" t="s">
        <v>24</v>
      </c>
      <c r="I695" s="1" t="s">
        <v>26</v>
      </c>
      <c r="J695" s="1" t="s">
        <v>9</v>
      </c>
      <c r="K695" s="1" t="s">
        <v>16</v>
      </c>
      <c r="L695" s="1" t="s">
        <v>16</v>
      </c>
      <c r="M695" s="1" t="s">
        <v>78</v>
      </c>
      <c r="N695" s="11" t="s">
        <v>188</v>
      </c>
      <c r="O695" s="1" t="s">
        <v>6037</v>
      </c>
      <c r="P695" s="1" t="s">
        <v>60</v>
      </c>
      <c r="Q695" s="1" t="s">
        <v>7</v>
      </c>
      <c r="R695" s="1" t="s">
        <v>4630</v>
      </c>
      <c r="S695" s="8">
        <v>45809</v>
      </c>
      <c r="T695" s="1">
        <v>2</v>
      </c>
      <c r="U695" s="1" t="s">
        <v>302</v>
      </c>
      <c r="V695" s="1" t="s">
        <v>302</v>
      </c>
      <c r="W695" s="1" t="s">
        <v>1388</v>
      </c>
    </row>
    <row r="696" spans="1:23" x14ac:dyDescent="0.25">
      <c r="A696" s="1" t="s">
        <v>48</v>
      </c>
      <c r="B696" s="1" t="s">
        <v>2384</v>
      </c>
      <c r="C696" s="1" t="s">
        <v>50</v>
      </c>
      <c r="D696" s="1" t="s">
        <v>3218</v>
      </c>
      <c r="E696" s="1" t="s">
        <v>3219</v>
      </c>
      <c r="F696" s="22" t="s">
        <v>6085</v>
      </c>
      <c r="G696" s="1" t="s">
        <v>6</v>
      </c>
      <c r="H696" s="1" t="s">
        <v>20</v>
      </c>
      <c r="I696" s="1" t="s">
        <v>25</v>
      </c>
      <c r="J696" s="1" t="s">
        <v>9</v>
      </c>
      <c r="K696" s="1" t="s">
        <v>14</v>
      </c>
      <c r="L696" s="1" t="s">
        <v>14</v>
      </c>
      <c r="M696" s="1" t="s">
        <v>78</v>
      </c>
      <c r="N696" s="11" t="s">
        <v>188</v>
      </c>
      <c r="O696" s="1" t="s">
        <v>6037</v>
      </c>
      <c r="P696" s="1" t="s">
        <v>707</v>
      </c>
      <c r="Q696" s="1" t="s">
        <v>5840</v>
      </c>
      <c r="R696" s="1" t="s">
        <v>4631</v>
      </c>
      <c r="S696" s="8">
        <v>46048</v>
      </c>
      <c r="T696" s="1">
        <v>1</v>
      </c>
      <c r="U696" s="1" t="s">
        <v>4632</v>
      </c>
      <c r="V696" s="1" t="s">
        <v>1388</v>
      </c>
      <c r="W696" s="1" t="s">
        <v>1388</v>
      </c>
    </row>
    <row r="697" spans="1:23" x14ac:dyDescent="0.25">
      <c r="A697" s="1" t="s">
        <v>48</v>
      </c>
      <c r="B697" s="1" t="s">
        <v>2385</v>
      </c>
      <c r="C697" s="1" t="s">
        <v>50</v>
      </c>
      <c r="D697" s="1" t="s">
        <v>3220</v>
      </c>
      <c r="E697" s="1" t="s">
        <v>3221</v>
      </c>
      <c r="F697" s="22" t="s">
        <v>6085</v>
      </c>
      <c r="G697" s="1" t="s">
        <v>7</v>
      </c>
      <c r="H697" s="1" t="s">
        <v>24</v>
      </c>
      <c r="I697" s="1" t="s">
        <v>25</v>
      </c>
      <c r="J697" s="1" t="s">
        <v>9</v>
      </c>
      <c r="K697" s="1" t="s">
        <v>13</v>
      </c>
      <c r="L697" s="1" t="s">
        <v>13</v>
      </c>
      <c r="M697" s="1" t="s">
        <v>78</v>
      </c>
      <c r="N697" s="11" t="s">
        <v>188</v>
      </c>
      <c r="O697" s="1" t="s">
        <v>6037</v>
      </c>
      <c r="P697" s="1" t="s">
        <v>4633</v>
      </c>
      <c r="Q697" s="1" t="s">
        <v>5841</v>
      </c>
      <c r="R697" s="1" t="s">
        <v>4634</v>
      </c>
      <c r="S697" s="8">
        <v>45658</v>
      </c>
      <c r="T697" s="1">
        <v>1</v>
      </c>
      <c r="U697" s="1" t="s">
        <v>4635</v>
      </c>
      <c r="V697" s="1" t="s">
        <v>1388</v>
      </c>
      <c r="W697" s="1" t="s">
        <v>1388</v>
      </c>
    </row>
    <row r="698" spans="1:23" x14ac:dyDescent="0.25">
      <c r="A698" s="1" t="s">
        <v>48</v>
      </c>
      <c r="B698" s="1" t="s">
        <v>2386</v>
      </c>
      <c r="C698" s="1" t="s">
        <v>50</v>
      </c>
      <c r="D698" s="1" t="s">
        <v>3222</v>
      </c>
      <c r="E698" s="1" t="s">
        <v>3223</v>
      </c>
      <c r="F698" s="22" t="s">
        <v>6085</v>
      </c>
      <c r="G698" s="1" t="s">
        <v>5</v>
      </c>
      <c r="H698" s="1" t="s">
        <v>20</v>
      </c>
      <c r="I698" s="1" t="s">
        <v>25</v>
      </c>
      <c r="J698" s="1" t="s">
        <v>9</v>
      </c>
      <c r="K698" s="1" t="s">
        <v>14</v>
      </c>
      <c r="L698" s="1" t="s">
        <v>14</v>
      </c>
      <c r="M698" s="1" t="s">
        <v>78</v>
      </c>
      <c r="N698" s="11" t="s">
        <v>188</v>
      </c>
      <c r="O698" s="1" t="s">
        <v>6037</v>
      </c>
      <c r="P698" s="1" t="s">
        <v>126</v>
      </c>
      <c r="Q698" s="1" t="s">
        <v>5842</v>
      </c>
      <c r="R698" s="1" t="s">
        <v>4636</v>
      </c>
      <c r="S698" s="8">
        <v>45691</v>
      </c>
      <c r="T698" s="1">
        <v>3</v>
      </c>
      <c r="U698" s="1" t="s">
        <v>4637</v>
      </c>
      <c r="V698" s="1" t="s">
        <v>4638</v>
      </c>
      <c r="W698" s="1" t="s">
        <v>4639</v>
      </c>
    </row>
    <row r="699" spans="1:23" x14ac:dyDescent="0.25">
      <c r="A699" s="1" t="s">
        <v>48</v>
      </c>
      <c r="B699" s="1" t="s">
        <v>2387</v>
      </c>
      <c r="C699" s="1" t="s">
        <v>50</v>
      </c>
      <c r="D699" s="1" t="s">
        <v>3224</v>
      </c>
      <c r="E699" s="1" t="s">
        <v>3225</v>
      </c>
      <c r="F699" s="22" t="s">
        <v>3</v>
      </c>
      <c r="G699" s="1" t="s">
        <v>6</v>
      </c>
      <c r="H699" s="1" t="s">
        <v>20</v>
      </c>
      <c r="I699" s="1" t="s">
        <v>25</v>
      </c>
      <c r="J699" s="1" t="s">
        <v>9</v>
      </c>
      <c r="K699" s="1" t="s">
        <v>13</v>
      </c>
      <c r="L699" s="1" t="s">
        <v>13</v>
      </c>
      <c r="M699" s="1" t="s">
        <v>78</v>
      </c>
      <c r="N699" s="11" t="s">
        <v>188</v>
      </c>
      <c r="O699" s="1" t="s">
        <v>6037</v>
      </c>
      <c r="P699" s="1" t="s">
        <v>247</v>
      </c>
      <c r="Q699" s="1" t="s">
        <v>5843</v>
      </c>
      <c r="R699" s="7" t="s">
        <v>4640</v>
      </c>
      <c r="S699" s="8">
        <v>46023</v>
      </c>
      <c r="T699" s="1">
        <v>1</v>
      </c>
      <c r="U699" s="1" t="s">
        <v>1407</v>
      </c>
      <c r="V699" s="1" t="s">
        <v>1388</v>
      </c>
      <c r="W699" s="1" t="s">
        <v>1388</v>
      </c>
    </row>
    <row r="700" spans="1:23" x14ac:dyDescent="0.25">
      <c r="A700" s="1" t="s">
        <v>48</v>
      </c>
      <c r="B700" s="1" t="s">
        <v>2388</v>
      </c>
      <c r="C700" s="1" t="s">
        <v>50</v>
      </c>
      <c r="D700" s="1" t="s">
        <v>3226</v>
      </c>
      <c r="E700" s="1" t="s">
        <v>3227</v>
      </c>
      <c r="F700" s="22" t="s">
        <v>6085</v>
      </c>
      <c r="G700" s="1" t="s">
        <v>7</v>
      </c>
      <c r="H700" s="1" t="s">
        <v>24</v>
      </c>
      <c r="I700" s="1" t="s">
        <v>26</v>
      </c>
      <c r="J700" s="1" t="s">
        <v>9</v>
      </c>
      <c r="K700" s="1" t="s">
        <v>13</v>
      </c>
      <c r="L700" s="1" t="s">
        <v>13</v>
      </c>
      <c r="M700" s="1" t="s">
        <v>78</v>
      </c>
      <c r="N700" s="11" t="s">
        <v>188</v>
      </c>
      <c r="O700" s="1" t="s">
        <v>6037</v>
      </c>
      <c r="P700" s="1" t="s">
        <v>267</v>
      </c>
      <c r="Q700" s="1" t="s">
        <v>5844</v>
      </c>
      <c r="R700" s="1" t="s">
        <v>4641</v>
      </c>
      <c r="S700" s="8">
        <v>44935</v>
      </c>
      <c r="T700" s="1">
        <v>2</v>
      </c>
      <c r="U700" s="1" t="s">
        <v>4642</v>
      </c>
      <c r="V700" s="1" t="s">
        <v>4642</v>
      </c>
      <c r="W700" s="1" t="s">
        <v>1388</v>
      </c>
    </row>
    <row r="701" spans="1:23" x14ac:dyDescent="0.25">
      <c r="A701" s="1" t="s">
        <v>48</v>
      </c>
      <c r="B701" s="1" t="s">
        <v>2389</v>
      </c>
      <c r="C701" s="1" t="s">
        <v>50</v>
      </c>
      <c r="D701" s="1" t="s">
        <v>3228</v>
      </c>
      <c r="E701" s="1" t="s">
        <v>3229</v>
      </c>
      <c r="F701" s="22" t="s">
        <v>6085</v>
      </c>
      <c r="G701" s="1" t="s">
        <v>5</v>
      </c>
      <c r="H701" s="1" t="s">
        <v>20</v>
      </c>
      <c r="I701" s="1" t="s">
        <v>25</v>
      </c>
      <c r="J701" s="1" t="s">
        <v>9</v>
      </c>
      <c r="K701" s="1" t="s">
        <v>15</v>
      </c>
      <c r="L701" s="1" t="s">
        <v>15</v>
      </c>
      <c r="M701" s="1" t="s">
        <v>78</v>
      </c>
      <c r="N701" s="11" t="s">
        <v>188</v>
      </c>
      <c r="O701" s="1" t="s">
        <v>6037</v>
      </c>
      <c r="P701" s="1" t="s">
        <v>126</v>
      </c>
      <c r="Q701" s="1" t="s">
        <v>5845</v>
      </c>
      <c r="R701" s="1" t="s">
        <v>4643</v>
      </c>
      <c r="S701" s="8">
        <v>46055</v>
      </c>
      <c r="T701" s="1">
        <v>3</v>
      </c>
      <c r="U701" s="1" t="s">
        <v>4644</v>
      </c>
      <c r="V701" s="1" t="s">
        <v>4645</v>
      </c>
      <c r="W701" s="1" t="s">
        <v>4646</v>
      </c>
    </row>
    <row r="702" spans="1:23" x14ac:dyDescent="0.25">
      <c r="A702" s="1" t="s">
        <v>48</v>
      </c>
      <c r="B702" s="1" t="s">
        <v>2390</v>
      </c>
      <c r="C702" s="1" t="s">
        <v>50</v>
      </c>
      <c r="D702" s="1" t="s">
        <v>3230</v>
      </c>
      <c r="E702" s="1" t="s">
        <v>3231</v>
      </c>
      <c r="F702" s="22" t="s">
        <v>6085</v>
      </c>
      <c r="G702" s="1" t="s">
        <v>5</v>
      </c>
      <c r="H702" s="1" t="s">
        <v>20</v>
      </c>
      <c r="I702" s="1" t="s">
        <v>25</v>
      </c>
      <c r="J702" s="1" t="s">
        <v>9</v>
      </c>
      <c r="K702" s="1" t="s">
        <v>14</v>
      </c>
      <c r="L702" s="1" t="s">
        <v>14</v>
      </c>
      <c r="M702" s="1" t="s">
        <v>78</v>
      </c>
      <c r="N702" s="11" t="s">
        <v>188</v>
      </c>
      <c r="O702" s="1" t="s">
        <v>6037</v>
      </c>
      <c r="P702" s="1" t="s">
        <v>66</v>
      </c>
      <c r="Q702" s="1" t="s">
        <v>5846</v>
      </c>
      <c r="R702" s="1" t="s">
        <v>4647</v>
      </c>
      <c r="S702" s="8">
        <v>46061</v>
      </c>
      <c r="T702" s="1">
        <v>3</v>
      </c>
      <c r="U702" s="1" t="s">
        <v>4648</v>
      </c>
      <c r="V702" s="1" t="s">
        <v>4648</v>
      </c>
      <c r="W702" s="1" t="s">
        <v>4648</v>
      </c>
    </row>
    <row r="703" spans="1:23" x14ac:dyDescent="0.25">
      <c r="A703" s="1" t="s">
        <v>48</v>
      </c>
      <c r="B703" s="1" t="s">
        <v>2391</v>
      </c>
      <c r="C703" s="1" t="s">
        <v>50</v>
      </c>
      <c r="D703" s="1" t="s">
        <v>3232</v>
      </c>
      <c r="E703" s="1" t="s">
        <v>3233</v>
      </c>
      <c r="F703" s="22" t="s">
        <v>6085</v>
      </c>
      <c r="G703" s="1" t="s">
        <v>5</v>
      </c>
      <c r="H703" s="1" t="s">
        <v>20</v>
      </c>
      <c r="I703" s="1" t="s">
        <v>25</v>
      </c>
      <c r="J703" s="1" t="s">
        <v>9</v>
      </c>
      <c r="K703" s="1" t="s">
        <v>13</v>
      </c>
      <c r="L703" s="1" t="s">
        <v>13</v>
      </c>
      <c r="M703" s="1" t="s">
        <v>78</v>
      </c>
      <c r="N703" s="11" t="s">
        <v>188</v>
      </c>
      <c r="O703" s="1" t="s">
        <v>6037</v>
      </c>
      <c r="P703" s="1" t="s">
        <v>247</v>
      </c>
      <c r="Q703" s="1" t="s">
        <v>5847</v>
      </c>
      <c r="R703" s="1" t="s">
        <v>4649</v>
      </c>
      <c r="S703" s="8">
        <v>45397</v>
      </c>
      <c r="T703" s="1">
        <v>1</v>
      </c>
      <c r="U703" s="1" t="s">
        <v>4157</v>
      </c>
      <c r="V703" s="1" t="s">
        <v>1388</v>
      </c>
      <c r="W703" s="1" t="s">
        <v>1388</v>
      </c>
    </row>
    <row r="704" spans="1:23" x14ac:dyDescent="0.25">
      <c r="A704" s="1" t="s">
        <v>48</v>
      </c>
      <c r="B704" s="1" t="s">
        <v>2392</v>
      </c>
      <c r="C704" s="1" t="s">
        <v>50</v>
      </c>
      <c r="D704" s="1" t="s">
        <v>3234</v>
      </c>
      <c r="E704" s="1" t="s">
        <v>3235</v>
      </c>
      <c r="F704" s="22" t="s">
        <v>6085</v>
      </c>
      <c r="G704" s="1" t="s">
        <v>5</v>
      </c>
      <c r="H704" s="1" t="s">
        <v>22</v>
      </c>
      <c r="I704" s="1" t="s">
        <v>25</v>
      </c>
      <c r="J704" s="1" t="s">
        <v>9</v>
      </c>
      <c r="K704" s="1" t="s">
        <v>10</v>
      </c>
      <c r="L704" s="1" t="s">
        <v>16</v>
      </c>
      <c r="M704" s="1" t="s">
        <v>78</v>
      </c>
      <c r="N704" s="11" t="s">
        <v>188</v>
      </c>
      <c r="O704" s="1" t="s">
        <v>6037</v>
      </c>
      <c r="P704" s="1" t="s">
        <v>306</v>
      </c>
      <c r="Q704" s="18" t="s">
        <v>5380</v>
      </c>
      <c r="R704" s="1" t="s">
        <v>4650</v>
      </c>
      <c r="S704" s="8">
        <v>46023</v>
      </c>
      <c r="T704" s="1">
        <v>3</v>
      </c>
      <c r="U704" s="1" t="s">
        <v>4651</v>
      </c>
      <c r="V704" s="1" t="s">
        <v>4652</v>
      </c>
      <c r="W704" s="1" t="s">
        <v>4652</v>
      </c>
    </row>
    <row r="705" spans="1:23" x14ac:dyDescent="0.25">
      <c r="A705" s="1" t="s">
        <v>48</v>
      </c>
      <c r="B705" s="1" t="s">
        <v>2393</v>
      </c>
      <c r="C705" s="1" t="s">
        <v>50</v>
      </c>
      <c r="D705" s="1" t="s">
        <v>3236</v>
      </c>
      <c r="E705" s="1" t="s">
        <v>3237</v>
      </c>
      <c r="F705" s="22" t="s">
        <v>3</v>
      </c>
      <c r="G705" s="1" t="s">
        <v>5</v>
      </c>
      <c r="H705" s="1" t="s">
        <v>21</v>
      </c>
      <c r="I705" s="1" t="s">
        <v>25</v>
      </c>
      <c r="J705" s="1" t="s">
        <v>9</v>
      </c>
      <c r="K705" s="1" t="s">
        <v>14</v>
      </c>
      <c r="L705" s="1" t="s">
        <v>17</v>
      </c>
      <c r="M705" s="1" t="s">
        <v>78</v>
      </c>
      <c r="N705" s="1" t="s">
        <v>174</v>
      </c>
      <c r="O705" s="1" t="s">
        <v>6037</v>
      </c>
      <c r="P705" s="1" t="s">
        <v>4653</v>
      </c>
      <c r="Q705" s="1" t="s">
        <v>5848</v>
      </c>
      <c r="R705" s="7" t="s">
        <v>4654</v>
      </c>
      <c r="S705" s="8">
        <v>46048</v>
      </c>
      <c r="T705" s="1">
        <v>3</v>
      </c>
      <c r="U705" s="1" t="s">
        <v>730</v>
      </c>
      <c r="V705" s="1" t="s">
        <v>730</v>
      </c>
      <c r="W705" s="1" t="s">
        <v>730</v>
      </c>
    </row>
    <row r="706" spans="1:23" x14ac:dyDescent="0.25">
      <c r="A706" s="1" t="s">
        <v>48</v>
      </c>
      <c r="B706" s="1" t="s">
        <v>2394</v>
      </c>
      <c r="C706" s="1" t="s">
        <v>50</v>
      </c>
      <c r="D706" s="1" t="s">
        <v>3238</v>
      </c>
      <c r="E706" s="1" t="s">
        <v>3239</v>
      </c>
      <c r="F706" s="22" t="s">
        <v>3</v>
      </c>
      <c r="G706" s="1" t="s">
        <v>6</v>
      </c>
      <c r="H706" s="1" t="s">
        <v>20</v>
      </c>
      <c r="I706" s="1" t="s">
        <v>25</v>
      </c>
      <c r="J706" s="1" t="s">
        <v>9</v>
      </c>
      <c r="K706" s="1" t="s">
        <v>13</v>
      </c>
      <c r="L706" s="1" t="s">
        <v>13</v>
      </c>
      <c r="M706" s="1" t="s">
        <v>78</v>
      </c>
      <c r="N706" s="11" t="s">
        <v>188</v>
      </c>
      <c r="O706" s="1" t="s">
        <v>6037</v>
      </c>
      <c r="P706" s="1" t="s">
        <v>247</v>
      </c>
      <c r="Q706" s="1" t="s">
        <v>5849</v>
      </c>
      <c r="R706" s="7" t="s">
        <v>4655</v>
      </c>
      <c r="S706" s="8">
        <v>45677</v>
      </c>
      <c r="T706" s="1">
        <v>1</v>
      </c>
      <c r="U706" s="1" t="s">
        <v>4656</v>
      </c>
      <c r="V706" s="1" t="s">
        <v>1388</v>
      </c>
      <c r="W706" s="1" t="s">
        <v>1388</v>
      </c>
    </row>
    <row r="707" spans="1:23" x14ac:dyDescent="0.25">
      <c r="A707" s="1" t="s">
        <v>48</v>
      </c>
      <c r="B707" s="1" t="s">
        <v>2395</v>
      </c>
      <c r="C707" s="1" t="s">
        <v>50</v>
      </c>
      <c r="D707" s="1" t="s">
        <v>3240</v>
      </c>
      <c r="E707" s="1" t="s">
        <v>3241</v>
      </c>
      <c r="F707" s="22" t="s">
        <v>6085</v>
      </c>
      <c r="G707" s="1" t="s">
        <v>5</v>
      </c>
      <c r="H707" s="1" t="s">
        <v>20</v>
      </c>
      <c r="I707" s="1" t="s">
        <v>25</v>
      </c>
      <c r="J707" s="1" t="s">
        <v>9</v>
      </c>
      <c r="K707" s="1" t="s">
        <v>14</v>
      </c>
      <c r="L707" s="1" t="s">
        <v>14</v>
      </c>
      <c r="M707" s="1" t="s">
        <v>78</v>
      </c>
      <c r="N707" s="11" t="s">
        <v>188</v>
      </c>
      <c r="O707" s="1" t="s">
        <v>6037</v>
      </c>
      <c r="P707" s="1" t="s">
        <v>247</v>
      </c>
      <c r="Q707" s="18" t="s">
        <v>5850</v>
      </c>
      <c r="R707" s="1" t="s">
        <v>4657</v>
      </c>
      <c r="S707" s="8">
        <v>45677</v>
      </c>
      <c r="T707" s="1">
        <v>2</v>
      </c>
      <c r="U707" s="1" t="s">
        <v>4658</v>
      </c>
      <c r="V707" s="1" t="s">
        <v>4659</v>
      </c>
      <c r="W707" s="1" t="s">
        <v>1388</v>
      </c>
    </row>
    <row r="708" spans="1:23" x14ac:dyDescent="0.25">
      <c r="A708" s="1" t="s">
        <v>48</v>
      </c>
      <c r="B708" s="1" t="s">
        <v>2396</v>
      </c>
      <c r="C708" s="1" t="s">
        <v>50</v>
      </c>
      <c r="D708" s="1" t="s">
        <v>3242</v>
      </c>
      <c r="E708" s="1" t="s">
        <v>3243</v>
      </c>
      <c r="F708" s="22" t="s">
        <v>6085</v>
      </c>
      <c r="G708" s="1" t="s">
        <v>5</v>
      </c>
      <c r="H708" s="1" t="s">
        <v>20</v>
      </c>
      <c r="I708" s="1" t="s">
        <v>25</v>
      </c>
      <c r="J708" s="1" t="s">
        <v>9</v>
      </c>
      <c r="K708" s="1" t="s">
        <v>13</v>
      </c>
      <c r="L708" s="1" t="s">
        <v>13</v>
      </c>
      <c r="M708" s="1" t="s">
        <v>78</v>
      </c>
      <c r="N708" s="11" t="s">
        <v>188</v>
      </c>
      <c r="O708" s="1" t="s">
        <v>6037</v>
      </c>
      <c r="P708" s="1" t="s">
        <v>593</v>
      </c>
      <c r="Q708" s="1" t="s">
        <v>5851</v>
      </c>
      <c r="R708" s="1" t="s">
        <v>4660</v>
      </c>
      <c r="S708" s="8">
        <v>46024</v>
      </c>
      <c r="T708" s="1">
        <v>2</v>
      </c>
      <c r="U708" s="1" t="s">
        <v>4661</v>
      </c>
      <c r="V708" s="1" t="s">
        <v>4662</v>
      </c>
      <c r="W708" s="1" t="s">
        <v>1388</v>
      </c>
    </row>
    <row r="709" spans="1:23" x14ac:dyDescent="0.25">
      <c r="A709" s="1" t="s">
        <v>48</v>
      </c>
      <c r="B709" s="1" t="s">
        <v>2397</v>
      </c>
      <c r="C709" s="1" t="s">
        <v>50</v>
      </c>
      <c r="D709" s="1" t="s">
        <v>3244</v>
      </c>
      <c r="E709" s="1" t="s">
        <v>3245</v>
      </c>
      <c r="F709" s="22" t="s">
        <v>6085</v>
      </c>
      <c r="G709" s="1" t="s">
        <v>5</v>
      </c>
      <c r="H709" s="1" t="s">
        <v>20</v>
      </c>
      <c r="I709" s="1" t="s">
        <v>26</v>
      </c>
      <c r="J709" s="1" t="s">
        <v>9</v>
      </c>
      <c r="K709" s="1" t="s">
        <v>16</v>
      </c>
      <c r="L709" s="1" t="s">
        <v>16</v>
      </c>
      <c r="M709" s="1" t="s">
        <v>78</v>
      </c>
      <c r="N709" s="11" t="s">
        <v>188</v>
      </c>
      <c r="O709" s="1" t="s">
        <v>6037</v>
      </c>
      <c r="P709" s="1" t="s">
        <v>267</v>
      </c>
      <c r="Q709" s="1" t="s">
        <v>5380</v>
      </c>
      <c r="R709" s="1" t="s">
        <v>4663</v>
      </c>
      <c r="S709" s="8">
        <v>46055</v>
      </c>
      <c r="T709" s="1">
        <v>3</v>
      </c>
      <c r="U709" s="1" t="s">
        <v>4664</v>
      </c>
      <c r="V709" s="1" t="s">
        <v>4665</v>
      </c>
      <c r="W709" s="1" t="s">
        <v>4666</v>
      </c>
    </row>
    <row r="710" spans="1:23" x14ac:dyDescent="0.25">
      <c r="A710" s="1" t="s">
        <v>48</v>
      </c>
      <c r="B710" s="1" t="s">
        <v>2398</v>
      </c>
      <c r="C710" s="1" t="s">
        <v>50</v>
      </c>
      <c r="D710" s="1" t="s">
        <v>3246</v>
      </c>
      <c r="E710" s="1" t="s">
        <v>3247</v>
      </c>
      <c r="F710" s="22" t="s">
        <v>6085</v>
      </c>
      <c r="G710" s="1" t="s">
        <v>6</v>
      </c>
      <c r="H710" s="1" t="s">
        <v>20</v>
      </c>
      <c r="I710" s="1" t="s">
        <v>25</v>
      </c>
      <c r="J710" s="1" t="s">
        <v>9</v>
      </c>
      <c r="K710" s="1" t="s">
        <v>11</v>
      </c>
      <c r="L710" s="1" t="s">
        <v>11</v>
      </c>
      <c r="M710" s="1" t="s">
        <v>78</v>
      </c>
      <c r="N710" s="11" t="s">
        <v>188</v>
      </c>
      <c r="O710" s="1" t="s">
        <v>6037</v>
      </c>
      <c r="P710" s="1" t="s">
        <v>593</v>
      </c>
      <c r="Q710" s="1" t="s">
        <v>5284</v>
      </c>
      <c r="R710" s="1" t="s">
        <v>4667</v>
      </c>
      <c r="S710" s="8">
        <v>46023</v>
      </c>
      <c r="T710" s="1">
        <v>1</v>
      </c>
      <c r="U710" s="1" t="s">
        <v>4668</v>
      </c>
      <c r="V710" s="1" t="s">
        <v>4669</v>
      </c>
      <c r="W710" s="1" t="s">
        <v>1388</v>
      </c>
    </row>
    <row r="711" spans="1:23" x14ac:dyDescent="0.25">
      <c r="A711" s="1" t="s">
        <v>48</v>
      </c>
      <c r="B711" s="1" t="s">
        <v>2399</v>
      </c>
      <c r="C711" s="1" t="s">
        <v>50</v>
      </c>
      <c r="D711" s="1" t="s">
        <v>3248</v>
      </c>
      <c r="E711" s="1" t="s">
        <v>3249</v>
      </c>
      <c r="F711" s="22" t="s">
        <v>6085</v>
      </c>
      <c r="G711" s="1" t="s">
        <v>6</v>
      </c>
      <c r="H711" s="1" t="s">
        <v>20</v>
      </c>
      <c r="I711" s="1" t="s">
        <v>25</v>
      </c>
      <c r="J711" s="1" t="s">
        <v>9</v>
      </c>
      <c r="K711" s="1" t="s">
        <v>18</v>
      </c>
      <c r="L711" s="1" t="s">
        <v>18</v>
      </c>
      <c r="M711" s="1" t="s">
        <v>78</v>
      </c>
      <c r="N711" s="11" t="s">
        <v>188</v>
      </c>
      <c r="O711" s="1" t="s">
        <v>6037</v>
      </c>
      <c r="P711" s="1" t="s">
        <v>4670</v>
      </c>
      <c r="Q711" s="1" t="s">
        <v>5852</v>
      </c>
      <c r="R711" s="19" t="s">
        <v>4671</v>
      </c>
      <c r="S711" s="8">
        <v>45896</v>
      </c>
      <c r="T711" s="1">
        <v>2</v>
      </c>
      <c r="U711" s="1" t="s">
        <v>4672</v>
      </c>
      <c r="V711" s="1" t="s">
        <v>4672</v>
      </c>
      <c r="W711" s="1" t="s">
        <v>1388</v>
      </c>
    </row>
    <row r="712" spans="1:23" x14ac:dyDescent="0.25">
      <c r="A712" s="1" t="s">
        <v>48</v>
      </c>
      <c r="B712" s="1" t="s">
        <v>2400</v>
      </c>
      <c r="C712" s="1" t="s">
        <v>50</v>
      </c>
      <c r="D712" s="1" t="s">
        <v>3250</v>
      </c>
      <c r="E712" s="1" t="s">
        <v>3251</v>
      </c>
      <c r="F712" s="22" t="s">
        <v>6085</v>
      </c>
      <c r="G712" s="1" t="s">
        <v>6</v>
      </c>
      <c r="H712" s="1" t="s">
        <v>24</v>
      </c>
      <c r="I712" s="1" t="s">
        <v>25</v>
      </c>
      <c r="J712" s="1" t="s">
        <v>9</v>
      </c>
      <c r="K712" s="1" t="s">
        <v>16</v>
      </c>
      <c r="L712" s="1" t="s">
        <v>16</v>
      </c>
      <c r="M712" s="1" t="s">
        <v>78</v>
      </c>
      <c r="N712" s="11" t="s">
        <v>188</v>
      </c>
      <c r="O712" s="1" t="s">
        <v>6037</v>
      </c>
      <c r="P712" s="1" t="s">
        <v>60</v>
      </c>
      <c r="Q712" s="1" t="s">
        <v>5853</v>
      </c>
      <c r="R712" s="1" t="s">
        <v>4673</v>
      </c>
      <c r="S712" s="8">
        <v>45691</v>
      </c>
      <c r="T712" s="1">
        <v>1</v>
      </c>
      <c r="U712" s="1" t="s">
        <v>4674</v>
      </c>
      <c r="V712" s="1" t="s">
        <v>1388</v>
      </c>
      <c r="W712" s="1" t="s">
        <v>1388</v>
      </c>
    </row>
    <row r="713" spans="1:23" x14ac:dyDescent="0.25">
      <c r="A713" s="1" t="s">
        <v>48</v>
      </c>
      <c r="B713" s="1" t="s">
        <v>2401</v>
      </c>
      <c r="C713" s="1" t="s">
        <v>50</v>
      </c>
      <c r="D713" s="1" t="s">
        <v>3252</v>
      </c>
      <c r="E713" s="1" t="s">
        <v>3253</v>
      </c>
      <c r="F713" s="22" t="s">
        <v>6085</v>
      </c>
      <c r="G713" s="1" t="s">
        <v>5</v>
      </c>
      <c r="H713" s="1" t="s">
        <v>20</v>
      </c>
      <c r="I713" s="1" t="s">
        <v>26</v>
      </c>
      <c r="J713" s="1" t="s">
        <v>9</v>
      </c>
      <c r="K713" s="1" t="s">
        <v>13</v>
      </c>
      <c r="L713" s="1" t="s">
        <v>13</v>
      </c>
      <c r="M713" s="1" t="s">
        <v>78</v>
      </c>
      <c r="N713" s="11" t="s">
        <v>2089</v>
      </c>
      <c r="O713" s="1" t="s">
        <v>6037</v>
      </c>
      <c r="P713" s="1" t="s">
        <v>126</v>
      </c>
      <c r="Q713" s="1" t="s">
        <v>5380</v>
      </c>
      <c r="R713" s="1" t="s">
        <v>4675</v>
      </c>
      <c r="S713" s="8">
        <v>45870</v>
      </c>
      <c r="T713" s="1">
        <v>3</v>
      </c>
      <c r="U713" s="1" t="s">
        <v>4676</v>
      </c>
      <c r="V713" s="1" t="s">
        <v>4677</v>
      </c>
      <c r="W713" s="1" t="s">
        <v>1560</v>
      </c>
    </row>
    <row r="714" spans="1:23" x14ac:dyDescent="0.25">
      <c r="A714" s="1" t="s">
        <v>48</v>
      </c>
      <c r="B714" s="1" t="s">
        <v>2402</v>
      </c>
      <c r="C714" s="1" t="s">
        <v>50</v>
      </c>
      <c r="D714" s="1" t="s">
        <v>3254</v>
      </c>
      <c r="E714" s="1" t="s">
        <v>3255</v>
      </c>
      <c r="F714" s="22" t="s">
        <v>6085</v>
      </c>
      <c r="G714" s="1" t="s">
        <v>5</v>
      </c>
      <c r="H714" s="1" t="s">
        <v>20</v>
      </c>
      <c r="I714" s="1" t="s">
        <v>25</v>
      </c>
      <c r="J714" s="1" t="s">
        <v>9</v>
      </c>
      <c r="K714" s="1" t="s">
        <v>14</v>
      </c>
      <c r="L714" s="1" t="s">
        <v>14</v>
      </c>
      <c r="M714" s="1" t="s">
        <v>78</v>
      </c>
      <c r="N714" s="11" t="s">
        <v>188</v>
      </c>
      <c r="O714" s="1" t="s">
        <v>6037</v>
      </c>
      <c r="P714" s="1" t="s">
        <v>107</v>
      </c>
      <c r="Q714" s="1" t="s">
        <v>5380</v>
      </c>
      <c r="R714" s="1" t="s">
        <v>4678</v>
      </c>
      <c r="S714" s="8">
        <v>44958</v>
      </c>
      <c r="T714" s="1">
        <v>2</v>
      </c>
      <c r="U714" s="1" t="s">
        <v>1453</v>
      </c>
      <c r="V714" s="1" t="s">
        <v>1453</v>
      </c>
      <c r="W714" s="1" t="s">
        <v>1388</v>
      </c>
    </row>
    <row r="715" spans="1:23" x14ac:dyDescent="0.25">
      <c r="A715" s="1" t="s">
        <v>48</v>
      </c>
      <c r="B715" s="1" t="s">
        <v>2403</v>
      </c>
      <c r="C715" s="1" t="s">
        <v>50</v>
      </c>
      <c r="D715" s="1" t="s">
        <v>3256</v>
      </c>
      <c r="E715" s="1" t="s">
        <v>3257</v>
      </c>
      <c r="F715" s="22" t="s">
        <v>6085</v>
      </c>
      <c r="G715" s="1" t="s">
        <v>5</v>
      </c>
      <c r="H715" s="1" t="s">
        <v>20</v>
      </c>
      <c r="I715" s="1" t="s">
        <v>26</v>
      </c>
      <c r="J715" s="1" t="s">
        <v>9</v>
      </c>
      <c r="K715" s="1" t="s">
        <v>13</v>
      </c>
      <c r="L715" s="1" t="s">
        <v>13</v>
      </c>
      <c r="M715" s="1" t="s">
        <v>78</v>
      </c>
      <c r="N715" s="11" t="s">
        <v>188</v>
      </c>
      <c r="O715" s="1" t="s">
        <v>6037</v>
      </c>
      <c r="P715" s="1" t="s">
        <v>4679</v>
      </c>
      <c r="Q715" s="1" t="s">
        <v>5854</v>
      </c>
      <c r="R715" s="1" t="s">
        <v>4680</v>
      </c>
      <c r="S715" s="8">
        <v>46048</v>
      </c>
      <c r="T715" s="1">
        <v>2</v>
      </c>
      <c r="U715" s="1" t="s">
        <v>4681</v>
      </c>
      <c r="V715" s="1" t="s">
        <v>4681</v>
      </c>
      <c r="W715" s="1" t="s">
        <v>1388</v>
      </c>
    </row>
    <row r="716" spans="1:23" x14ac:dyDescent="0.25">
      <c r="A716" s="1" t="s">
        <v>48</v>
      </c>
      <c r="B716" s="1" t="s">
        <v>2404</v>
      </c>
      <c r="C716" s="1" t="s">
        <v>50</v>
      </c>
      <c r="D716" s="1" t="s">
        <v>3258</v>
      </c>
      <c r="E716" s="1" t="s">
        <v>3259</v>
      </c>
      <c r="F716" s="22" t="s">
        <v>6085</v>
      </c>
      <c r="G716" s="1" t="s">
        <v>6</v>
      </c>
      <c r="H716" s="1" t="s">
        <v>24</v>
      </c>
      <c r="I716" s="1" t="s">
        <v>25</v>
      </c>
      <c r="J716" s="1" t="s">
        <v>9</v>
      </c>
      <c r="K716" s="1" t="s">
        <v>19</v>
      </c>
      <c r="L716" s="1" t="s">
        <v>19</v>
      </c>
      <c r="M716" s="1" t="s">
        <v>78</v>
      </c>
      <c r="N716" s="1" t="s">
        <v>188</v>
      </c>
      <c r="O716" s="2" t="s">
        <v>6235</v>
      </c>
      <c r="P716" s="1" t="s">
        <v>126</v>
      </c>
      <c r="Q716" s="1" t="s">
        <v>5855</v>
      </c>
      <c r="R716" s="1" t="s">
        <v>4682</v>
      </c>
      <c r="S716" s="8">
        <v>45706</v>
      </c>
      <c r="T716" s="1">
        <v>2</v>
      </c>
      <c r="U716" s="1" t="s">
        <v>1614</v>
      </c>
      <c r="V716" s="1" t="s">
        <v>4683</v>
      </c>
      <c r="W716" s="1" t="s">
        <v>1388</v>
      </c>
    </row>
    <row r="717" spans="1:23" x14ac:dyDescent="0.25">
      <c r="A717" s="1" t="s">
        <v>48</v>
      </c>
      <c r="B717" s="1" t="s">
        <v>2405</v>
      </c>
      <c r="C717" s="1" t="s">
        <v>50</v>
      </c>
      <c r="D717" s="1" t="s">
        <v>3260</v>
      </c>
      <c r="E717" s="1" t="s">
        <v>3261</v>
      </c>
      <c r="F717" s="22" t="s">
        <v>6085</v>
      </c>
      <c r="G717" s="1" t="s">
        <v>5</v>
      </c>
      <c r="H717" s="1" t="s">
        <v>20</v>
      </c>
      <c r="I717" s="1" t="s">
        <v>26</v>
      </c>
      <c r="J717" s="1" t="s">
        <v>9</v>
      </c>
      <c r="K717" s="1" t="s">
        <v>19</v>
      </c>
      <c r="L717" s="1" t="s">
        <v>19</v>
      </c>
      <c r="M717" s="1" t="s">
        <v>78</v>
      </c>
      <c r="N717" s="1" t="s">
        <v>188</v>
      </c>
      <c r="O717" s="2" t="s">
        <v>6235</v>
      </c>
      <c r="P717" s="1" t="s">
        <v>4684</v>
      </c>
      <c r="Q717" s="1" t="s">
        <v>5856</v>
      </c>
      <c r="R717" s="1" t="s">
        <v>4685</v>
      </c>
      <c r="S717" s="8">
        <v>46049</v>
      </c>
      <c r="T717" s="1">
        <v>3</v>
      </c>
      <c r="U717" s="1" t="s">
        <v>208</v>
      </c>
      <c r="V717" s="1" t="s">
        <v>4686</v>
      </c>
      <c r="W717" s="1" t="s">
        <v>4687</v>
      </c>
    </row>
    <row r="718" spans="1:23" x14ac:dyDescent="0.25">
      <c r="A718" s="1" t="s">
        <v>48</v>
      </c>
      <c r="B718" s="1" t="s">
        <v>2406</v>
      </c>
      <c r="C718" s="1" t="s">
        <v>50</v>
      </c>
      <c r="D718" s="1" t="s">
        <v>3262</v>
      </c>
      <c r="E718" s="1" t="s">
        <v>3263</v>
      </c>
      <c r="F718" s="22" t="s">
        <v>6085</v>
      </c>
      <c r="G718" s="1" t="s">
        <v>5</v>
      </c>
      <c r="H718" s="1" t="s">
        <v>24</v>
      </c>
      <c r="I718" s="1" t="s">
        <v>25</v>
      </c>
      <c r="J718" s="1" t="s">
        <v>9</v>
      </c>
      <c r="K718" s="1" t="s">
        <v>14</v>
      </c>
      <c r="L718" s="1" t="s">
        <v>14</v>
      </c>
      <c r="M718" s="1" t="s">
        <v>78</v>
      </c>
      <c r="N718" s="11" t="s">
        <v>188</v>
      </c>
      <c r="O718" s="1" t="s">
        <v>6037</v>
      </c>
      <c r="P718" s="1" t="s">
        <v>126</v>
      </c>
      <c r="Q718" s="18" t="s">
        <v>5857</v>
      </c>
      <c r="R718" s="1" t="s">
        <v>4688</v>
      </c>
      <c r="S718" s="8">
        <v>46069</v>
      </c>
      <c r="T718" s="1">
        <v>3</v>
      </c>
      <c r="U718" s="1" t="s">
        <v>4689</v>
      </c>
      <c r="V718" s="1" t="s">
        <v>4690</v>
      </c>
      <c r="W718" s="1" t="s">
        <v>4691</v>
      </c>
    </row>
    <row r="719" spans="1:23" x14ac:dyDescent="0.25">
      <c r="A719" s="1" t="s">
        <v>48</v>
      </c>
      <c r="B719" s="1" t="s">
        <v>2407</v>
      </c>
      <c r="C719" s="1" t="s">
        <v>50</v>
      </c>
      <c r="D719" s="1" t="s">
        <v>3264</v>
      </c>
      <c r="E719" s="1" t="s">
        <v>3265</v>
      </c>
      <c r="F719" s="22" t="s">
        <v>6085</v>
      </c>
      <c r="G719" s="1" t="s">
        <v>6</v>
      </c>
      <c r="H719" s="1" t="s">
        <v>20</v>
      </c>
      <c r="I719" s="1" t="s">
        <v>25</v>
      </c>
      <c r="J719" s="1" t="s">
        <v>9</v>
      </c>
      <c r="K719" s="1" t="s">
        <v>12</v>
      </c>
      <c r="L719" s="1" t="s">
        <v>12</v>
      </c>
      <c r="M719" s="1" t="s">
        <v>78</v>
      </c>
      <c r="N719" s="11" t="s">
        <v>188</v>
      </c>
      <c r="O719" s="1" t="s">
        <v>6037</v>
      </c>
      <c r="P719" s="1" t="s">
        <v>1456</v>
      </c>
      <c r="Q719" s="1" t="s">
        <v>5858</v>
      </c>
      <c r="R719" s="1" t="s">
        <v>4692</v>
      </c>
      <c r="S719" s="8">
        <v>46027</v>
      </c>
      <c r="T719" s="1">
        <v>2</v>
      </c>
      <c r="U719" s="1" t="s">
        <v>4693</v>
      </c>
      <c r="V719" s="1" t="s">
        <v>4694</v>
      </c>
      <c r="W719" s="1" t="s">
        <v>1388</v>
      </c>
    </row>
    <row r="720" spans="1:23" x14ac:dyDescent="0.25">
      <c r="A720" s="1" t="s">
        <v>48</v>
      </c>
      <c r="B720" s="1" t="s">
        <v>2408</v>
      </c>
      <c r="C720" s="1" t="s">
        <v>50</v>
      </c>
      <c r="D720" s="1" t="s">
        <v>3266</v>
      </c>
      <c r="E720" s="7" t="s">
        <v>3267</v>
      </c>
      <c r="F720" s="22" t="s">
        <v>6085</v>
      </c>
      <c r="G720" s="1" t="s">
        <v>6</v>
      </c>
      <c r="H720" s="1" t="s">
        <v>24</v>
      </c>
      <c r="I720" s="1" t="s">
        <v>26</v>
      </c>
      <c r="J720" s="1" t="s">
        <v>9</v>
      </c>
      <c r="K720" s="1" t="s">
        <v>12</v>
      </c>
      <c r="L720" s="1" t="s">
        <v>12</v>
      </c>
      <c r="M720" s="1" t="s">
        <v>78</v>
      </c>
      <c r="N720" s="1" t="s">
        <v>188</v>
      </c>
      <c r="O720" s="2" t="s">
        <v>6235</v>
      </c>
      <c r="P720" s="1" t="s">
        <v>60</v>
      </c>
      <c r="Q720" s="1" t="s">
        <v>5859</v>
      </c>
      <c r="R720" s="1" t="s">
        <v>4695</v>
      </c>
      <c r="S720" s="8">
        <v>46027</v>
      </c>
      <c r="T720" s="1">
        <v>2</v>
      </c>
      <c r="U720" s="1" t="s">
        <v>4696</v>
      </c>
      <c r="V720" s="1" t="s">
        <v>4697</v>
      </c>
      <c r="W720" s="1" t="s">
        <v>1388</v>
      </c>
    </row>
    <row r="721" spans="1:23" x14ac:dyDescent="0.25">
      <c r="A721" s="1" t="s">
        <v>48</v>
      </c>
      <c r="B721" s="1" t="s">
        <v>2409</v>
      </c>
      <c r="C721" s="1" t="s">
        <v>50</v>
      </c>
      <c r="D721" s="1" t="s">
        <v>3268</v>
      </c>
      <c r="E721" s="1" t="s">
        <v>3269</v>
      </c>
      <c r="F721" s="22" t="s">
        <v>6085</v>
      </c>
      <c r="G721" s="1" t="s">
        <v>6</v>
      </c>
      <c r="H721" s="1" t="s">
        <v>20</v>
      </c>
      <c r="I721" s="1" t="s">
        <v>25</v>
      </c>
      <c r="J721" s="1" t="s">
        <v>9</v>
      </c>
      <c r="K721" s="1" t="s">
        <v>16</v>
      </c>
      <c r="L721" s="1" t="s">
        <v>16</v>
      </c>
      <c r="M721" s="1" t="s">
        <v>78</v>
      </c>
      <c r="N721" s="11" t="s">
        <v>188</v>
      </c>
      <c r="O721" s="1" t="s">
        <v>6037</v>
      </c>
      <c r="P721" s="1" t="s">
        <v>1456</v>
      </c>
      <c r="Q721" s="1" t="s">
        <v>5392</v>
      </c>
      <c r="R721" s="1" t="s">
        <v>4698</v>
      </c>
      <c r="S721" s="8">
        <v>45663</v>
      </c>
      <c r="T721" s="1">
        <v>1</v>
      </c>
      <c r="U721" s="1" t="s">
        <v>4699</v>
      </c>
      <c r="V721" s="1" t="s">
        <v>1388</v>
      </c>
      <c r="W721" s="1" t="s">
        <v>1388</v>
      </c>
    </row>
    <row r="722" spans="1:23" x14ac:dyDescent="0.25">
      <c r="A722" s="1" t="s">
        <v>48</v>
      </c>
      <c r="B722" s="1" t="s">
        <v>2410</v>
      </c>
      <c r="C722" s="1" t="s">
        <v>50</v>
      </c>
      <c r="D722" s="1" t="s">
        <v>3270</v>
      </c>
      <c r="E722" s="1" t="s">
        <v>3271</v>
      </c>
      <c r="F722" s="22" t="s">
        <v>6085</v>
      </c>
      <c r="G722" s="1" t="s">
        <v>5</v>
      </c>
      <c r="H722" s="1" t="s">
        <v>24</v>
      </c>
      <c r="I722" s="1" t="s">
        <v>26</v>
      </c>
      <c r="J722" s="1" t="s">
        <v>9</v>
      </c>
      <c r="K722" s="1" t="s">
        <v>16</v>
      </c>
      <c r="L722" s="1" t="s">
        <v>16</v>
      </c>
      <c r="M722" s="1" t="s">
        <v>78</v>
      </c>
      <c r="N722" s="11" t="s">
        <v>188</v>
      </c>
      <c r="O722" s="1" t="s">
        <v>6037</v>
      </c>
      <c r="P722" s="1" t="s">
        <v>4700</v>
      </c>
      <c r="Q722" s="1" t="s">
        <v>5860</v>
      </c>
      <c r="R722" s="1" t="s">
        <v>4701</v>
      </c>
      <c r="S722" s="8">
        <v>46113</v>
      </c>
      <c r="T722" s="1">
        <v>3</v>
      </c>
      <c r="U722" s="1" t="s">
        <v>170</v>
      </c>
      <c r="V722" s="1" t="s">
        <v>170</v>
      </c>
      <c r="W722" s="1" t="s">
        <v>170</v>
      </c>
    </row>
    <row r="723" spans="1:23" x14ac:dyDescent="0.25">
      <c r="A723" s="1" t="s">
        <v>48</v>
      </c>
      <c r="B723" s="1" t="s">
        <v>2411</v>
      </c>
      <c r="C723" s="1" t="s">
        <v>50</v>
      </c>
      <c r="D723" s="1" t="s">
        <v>3272</v>
      </c>
      <c r="E723" s="1" t="s">
        <v>3273</v>
      </c>
      <c r="F723" s="22" t="s">
        <v>6085</v>
      </c>
      <c r="G723" s="1" t="s">
        <v>6</v>
      </c>
      <c r="H723" s="1" t="s">
        <v>24</v>
      </c>
      <c r="I723" s="1" t="s">
        <v>25</v>
      </c>
      <c r="J723" s="1" t="s">
        <v>9</v>
      </c>
      <c r="K723" s="1" t="s">
        <v>16</v>
      </c>
      <c r="L723" s="1" t="s">
        <v>16</v>
      </c>
      <c r="M723" s="1" t="s">
        <v>78</v>
      </c>
      <c r="N723" s="11" t="s">
        <v>188</v>
      </c>
      <c r="O723" s="1" t="s">
        <v>6037</v>
      </c>
      <c r="P723" s="1" t="s">
        <v>162</v>
      </c>
      <c r="Q723" s="1" t="s">
        <v>5281</v>
      </c>
      <c r="R723" s="1" t="s">
        <v>4702</v>
      </c>
      <c r="S723" s="8">
        <v>45658</v>
      </c>
      <c r="T723" s="1">
        <v>2</v>
      </c>
      <c r="U723" s="1" t="s">
        <v>3976</v>
      </c>
      <c r="V723" s="1" t="s">
        <v>483</v>
      </c>
      <c r="W723" s="1" t="s">
        <v>1388</v>
      </c>
    </row>
    <row r="724" spans="1:23" x14ac:dyDescent="0.25">
      <c r="A724" s="1" t="s">
        <v>48</v>
      </c>
      <c r="B724" s="1" t="s">
        <v>2412</v>
      </c>
      <c r="C724" s="1" t="s">
        <v>50</v>
      </c>
      <c r="D724" s="1" t="s">
        <v>3274</v>
      </c>
      <c r="E724" s="1" t="s">
        <v>3275</v>
      </c>
      <c r="F724" s="22" t="s">
        <v>6085</v>
      </c>
      <c r="G724" s="1" t="s">
        <v>5</v>
      </c>
      <c r="H724" s="1" t="s">
        <v>24</v>
      </c>
      <c r="I724" s="1" t="s">
        <v>26</v>
      </c>
      <c r="J724" s="1" t="s">
        <v>9</v>
      </c>
      <c r="K724" s="1" t="s">
        <v>10</v>
      </c>
      <c r="L724" s="1" t="s">
        <v>16</v>
      </c>
      <c r="M724" s="1" t="s">
        <v>78</v>
      </c>
      <c r="N724" s="11" t="s">
        <v>188</v>
      </c>
      <c r="O724" s="1" t="s">
        <v>6037</v>
      </c>
      <c r="P724" s="1" t="s">
        <v>107</v>
      </c>
      <c r="Q724" s="17" t="s">
        <v>5861</v>
      </c>
      <c r="R724" s="1" t="s">
        <v>4703</v>
      </c>
      <c r="S724" s="8">
        <v>46062</v>
      </c>
      <c r="T724" s="1">
        <v>3</v>
      </c>
      <c r="U724" s="1" t="s">
        <v>4704</v>
      </c>
      <c r="V724" s="1" t="s">
        <v>4705</v>
      </c>
      <c r="W724" s="1" t="s">
        <v>4706</v>
      </c>
    </row>
    <row r="725" spans="1:23" x14ac:dyDescent="0.25">
      <c r="A725" s="1" t="s">
        <v>48</v>
      </c>
      <c r="B725" s="1" t="s">
        <v>2413</v>
      </c>
      <c r="C725" s="1" t="s">
        <v>50</v>
      </c>
      <c r="D725" s="1" t="s">
        <v>3276</v>
      </c>
      <c r="E725" s="1" t="s">
        <v>3277</v>
      </c>
      <c r="F725" s="22" t="s">
        <v>6085</v>
      </c>
      <c r="G725" s="1" t="s">
        <v>6</v>
      </c>
      <c r="H725" s="1" t="s">
        <v>20</v>
      </c>
      <c r="I725" s="1" t="s">
        <v>25</v>
      </c>
      <c r="J725" s="1" t="s">
        <v>9</v>
      </c>
      <c r="K725" s="1" t="s">
        <v>14</v>
      </c>
      <c r="L725" s="1" t="s">
        <v>14</v>
      </c>
      <c r="M725" s="1" t="s">
        <v>78</v>
      </c>
      <c r="N725" s="1" t="s">
        <v>188</v>
      </c>
      <c r="O725" s="2" t="s">
        <v>6235</v>
      </c>
      <c r="P725" s="1" t="s">
        <v>924</v>
      </c>
      <c r="Q725" s="1" t="s">
        <v>5862</v>
      </c>
      <c r="R725" s="1" t="s">
        <v>4707</v>
      </c>
      <c r="S725" s="8">
        <v>46037</v>
      </c>
      <c r="T725" s="1">
        <v>1</v>
      </c>
      <c r="U725" s="1" t="s">
        <v>4708</v>
      </c>
      <c r="V725" s="1" t="s">
        <v>1388</v>
      </c>
      <c r="W725" s="1" t="s">
        <v>1388</v>
      </c>
    </row>
    <row r="726" spans="1:23" x14ac:dyDescent="0.25">
      <c r="A726" s="1" t="s">
        <v>48</v>
      </c>
      <c r="B726" s="1" t="s">
        <v>2414</v>
      </c>
      <c r="C726" s="1" t="s">
        <v>50</v>
      </c>
      <c r="D726" s="1" t="s">
        <v>3278</v>
      </c>
      <c r="E726" s="1" t="s">
        <v>3279</v>
      </c>
      <c r="F726" s="22" t="s">
        <v>6085</v>
      </c>
      <c r="G726" s="1" t="s">
        <v>5</v>
      </c>
      <c r="H726" s="1" t="s">
        <v>20</v>
      </c>
      <c r="I726" s="1" t="s">
        <v>25</v>
      </c>
      <c r="J726" s="1" t="s">
        <v>9</v>
      </c>
      <c r="K726" s="1" t="s">
        <v>13</v>
      </c>
      <c r="L726" s="1" t="s">
        <v>13</v>
      </c>
      <c r="M726" s="1" t="s">
        <v>78</v>
      </c>
      <c r="N726" s="1" t="s">
        <v>5240</v>
      </c>
      <c r="O726" s="1" t="s">
        <v>6037</v>
      </c>
      <c r="P726" s="1" t="s">
        <v>247</v>
      </c>
      <c r="Q726" s="1" t="s">
        <v>5863</v>
      </c>
      <c r="R726" s="1" t="s">
        <v>4709</v>
      </c>
      <c r="S726" s="8">
        <v>46034</v>
      </c>
      <c r="T726" s="1">
        <v>3</v>
      </c>
      <c r="U726" s="1" t="s">
        <v>4710</v>
      </c>
      <c r="V726" s="1" t="s">
        <v>4711</v>
      </c>
      <c r="W726" s="1" t="s">
        <v>4712</v>
      </c>
    </row>
    <row r="727" spans="1:23" x14ac:dyDescent="0.25">
      <c r="A727" s="1" t="s">
        <v>48</v>
      </c>
      <c r="B727" s="1" t="s">
        <v>2415</v>
      </c>
      <c r="C727" s="1" t="s">
        <v>50</v>
      </c>
      <c r="D727" s="1" t="s">
        <v>3280</v>
      </c>
      <c r="E727" s="1" t="s">
        <v>3281</v>
      </c>
      <c r="F727" s="22" t="s">
        <v>6085</v>
      </c>
      <c r="G727" s="1" t="s">
        <v>7</v>
      </c>
      <c r="H727" s="1" t="s">
        <v>20</v>
      </c>
      <c r="I727" s="1" t="s">
        <v>26</v>
      </c>
      <c r="J727" s="1" t="s">
        <v>9</v>
      </c>
      <c r="K727" s="1" t="s">
        <v>19</v>
      </c>
      <c r="L727" s="1" t="s">
        <v>19</v>
      </c>
      <c r="M727" s="1" t="s">
        <v>78</v>
      </c>
      <c r="N727" s="11" t="s">
        <v>188</v>
      </c>
      <c r="O727" s="2" t="s">
        <v>6235</v>
      </c>
      <c r="P727" s="1" t="s">
        <v>656</v>
      </c>
      <c r="Q727" s="1" t="s">
        <v>5864</v>
      </c>
      <c r="R727" s="1" t="s">
        <v>4713</v>
      </c>
      <c r="S727" s="8">
        <v>46023</v>
      </c>
      <c r="T727" s="1">
        <v>2</v>
      </c>
      <c r="U727" s="1" t="s">
        <v>4665</v>
      </c>
      <c r="V727" s="1" t="s">
        <v>4665</v>
      </c>
      <c r="W727" s="1" t="s">
        <v>1388</v>
      </c>
    </row>
    <row r="728" spans="1:23" x14ac:dyDescent="0.25">
      <c r="A728" s="1" t="s">
        <v>48</v>
      </c>
      <c r="B728" s="1" t="s">
        <v>2416</v>
      </c>
      <c r="C728" s="1" t="s">
        <v>50</v>
      </c>
      <c r="D728" s="1" t="s">
        <v>3282</v>
      </c>
      <c r="E728" s="1" t="s">
        <v>3283</v>
      </c>
      <c r="F728" s="22" t="s">
        <v>6085</v>
      </c>
      <c r="G728" s="1" t="s">
        <v>6</v>
      </c>
      <c r="H728" s="1" t="s">
        <v>20</v>
      </c>
      <c r="I728" s="1" t="s">
        <v>25</v>
      </c>
      <c r="J728" s="1" t="s">
        <v>9</v>
      </c>
      <c r="K728" s="1" t="s">
        <v>10</v>
      </c>
      <c r="L728" s="1" t="s">
        <v>16</v>
      </c>
      <c r="M728" s="1" t="s">
        <v>78</v>
      </c>
      <c r="N728" s="1" t="s">
        <v>1013</v>
      </c>
      <c r="O728" s="1" t="s">
        <v>6037</v>
      </c>
      <c r="P728" s="1" t="s">
        <v>3905</v>
      </c>
      <c r="Q728" s="18" t="s">
        <v>5865</v>
      </c>
      <c r="R728" s="10" t="s">
        <v>4714</v>
      </c>
      <c r="S728" s="8">
        <v>46056</v>
      </c>
      <c r="T728" s="1">
        <v>1</v>
      </c>
      <c r="U728" s="1" t="s">
        <v>190</v>
      </c>
      <c r="V728" s="1" t="s">
        <v>1388</v>
      </c>
      <c r="W728" s="1" t="s">
        <v>1388</v>
      </c>
    </row>
    <row r="729" spans="1:23" x14ac:dyDescent="0.25">
      <c r="A729" s="1" t="s">
        <v>48</v>
      </c>
      <c r="B729" s="1" t="s">
        <v>2417</v>
      </c>
      <c r="C729" s="1" t="s">
        <v>50</v>
      </c>
      <c r="D729" s="1" t="s">
        <v>3284</v>
      </c>
      <c r="E729" s="1" t="s">
        <v>3285</v>
      </c>
      <c r="F729" s="22" t="s">
        <v>3</v>
      </c>
      <c r="G729" s="1" t="s">
        <v>5</v>
      </c>
      <c r="H729" s="1" t="s">
        <v>24</v>
      </c>
      <c r="I729" s="1" t="s">
        <v>25</v>
      </c>
      <c r="J729" s="1" t="s">
        <v>9</v>
      </c>
      <c r="K729" s="1" t="s">
        <v>14</v>
      </c>
      <c r="L729" s="1" t="s">
        <v>14</v>
      </c>
      <c r="M729" s="1" t="s">
        <v>78</v>
      </c>
      <c r="N729" s="11" t="s">
        <v>188</v>
      </c>
      <c r="O729" s="1" t="s">
        <v>6037</v>
      </c>
      <c r="P729" s="1" t="s">
        <v>66</v>
      </c>
      <c r="Q729" s="1" t="s">
        <v>5866</v>
      </c>
      <c r="R729" s="7" t="s">
        <v>4715</v>
      </c>
      <c r="S729" s="8">
        <v>46023</v>
      </c>
      <c r="T729" s="1">
        <v>3</v>
      </c>
      <c r="U729" s="1" t="s">
        <v>4716</v>
      </c>
      <c r="V729" s="1" t="s">
        <v>4717</v>
      </c>
      <c r="W729" s="1" t="s">
        <v>4718</v>
      </c>
    </row>
    <row r="730" spans="1:23" x14ac:dyDescent="0.25">
      <c r="A730" s="1" t="s">
        <v>48</v>
      </c>
      <c r="B730" s="1" t="s">
        <v>2418</v>
      </c>
      <c r="C730" s="1" t="s">
        <v>50</v>
      </c>
      <c r="D730" s="1" t="s">
        <v>3286</v>
      </c>
      <c r="E730" s="1" t="s">
        <v>3287</v>
      </c>
      <c r="F730" s="22" t="s">
        <v>6085</v>
      </c>
      <c r="G730" s="1" t="s">
        <v>6</v>
      </c>
      <c r="H730" s="1" t="s">
        <v>20</v>
      </c>
      <c r="I730" s="1" t="s">
        <v>26</v>
      </c>
      <c r="J730" s="1" t="s">
        <v>9</v>
      </c>
      <c r="K730" s="1" t="s">
        <v>12</v>
      </c>
      <c r="L730" s="1" t="s">
        <v>12</v>
      </c>
      <c r="M730" s="1" t="s">
        <v>78</v>
      </c>
      <c r="N730" s="1" t="s">
        <v>188</v>
      </c>
      <c r="O730" s="2" t="s">
        <v>6235</v>
      </c>
      <c r="P730" s="1" t="s">
        <v>4719</v>
      </c>
      <c r="Q730" s="1" t="s">
        <v>5867</v>
      </c>
      <c r="R730" s="1" t="s">
        <v>4720</v>
      </c>
      <c r="S730" s="8">
        <v>46076</v>
      </c>
      <c r="T730" s="1">
        <v>2</v>
      </c>
      <c r="U730" s="1" t="s">
        <v>4721</v>
      </c>
      <c r="V730" s="1" t="s">
        <v>4721</v>
      </c>
      <c r="W730" s="1" t="s">
        <v>1388</v>
      </c>
    </row>
    <row r="731" spans="1:23" x14ac:dyDescent="0.25">
      <c r="A731" s="1" t="s">
        <v>48</v>
      </c>
      <c r="B731" s="1" t="s">
        <v>2419</v>
      </c>
      <c r="C731" s="1" t="s">
        <v>50</v>
      </c>
      <c r="D731" s="1" t="s">
        <v>3288</v>
      </c>
      <c r="E731" s="1" t="s">
        <v>3289</v>
      </c>
      <c r="F731" s="22" t="s">
        <v>6085</v>
      </c>
      <c r="G731" s="1" t="s">
        <v>1383</v>
      </c>
      <c r="H731" s="1" t="s">
        <v>24</v>
      </c>
      <c r="I731" s="1" t="s">
        <v>26</v>
      </c>
      <c r="J731" s="1" t="s">
        <v>8</v>
      </c>
      <c r="K731" s="1" t="s">
        <v>12</v>
      </c>
      <c r="L731" s="1" t="s">
        <v>12</v>
      </c>
      <c r="M731" s="1" t="s">
        <v>78</v>
      </c>
      <c r="N731" s="11" t="s">
        <v>188</v>
      </c>
      <c r="O731" s="1" t="s">
        <v>6037</v>
      </c>
      <c r="P731" s="1" t="s">
        <v>4722</v>
      </c>
      <c r="Q731" s="1" t="s">
        <v>5868</v>
      </c>
      <c r="R731" s="1" t="s">
        <v>4723</v>
      </c>
      <c r="S731" s="8">
        <v>46113</v>
      </c>
      <c r="T731" s="1">
        <v>1</v>
      </c>
      <c r="U731" s="1" t="s">
        <v>4724</v>
      </c>
      <c r="V731" s="1" t="s">
        <v>1388</v>
      </c>
      <c r="W731" s="1" t="s">
        <v>1388</v>
      </c>
    </row>
    <row r="732" spans="1:23" x14ac:dyDescent="0.25">
      <c r="A732" s="1" t="s">
        <v>48</v>
      </c>
      <c r="B732" s="1" t="s">
        <v>2420</v>
      </c>
      <c r="C732" s="1" t="s">
        <v>50</v>
      </c>
      <c r="D732" s="1" t="s">
        <v>3290</v>
      </c>
      <c r="E732" s="1" t="s">
        <v>3291</v>
      </c>
      <c r="F732" s="22" t="s">
        <v>6085</v>
      </c>
      <c r="G732" s="1" t="s">
        <v>6</v>
      </c>
      <c r="H732" s="1" t="s">
        <v>20</v>
      </c>
      <c r="I732" s="1" t="s">
        <v>25</v>
      </c>
      <c r="J732" s="1" t="s">
        <v>9</v>
      </c>
      <c r="K732" s="1" t="s">
        <v>10</v>
      </c>
      <c r="L732" s="1" t="s">
        <v>16</v>
      </c>
      <c r="M732" s="1" t="s">
        <v>78</v>
      </c>
      <c r="N732" s="11" t="s">
        <v>188</v>
      </c>
      <c r="O732" s="1" t="s">
        <v>6037</v>
      </c>
      <c r="P732" s="1" t="s">
        <v>162</v>
      </c>
      <c r="Q732" s="18" t="s">
        <v>5869</v>
      </c>
      <c r="R732" s="1" t="s">
        <v>4725</v>
      </c>
      <c r="S732" s="8">
        <v>46032</v>
      </c>
      <c r="T732" s="1">
        <v>1</v>
      </c>
      <c r="U732" s="1" t="s">
        <v>4726</v>
      </c>
      <c r="V732" s="1" t="s">
        <v>1388</v>
      </c>
      <c r="W732" s="1" t="s">
        <v>1388</v>
      </c>
    </row>
    <row r="733" spans="1:23" x14ac:dyDescent="0.25">
      <c r="A733" s="1" t="s">
        <v>48</v>
      </c>
      <c r="B733" s="1" t="s">
        <v>2421</v>
      </c>
      <c r="C733" s="1" t="s">
        <v>50</v>
      </c>
      <c r="D733" s="1" t="s">
        <v>3292</v>
      </c>
      <c r="E733" s="1" t="s">
        <v>3293</v>
      </c>
      <c r="F733" s="22" t="s">
        <v>6085</v>
      </c>
      <c r="G733" s="1" t="s">
        <v>6</v>
      </c>
      <c r="H733" s="1" t="s">
        <v>20</v>
      </c>
      <c r="I733" s="1" t="s">
        <v>25</v>
      </c>
      <c r="J733" s="1" t="s">
        <v>9</v>
      </c>
      <c r="K733" s="1" t="s">
        <v>19</v>
      </c>
      <c r="L733" s="1" t="s">
        <v>19</v>
      </c>
      <c r="M733" s="1" t="s">
        <v>78</v>
      </c>
      <c r="N733" s="11" t="s">
        <v>188</v>
      </c>
      <c r="O733" s="1" t="s">
        <v>6037</v>
      </c>
      <c r="P733" s="1" t="s">
        <v>4168</v>
      </c>
      <c r="Q733" s="1" t="s">
        <v>5870</v>
      </c>
      <c r="R733" s="1" t="s">
        <v>4727</v>
      </c>
      <c r="S733" s="8">
        <v>46055</v>
      </c>
      <c r="T733" s="1">
        <v>2</v>
      </c>
      <c r="U733" s="1" t="s">
        <v>4728</v>
      </c>
      <c r="V733" s="1" t="s">
        <v>4729</v>
      </c>
      <c r="W733" s="1" t="s">
        <v>1388</v>
      </c>
    </row>
    <row r="734" spans="1:23" x14ac:dyDescent="0.25">
      <c r="A734" s="1" t="s">
        <v>48</v>
      </c>
      <c r="B734" s="1" t="s">
        <v>2422</v>
      </c>
      <c r="C734" s="1" t="s">
        <v>50</v>
      </c>
      <c r="D734" s="1" t="s">
        <v>3294</v>
      </c>
      <c r="E734" s="1" t="s">
        <v>3295</v>
      </c>
      <c r="F734" s="22" t="s">
        <v>5259</v>
      </c>
      <c r="G734" s="1" t="s">
        <v>6</v>
      </c>
      <c r="H734" s="1" t="s">
        <v>21</v>
      </c>
      <c r="I734" s="1" t="s">
        <v>26</v>
      </c>
      <c r="J734" s="1" t="s">
        <v>8</v>
      </c>
      <c r="K734" s="1" t="s">
        <v>12</v>
      </c>
      <c r="L734" s="1" t="s">
        <v>12</v>
      </c>
      <c r="M734" s="1" t="s">
        <v>78</v>
      </c>
      <c r="N734" s="14" t="s">
        <v>1664</v>
      </c>
      <c r="O734" s="1" t="s">
        <v>6037</v>
      </c>
      <c r="P734" s="1" t="s">
        <v>4730</v>
      </c>
      <c r="Q734" s="1" t="s">
        <v>1454</v>
      </c>
      <c r="R734" s="1" t="s">
        <v>4731</v>
      </c>
      <c r="S734" s="9">
        <v>45894</v>
      </c>
      <c r="T734" s="1">
        <v>3</v>
      </c>
      <c r="U734" s="1" t="s">
        <v>4732</v>
      </c>
      <c r="V734" s="1" t="s">
        <v>4733</v>
      </c>
      <c r="W734" s="1" t="s">
        <v>4734</v>
      </c>
    </row>
    <row r="735" spans="1:23" x14ac:dyDescent="0.25">
      <c r="A735" s="1" t="s">
        <v>48</v>
      </c>
      <c r="B735" s="1" t="s">
        <v>2423</v>
      </c>
      <c r="C735" s="1" t="s">
        <v>50</v>
      </c>
      <c r="D735" s="1" t="s">
        <v>3296</v>
      </c>
      <c r="E735" s="1" t="s">
        <v>3297</v>
      </c>
      <c r="F735" s="22" t="s">
        <v>6085</v>
      </c>
      <c r="G735" s="1" t="s">
        <v>6</v>
      </c>
      <c r="H735" s="1" t="s">
        <v>20</v>
      </c>
      <c r="I735" s="1" t="s">
        <v>25</v>
      </c>
      <c r="J735" s="1" t="s">
        <v>9</v>
      </c>
      <c r="K735" s="1" t="s">
        <v>13</v>
      </c>
      <c r="L735" s="1" t="s">
        <v>13</v>
      </c>
      <c r="M735" s="1" t="s">
        <v>78</v>
      </c>
      <c r="N735" s="11" t="s">
        <v>188</v>
      </c>
      <c r="O735" s="1" t="s">
        <v>6037</v>
      </c>
      <c r="P735" s="1" t="s">
        <v>126</v>
      </c>
      <c r="Q735" s="1" t="s">
        <v>5871</v>
      </c>
      <c r="R735" s="1" t="s">
        <v>4735</v>
      </c>
      <c r="S735" s="8">
        <v>45670</v>
      </c>
      <c r="T735" s="1">
        <v>1</v>
      </c>
      <c r="U735" s="1" t="s">
        <v>4610</v>
      </c>
      <c r="V735" s="1" t="s">
        <v>1388</v>
      </c>
      <c r="W735" s="1" t="s">
        <v>1388</v>
      </c>
    </row>
    <row r="736" spans="1:23" x14ac:dyDescent="0.25">
      <c r="A736" s="1" t="s">
        <v>48</v>
      </c>
      <c r="B736" s="1" t="s">
        <v>2424</v>
      </c>
      <c r="C736" s="1" t="s">
        <v>50</v>
      </c>
      <c r="D736" s="1" t="s">
        <v>3298</v>
      </c>
      <c r="E736" s="1" t="s">
        <v>3299</v>
      </c>
      <c r="F736" s="22" t="s">
        <v>6085</v>
      </c>
      <c r="G736" s="1" t="s">
        <v>5</v>
      </c>
      <c r="H736" s="1" t="s">
        <v>20</v>
      </c>
      <c r="I736" s="1" t="s">
        <v>26</v>
      </c>
      <c r="J736" s="1" t="s">
        <v>9</v>
      </c>
      <c r="K736" s="1" t="s">
        <v>13</v>
      </c>
      <c r="L736" s="1" t="s">
        <v>13</v>
      </c>
      <c r="M736" s="1" t="s">
        <v>78</v>
      </c>
      <c r="N736" s="11" t="s">
        <v>188</v>
      </c>
      <c r="O736" s="1" t="s">
        <v>6037</v>
      </c>
      <c r="P736" s="1" t="s">
        <v>126</v>
      </c>
      <c r="Q736" s="1" t="s">
        <v>5872</v>
      </c>
      <c r="R736" s="1" t="s">
        <v>4736</v>
      </c>
      <c r="S736" s="8">
        <v>46054</v>
      </c>
      <c r="T736" s="1">
        <v>3</v>
      </c>
      <c r="U736" s="1" t="s">
        <v>4737</v>
      </c>
      <c r="V736" s="1" t="s">
        <v>4737</v>
      </c>
      <c r="W736" s="1" t="s">
        <v>4737</v>
      </c>
    </row>
    <row r="737" spans="1:23" x14ac:dyDescent="0.25">
      <c r="A737" s="1" t="s">
        <v>48</v>
      </c>
      <c r="B737" s="1" t="s">
        <v>2425</v>
      </c>
      <c r="C737" s="1" t="s">
        <v>50</v>
      </c>
      <c r="D737" s="1" t="s">
        <v>3300</v>
      </c>
      <c r="E737" s="1" t="s">
        <v>3301</v>
      </c>
      <c r="F737" s="22" t="s">
        <v>6085</v>
      </c>
      <c r="G737" s="1" t="s">
        <v>6</v>
      </c>
      <c r="H737" s="1" t="s">
        <v>20</v>
      </c>
      <c r="I737" s="1" t="s">
        <v>25</v>
      </c>
      <c r="J737" s="1" t="s">
        <v>9</v>
      </c>
      <c r="K737" s="1" t="s">
        <v>14</v>
      </c>
      <c r="L737" s="1" t="s">
        <v>14</v>
      </c>
      <c r="M737" s="1" t="s">
        <v>78</v>
      </c>
      <c r="N737" s="11" t="s">
        <v>188</v>
      </c>
      <c r="O737" s="1" t="s">
        <v>6037</v>
      </c>
      <c r="P737" s="1" t="s">
        <v>593</v>
      </c>
      <c r="Q737" s="1" t="s">
        <v>5417</v>
      </c>
      <c r="R737" s="1" t="s">
        <v>4738</v>
      </c>
      <c r="S737" s="8">
        <v>46024</v>
      </c>
      <c r="T737" s="1">
        <v>1</v>
      </c>
      <c r="U737" s="1" t="s">
        <v>512</v>
      </c>
      <c r="V737" s="1" t="s">
        <v>1388</v>
      </c>
      <c r="W737" s="1" t="s">
        <v>1388</v>
      </c>
    </row>
    <row r="738" spans="1:23" x14ac:dyDescent="0.25">
      <c r="A738" s="1" t="s">
        <v>48</v>
      </c>
      <c r="B738" s="1" t="s">
        <v>2426</v>
      </c>
      <c r="C738" s="1" t="s">
        <v>50</v>
      </c>
      <c r="D738" s="1" t="s">
        <v>3302</v>
      </c>
      <c r="E738" s="1" t="s">
        <v>3303</v>
      </c>
      <c r="F738" s="22" t="s">
        <v>6085</v>
      </c>
      <c r="G738" s="1" t="s">
        <v>6</v>
      </c>
      <c r="H738" s="1" t="s">
        <v>20</v>
      </c>
      <c r="I738" s="1" t="s">
        <v>26</v>
      </c>
      <c r="J738" s="1" t="s">
        <v>9</v>
      </c>
      <c r="K738" s="1" t="s">
        <v>14</v>
      </c>
      <c r="L738" s="1" t="s">
        <v>14</v>
      </c>
      <c r="M738" s="1" t="s">
        <v>78</v>
      </c>
      <c r="N738" s="1" t="s">
        <v>1013</v>
      </c>
      <c r="O738" s="1" t="s">
        <v>6037</v>
      </c>
      <c r="P738" s="1" t="s">
        <v>4739</v>
      </c>
      <c r="Q738" s="1" t="s">
        <v>5873</v>
      </c>
      <c r="R738" s="1" t="s">
        <v>4740</v>
      </c>
      <c r="S738" s="8">
        <v>45857</v>
      </c>
      <c r="T738" s="1">
        <v>2</v>
      </c>
      <c r="U738" s="1" t="s">
        <v>4741</v>
      </c>
      <c r="V738" s="1" t="s">
        <v>4742</v>
      </c>
      <c r="W738" s="1" t="s">
        <v>1388</v>
      </c>
    </row>
    <row r="739" spans="1:23" x14ac:dyDescent="0.25">
      <c r="A739" s="1" t="s">
        <v>48</v>
      </c>
      <c r="B739" s="1" t="s">
        <v>2427</v>
      </c>
      <c r="C739" s="1" t="s">
        <v>50</v>
      </c>
      <c r="D739" s="1" t="s">
        <v>3304</v>
      </c>
      <c r="E739" s="1" t="s">
        <v>3305</v>
      </c>
      <c r="F739" s="22" t="s">
        <v>3</v>
      </c>
      <c r="G739" s="1" t="s">
        <v>6</v>
      </c>
      <c r="H739" s="1" t="s">
        <v>24</v>
      </c>
      <c r="I739" s="1" t="s">
        <v>25</v>
      </c>
      <c r="J739" s="1" t="s">
        <v>8</v>
      </c>
      <c r="K739" s="1" t="s">
        <v>15</v>
      </c>
      <c r="L739" s="1" t="s">
        <v>15</v>
      </c>
      <c r="M739" s="1" t="s">
        <v>78</v>
      </c>
      <c r="N739" s="11" t="s">
        <v>188</v>
      </c>
      <c r="O739" s="1" t="s">
        <v>6037</v>
      </c>
      <c r="P739" s="1" t="s">
        <v>4743</v>
      </c>
      <c r="Q739" s="1" t="s">
        <v>15</v>
      </c>
      <c r="R739" s="7" t="s">
        <v>4744</v>
      </c>
      <c r="S739" s="8">
        <v>46027</v>
      </c>
      <c r="T739" s="1">
        <v>2</v>
      </c>
      <c r="U739" s="1" t="s">
        <v>4745</v>
      </c>
      <c r="V739" s="1" t="s">
        <v>4745</v>
      </c>
      <c r="W739" s="1" t="s">
        <v>1388</v>
      </c>
    </row>
    <row r="740" spans="1:23" x14ac:dyDescent="0.25">
      <c r="A740" s="1" t="s">
        <v>48</v>
      </c>
      <c r="B740" s="1" t="s">
        <v>2428</v>
      </c>
      <c r="C740" s="1" t="s">
        <v>50</v>
      </c>
      <c r="D740" s="1" t="s">
        <v>3306</v>
      </c>
      <c r="E740" s="1" t="s">
        <v>3307</v>
      </c>
      <c r="F740" s="22" t="s">
        <v>6085</v>
      </c>
      <c r="G740" s="1" t="s">
        <v>6</v>
      </c>
      <c r="H740" s="1" t="s">
        <v>20</v>
      </c>
      <c r="I740" s="1" t="s">
        <v>26</v>
      </c>
      <c r="J740" s="1" t="s">
        <v>9</v>
      </c>
      <c r="K740" s="1" t="s">
        <v>14</v>
      </c>
      <c r="L740" s="1" t="s">
        <v>14</v>
      </c>
      <c r="M740" s="1" t="s">
        <v>78</v>
      </c>
      <c r="N740" s="11" t="s">
        <v>188</v>
      </c>
      <c r="O740" s="1" t="s">
        <v>6037</v>
      </c>
      <c r="P740" s="1" t="s">
        <v>4746</v>
      </c>
      <c r="Q740" s="1" t="s">
        <v>5874</v>
      </c>
      <c r="R740" s="1" t="s">
        <v>4747</v>
      </c>
      <c r="S740" s="8">
        <v>46023</v>
      </c>
      <c r="T740" s="1">
        <v>2</v>
      </c>
      <c r="U740" s="1" t="s">
        <v>4748</v>
      </c>
      <c r="V740" s="1" t="s">
        <v>4748</v>
      </c>
      <c r="W740" s="1" t="s">
        <v>1388</v>
      </c>
    </row>
    <row r="741" spans="1:23" x14ac:dyDescent="0.25">
      <c r="A741" s="1" t="s">
        <v>48</v>
      </c>
      <c r="B741" s="1" t="s">
        <v>2429</v>
      </c>
      <c r="C741" s="1" t="s">
        <v>50</v>
      </c>
      <c r="D741" s="1" t="s">
        <v>3308</v>
      </c>
      <c r="E741" s="1" t="s">
        <v>3309</v>
      </c>
      <c r="F741" s="22" t="s">
        <v>6085</v>
      </c>
      <c r="G741" s="1" t="s">
        <v>6</v>
      </c>
      <c r="H741" s="1" t="s">
        <v>24</v>
      </c>
      <c r="I741" s="1" t="s">
        <v>25</v>
      </c>
      <c r="J741" s="1" t="s">
        <v>9</v>
      </c>
      <c r="K741" s="1" t="s">
        <v>16</v>
      </c>
      <c r="L741" s="1" t="s">
        <v>16</v>
      </c>
      <c r="M741" s="1" t="s">
        <v>78</v>
      </c>
      <c r="N741" s="11" t="s">
        <v>188</v>
      </c>
      <c r="O741" s="1" t="s">
        <v>6037</v>
      </c>
      <c r="P741" s="1" t="s">
        <v>126</v>
      </c>
      <c r="Q741" s="1" t="s">
        <v>5875</v>
      </c>
      <c r="R741" s="1" t="s">
        <v>4749</v>
      </c>
      <c r="S741" s="8">
        <v>46023</v>
      </c>
      <c r="T741" s="1">
        <v>1</v>
      </c>
      <c r="U741" s="1" t="s">
        <v>4750</v>
      </c>
      <c r="V741" s="1" t="s">
        <v>1388</v>
      </c>
      <c r="W741" s="1" t="s">
        <v>1388</v>
      </c>
    </row>
    <row r="742" spans="1:23" x14ac:dyDescent="0.25">
      <c r="A742" s="1" t="s">
        <v>48</v>
      </c>
      <c r="B742" s="1" t="s">
        <v>2430</v>
      </c>
      <c r="C742" s="1" t="s">
        <v>50</v>
      </c>
      <c r="D742" s="1" t="s">
        <v>3310</v>
      </c>
      <c r="E742" s="1" t="s">
        <v>3311</v>
      </c>
      <c r="F742" s="22" t="s">
        <v>6085</v>
      </c>
      <c r="G742" s="1" t="s">
        <v>5</v>
      </c>
      <c r="H742" s="1" t="s">
        <v>20</v>
      </c>
      <c r="I742" s="1" t="s">
        <v>25</v>
      </c>
      <c r="J742" s="1" t="s">
        <v>9</v>
      </c>
      <c r="K742" s="1" t="s">
        <v>13</v>
      </c>
      <c r="L742" s="1" t="s">
        <v>16</v>
      </c>
      <c r="M742" s="1" t="s">
        <v>78</v>
      </c>
      <c r="N742" s="11" t="s">
        <v>188</v>
      </c>
      <c r="O742" s="1" t="s">
        <v>6037</v>
      </c>
      <c r="P742" s="1" t="s">
        <v>60</v>
      </c>
      <c r="Q742" s="1" t="s">
        <v>5876</v>
      </c>
      <c r="R742" s="1" t="s">
        <v>4751</v>
      </c>
      <c r="S742" s="8">
        <v>46054</v>
      </c>
      <c r="T742" s="1">
        <v>3</v>
      </c>
      <c r="U742" s="1" t="s">
        <v>4752</v>
      </c>
      <c r="V742" s="1" t="s">
        <v>4583</v>
      </c>
      <c r="W742" s="1" t="s">
        <v>4753</v>
      </c>
    </row>
    <row r="743" spans="1:23" x14ac:dyDescent="0.25">
      <c r="A743" s="1" t="s">
        <v>48</v>
      </c>
      <c r="B743" s="1" t="s">
        <v>2431</v>
      </c>
      <c r="C743" s="1" t="s">
        <v>50</v>
      </c>
      <c r="D743" s="1" t="s">
        <v>3312</v>
      </c>
      <c r="E743" s="1" t="s">
        <v>3313</v>
      </c>
      <c r="F743" s="22" t="s">
        <v>6085</v>
      </c>
      <c r="G743" s="1" t="s">
        <v>5</v>
      </c>
      <c r="H743" s="1" t="s">
        <v>24</v>
      </c>
      <c r="I743" s="1" t="s">
        <v>25</v>
      </c>
      <c r="J743" s="1" t="s">
        <v>9</v>
      </c>
      <c r="K743" s="1" t="s">
        <v>13</v>
      </c>
      <c r="L743" s="1" t="s">
        <v>13</v>
      </c>
      <c r="M743" s="1" t="s">
        <v>78</v>
      </c>
      <c r="N743" s="11" t="s">
        <v>188</v>
      </c>
      <c r="O743" s="1" t="s">
        <v>6037</v>
      </c>
      <c r="P743" s="1" t="s">
        <v>126</v>
      </c>
      <c r="Q743" s="1" t="s">
        <v>5877</v>
      </c>
      <c r="R743" s="1" t="s">
        <v>4754</v>
      </c>
      <c r="S743" s="8">
        <v>46054</v>
      </c>
      <c r="T743" s="1">
        <v>2</v>
      </c>
      <c r="U743" s="1" t="s">
        <v>4755</v>
      </c>
      <c r="V743" s="1" t="s">
        <v>4755</v>
      </c>
      <c r="W743" s="1" t="s">
        <v>1388</v>
      </c>
    </row>
    <row r="744" spans="1:23" x14ac:dyDescent="0.25">
      <c r="A744" s="1" t="s">
        <v>48</v>
      </c>
      <c r="B744" s="1" t="s">
        <v>2432</v>
      </c>
      <c r="C744" s="1" t="s">
        <v>50</v>
      </c>
      <c r="D744" s="1" t="s">
        <v>3314</v>
      </c>
      <c r="E744" s="1" t="s">
        <v>3315</v>
      </c>
      <c r="F744" s="22" t="s">
        <v>6085</v>
      </c>
      <c r="G744" s="1" t="s">
        <v>6</v>
      </c>
      <c r="H744" s="1" t="s">
        <v>20</v>
      </c>
      <c r="I744" s="1" t="s">
        <v>25</v>
      </c>
      <c r="J744" s="1" t="s">
        <v>9</v>
      </c>
      <c r="K744" s="1" t="s">
        <v>16</v>
      </c>
      <c r="L744" s="1" t="s">
        <v>10</v>
      </c>
      <c r="M744" s="1" t="s">
        <v>78</v>
      </c>
      <c r="N744" s="11" t="s">
        <v>188</v>
      </c>
      <c r="O744" s="1" t="s">
        <v>6037</v>
      </c>
      <c r="P744" s="1" t="s">
        <v>247</v>
      </c>
      <c r="Q744" s="1" t="s">
        <v>5878</v>
      </c>
      <c r="R744" s="1" t="s">
        <v>4756</v>
      </c>
      <c r="S744" s="8">
        <v>46023</v>
      </c>
      <c r="T744" s="1">
        <v>2</v>
      </c>
      <c r="U744" s="1" t="s">
        <v>280</v>
      </c>
      <c r="V744" s="1" t="s">
        <v>280</v>
      </c>
      <c r="W744" s="1" t="s">
        <v>1388</v>
      </c>
    </row>
    <row r="745" spans="1:23" x14ac:dyDescent="0.25">
      <c r="A745" s="1" t="s">
        <v>48</v>
      </c>
      <c r="B745" s="1" t="s">
        <v>2433</v>
      </c>
      <c r="C745" s="1" t="s">
        <v>50</v>
      </c>
      <c r="D745" s="1" t="s">
        <v>2804</v>
      </c>
      <c r="E745" s="1" t="s">
        <v>3316</v>
      </c>
      <c r="F745" s="22" t="s">
        <v>6085</v>
      </c>
      <c r="G745" s="1" t="s">
        <v>6</v>
      </c>
      <c r="H745" s="1" t="s">
        <v>20</v>
      </c>
      <c r="I745" s="1" t="s">
        <v>25</v>
      </c>
      <c r="J745" s="1" t="s">
        <v>9</v>
      </c>
      <c r="K745" s="1" t="s">
        <v>13</v>
      </c>
      <c r="L745" s="1" t="s">
        <v>13</v>
      </c>
      <c r="M745" s="1" t="s">
        <v>78</v>
      </c>
      <c r="N745" s="11" t="s">
        <v>188</v>
      </c>
      <c r="O745" s="2" t="s">
        <v>6235</v>
      </c>
      <c r="P745" s="1" t="s">
        <v>1456</v>
      </c>
      <c r="Q745" s="1" t="s">
        <v>5879</v>
      </c>
      <c r="R745" s="1" t="s">
        <v>4757</v>
      </c>
      <c r="S745" s="8">
        <v>46027</v>
      </c>
      <c r="T745" s="1">
        <v>1</v>
      </c>
      <c r="U745" s="1" t="s">
        <v>4758</v>
      </c>
      <c r="V745" s="1" t="s">
        <v>1388</v>
      </c>
      <c r="W745" s="1" t="s">
        <v>1388</v>
      </c>
    </row>
    <row r="746" spans="1:23" x14ac:dyDescent="0.25">
      <c r="A746" s="1" t="s">
        <v>48</v>
      </c>
      <c r="B746" s="1" t="s">
        <v>2434</v>
      </c>
      <c r="C746" s="1" t="s">
        <v>50</v>
      </c>
      <c r="D746" s="1" t="s">
        <v>3317</v>
      </c>
      <c r="E746" s="1" t="s">
        <v>3318</v>
      </c>
      <c r="F746" s="22" t="s">
        <v>3</v>
      </c>
      <c r="G746" s="1" t="s">
        <v>6</v>
      </c>
      <c r="H746" s="1" t="s">
        <v>20</v>
      </c>
      <c r="I746" s="1" t="s">
        <v>25</v>
      </c>
      <c r="J746" s="1" t="s">
        <v>9</v>
      </c>
      <c r="K746" s="1" t="s">
        <v>13</v>
      </c>
      <c r="L746" s="1" t="s">
        <v>13</v>
      </c>
      <c r="M746" s="1" t="s">
        <v>78</v>
      </c>
      <c r="N746" s="1" t="s">
        <v>1013</v>
      </c>
      <c r="O746" s="1" t="s">
        <v>6037</v>
      </c>
      <c r="P746" s="1" t="s">
        <v>126</v>
      </c>
      <c r="Q746" s="1" t="s">
        <v>5880</v>
      </c>
      <c r="R746" s="7" t="s">
        <v>4759</v>
      </c>
      <c r="S746" s="8">
        <v>45715</v>
      </c>
      <c r="T746" s="1">
        <v>1</v>
      </c>
      <c r="U746" s="1" t="s">
        <v>4760</v>
      </c>
      <c r="V746" s="1" t="s">
        <v>1388</v>
      </c>
      <c r="W746" s="1" t="s">
        <v>1388</v>
      </c>
    </row>
    <row r="747" spans="1:23" x14ac:dyDescent="0.25">
      <c r="A747" s="1" t="s">
        <v>48</v>
      </c>
      <c r="B747" s="1" t="s">
        <v>2435</v>
      </c>
      <c r="C747" s="1" t="s">
        <v>50</v>
      </c>
      <c r="D747" s="1" t="s">
        <v>3319</v>
      </c>
      <c r="E747" s="1" t="s">
        <v>3320</v>
      </c>
      <c r="F747" s="22" t="s">
        <v>6085</v>
      </c>
      <c r="G747" s="1" t="s">
        <v>5</v>
      </c>
      <c r="H747" s="1" t="s">
        <v>20</v>
      </c>
      <c r="I747" s="1" t="s">
        <v>25</v>
      </c>
      <c r="J747" s="1" t="s">
        <v>9</v>
      </c>
      <c r="K747" s="1" t="s">
        <v>12</v>
      </c>
      <c r="L747" s="1" t="s">
        <v>12</v>
      </c>
      <c r="M747" s="1" t="s">
        <v>78</v>
      </c>
      <c r="N747" s="11" t="s">
        <v>188</v>
      </c>
      <c r="O747" s="1" t="s">
        <v>6037</v>
      </c>
      <c r="P747" s="1" t="s">
        <v>126</v>
      </c>
      <c r="Q747" s="1" t="s">
        <v>5881</v>
      </c>
      <c r="R747" s="1" t="s">
        <v>4761</v>
      </c>
      <c r="S747" s="8">
        <v>45703</v>
      </c>
      <c r="T747" s="1">
        <v>3</v>
      </c>
      <c r="U747" s="1" t="s">
        <v>208</v>
      </c>
      <c r="V747" s="1" t="s">
        <v>810</v>
      </c>
      <c r="W747" s="1" t="s">
        <v>810</v>
      </c>
    </row>
    <row r="748" spans="1:23" x14ac:dyDescent="0.25">
      <c r="A748" s="1" t="s">
        <v>48</v>
      </c>
      <c r="B748" s="1" t="s">
        <v>2436</v>
      </c>
      <c r="C748" s="1" t="s">
        <v>50</v>
      </c>
      <c r="D748" s="1" t="s">
        <v>3321</v>
      </c>
      <c r="E748" s="1" t="s">
        <v>3322</v>
      </c>
      <c r="F748" s="22" t="s">
        <v>6085</v>
      </c>
      <c r="G748" s="1" t="s">
        <v>6</v>
      </c>
      <c r="H748" s="1" t="s">
        <v>20</v>
      </c>
      <c r="I748" s="1" t="s">
        <v>25</v>
      </c>
      <c r="J748" s="1" t="s">
        <v>9</v>
      </c>
      <c r="K748" s="1" t="s">
        <v>13</v>
      </c>
      <c r="L748" s="1" t="s">
        <v>13</v>
      </c>
      <c r="M748" s="1" t="s">
        <v>78</v>
      </c>
      <c r="N748" s="11" t="s">
        <v>188</v>
      </c>
      <c r="O748" s="1" t="s">
        <v>6037</v>
      </c>
      <c r="P748" s="1" t="s">
        <v>247</v>
      </c>
      <c r="Q748" s="1" t="s">
        <v>5882</v>
      </c>
      <c r="R748" s="1" t="s">
        <v>4762</v>
      </c>
      <c r="S748" s="8">
        <v>45677</v>
      </c>
      <c r="T748" s="1">
        <v>1</v>
      </c>
      <c r="U748" s="1" t="s">
        <v>4030</v>
      </c>
      <c r="V748" s="1" t="s">
        <v>1388</v>
      </c>
      <c r="W748" s="1" t="s">
        <v>1388</v>
      </c>
    </row>
    <row r="749" spans="1:23" x14ac:dyDescent="0.25">
      <c r="A749" s="1" t="s">
        <v>48</v>
      </c>
      <c r="B749" s="1" t="s">
        <v>2437</v>
      </c>
      <c r="C749" s="1" t="s">
        <v>50</v>
      </c>
      <c r="D749" s="1" t="s">
        <v>3323</v>
      </c>
      <c r="E749" s="1" t="s">
        <v>3324</v>
      </c>
      <c r="F749" s="22" t="s">
        <v>6085</v>
      </c>
      <c r="G749" s="1" t="s">
        <v>5</v>
      </c>
      <c r="H749" s="1" t="s">
        <v>22</v>
      </c>
      <c r="I749" s="1" t="s">
        <v>25</v>
      </c>
      <c r="J749" s="1" t="s">
        <v>9</v>
      </c>
      <c r="K749" s="1" t="s">
        <v>10</v>
      </c>
      <c r="L749" s="1" t="s">
        <v>16</v>
      </c>
      <c r="M749" s="1" t="s">
        <v>78</v>
      </c>
      <c r="N749" s="11" t="s">
        <v>188</v>
      </c>
      <c r="O749" s="1" t="s">
        <v>6037</v>
      </c>
      <c r="P749" s="1" t="s">
        <v>247</v>
      </c>
      <c r="Q749" s="18" t="s">
        <v>5883</v>
      </c>
      <c r="R749" s="1" t="s">
        <v>4763</v>
      </c>
      <c r="S749" s="8">
        <v>46058</v>
      </c>
      <c r="T749" s="1">
        <v>3</v>
      </c>
      <c r="U749" s="1" t="s">
        <v>4764</v>
      </c>
      <c r="V749" s="1" t="s">
        <v>4765</v>
      </c>
      <c r="W749" s="1" t="s">
        <v>4766</v>
      </c>
    </row>
    <row r="750" spans="1:23" x14ac:dyDescent="0.25">
      <c r="A750" s="1" t="s">
        <v>48</v>
      </c>
      <c r="B750" s="1" t="s">
        <v>2438</v>
      </c>
      <c r="C750" s="1" t="s">
        <v>50</v>
      </c>
      <c r="D750" s="1" t="s">
        <v>3325</v>
      </c>
      <c r="E750" s="1" t="s">
        <v>3326</v>
      </c>
      <c r="F750" s="22" t="s">
        <v>6085</v>
      </c>
      <c r="G750" s="1" t="s">
        <v>6</v>
      </c>
      <c r="H750" s="1" t="s">
        <v>20</v>
      </c>
      <c r="I750" s="1" t="s">
        <v>25</v>
      </c>
      <c r="J750" s="1" t="s">
        <v>9</v>
      </c>
      <c r="K750" s="1" t="s">
        <v>13</v>
      </c>
      <c r="L750" s="1" t="s">
        <v>16</v>
      </c>
      <c r="M750" s="1" t="s">
        <v>78</v>
      </c>
      <c r="N750" s="11" t="s">
        <v>188</v>
      </c>
      <c r="O750" s="1" t="s">
        <v>6037</v>
      </c>
      <c r="P750" s="1" t="s">
        <v>247</v>
      </c>
      <c r="Q750" s="1" t="s">
        <v>5884</v>
      </c>
      <c r="R750" s="1" t="s">
        <v>4767</v>
      </c>
      <c r="S750" s="8">
        <v>45688</v>
      </c>
      <c r="T750" s="1">
        <v>1</v>
      </c>
      <c r="U750" s="1" t="s">
        <v>4132</v>
      </c>
      <c r="V750" s="1" t="s">
        <v>1388</v>
      </c>
      <c r="W750" s="1" t="s">
        <v>1388</v>
      </c>
    </row>
    <row r="751" spans="1:23" x14ac:dyDescent="0.25">
      <c r="A751" s="1" t="s">
        <v>48</v>
      </c>
      <c r="B751" s="1" t="s">
        <v>2439</v>
      </c>
      <c r="C751" s="1" t="s">
        <v>50</v>
      </c>
      <c r="D751" s="1" t="s">
        <v>3327</v>
      </c>
      <c r="E751" s="1" t="s">
        <v>3328</v>
      </c>
      <c r="F751" s="22" t="s">
        <v>6085</v>
      </c>
      <c r="G751" s="1" t="s">
        <v>6</v>
      </c>
      <c r="H751" s="1" t="s">
        <v>20</v>
      </c>
      <c r="I751" s="1" t="s">
        <v>25</v>
      </c>
      <c r="J751" s="1" t="s">
        <v>9</v>
      </c>
      <c r="K751" s="1" t="s">
        <v>13</v>
      </c>
      <c r="L751" s="1" t="s">
        <v>13</v>
      </c>
      <c r="M751" s="1" t="s">
        <v>78</v>
      </c>
      <c r="N751" s="11" t="s">
        <v>188</v>
      </c>
      <c r="O751" s="1" t="s">
        <v>6037</v>
      </c>
      <c r="P751" s="1" t="s">
        <v>593</v>
      </c>
      <c r="Q751" s="1" t="s">
        <v>5284</v>
      </c>
      <c r="R751" s="1" t="s">
        <v>4768</v>
      </c>
      <c r="S751" s="8">
        <v>46055</v>
      </c>
      <c r="T751" s="1">
        <v>1</v>
      </c>
      <c r="U751" s="1" t="s">
        <v>4769</v>
      </c>
      <c r="V751" s="1" t="s">
        <v>1388</v>
      </c>
      <c r="W751" s="1" t="s">
        <v>1388</v>
      </c>
    </row>
    <row r="752" spans="1:23" x14ac:dyDescent="0.25">
      <c r="A752" s="1" t="s">
        <v>48</v>
      </c>
      <c r="B752" s="1" t="s">
        <v>2440</v>
      </c>
      <c r="C752" s="1" t="s">
        <v>50</v>
      </c>
      <c r="D752" s="1" t="s">
        <v>3329</v>
      </c>
      <c r="E752" s="1" t="s">
        <v>3330</v>
      </c>
      <c r="F752" s="22" t="s">
        <v>6085</v>
      </c>
      <c r="G752" s="1" t="s">
        <v>5</v>
      </c>
      <c r="H752" s="1" t="s">
        <v>24</v>
      </c>
      <c r="I752" s="1" t="s">
        <v>25</v>
      </c>
      <c r="J752" s="1" t="s">
        <v>9</v>
      </c>
      <c r="K752" s="1" t="s">
        <v>11</v>
      </c>
      <c r="L752" s="1" t="s">
        <v>11</v>
      </c>
      <c r="M752" s="1" t="s">
        <v>78</v>
      </c>
      <c r="N752" s="11" t="s">
        <v>188</v>
      </c>
      <c r="O752" s="1" t="s">
        <v>6037</v>
      </c>
      <c r="P752" s="1" t="s">
        <v>126</v>
      </c>
      <c r="Q752" s="1" t="s">
        <v>5885</v>
      </c>
      <c r="R752" s="1" t="s">
        <v>4770</v>
      </c>
      <c r="S752" s="8">
        <v>45744</v>
      </c>
      <c r="T752" s="1">
        <v>2</v>
      </c>
      <c r="U752" s="1" t="s">
        <v>4771</v>
      </c>
      <c r="V752" s="1" t="s">
        <v>4772</v>
      </c>
      <c r="W752" s="1" t="s">
        <v>4773</v>
      </c>
    </row>
    <row r="753" spans="1:23" x14ac:dyDescent="0.25">
      <c r="A753" s="1" t="s">
        <v>48</v>
      </c>
      <c r="B753" s="1" t="s">
        <v>2441</v>
      </c>
      <c r="C753" s="1" t="s">
        <v>50</v>
      </c>
      <c r="D753" s="1" t="s">
        <v>3331</v>
      </c>
      <c r="E753" s="1" t="s">
        <v>3332</v>
      </c>
      <c r="F753" s="22" t="s">
        <v>6085</v>
      </c>
      <c r="G753" s="1" t="s">
        <v>6</v>
      </c>
      <c r="H753" s="1" t="s">
        <v>20</v>
      </c>
      <c r="I753" s="1" t="s">
        <v>25</v>
      </c>
      <c r="J753" s="1" t="s">
        <v>9</v>
      </c>
      <c r="K753" s="1" t="s">
        <v>19</v>
      </c>
      <c r="L753" s="1" t="s">
        <v>18</v>
      </c>
      <c r="M753" s="1" t="s">
        <v>78</v>
      </c>
      <c r="N753" s="11" t="s">
        <v>188</v>
      </c>
      <c r="O753" s="1" t="s">
        <v>6037</v>
      </c>
      <c r="P753" s="1" t="s">
        <v>4774</v>
      </c>
      <c r="Q753" s="1" t="s">
        <v>5886</v>
      </c>
      <c r="R753" s="1" t="s">
        <v>4775</v>
      </c>
      <c r="S753" s="8">
        <v>45698</v>
      </c>
      <c r="T753" s="1">
        <v>2</v>
      </c>
      <c r="U753" s="1" t="s">
        <v>4776</v>
      </c>
      <c r="V753" s="1" t="s">
        <v>4777</v>
      </c>
      <c r="W753" s="1" t="s">
        <v>1388</v>
      </c>
    </row>
    <row r="754" spans="1:23" x14ac:dyDescent="0.25">
      <c r="A754" s="1" t="s">
        <v>48</v>
      </c>
      <c r="B754" s="1" t="s">
        <v>2442</v>
      </c>
      <c r="C754" s="1" t="s">
        <v>50</v>
      </c>
      <c r="D754" s="1" t="s">
        <v>3333</v>
      </c>
      <c r="E754" s="1" t="s">
        <v>3334</v>
      </c>
      <c r="F754" s="22" t="s">
        <v>6085</v>
      </c>
      <c r="G754" s="1" t="s">
        <v>5</v>
      </c>
      <c r="H754" s="1" t="s">
        <v>24</v>
      </c>
      <c r="I754" s="1" t="s">
        <v>25</v>
      </c>
      <c r="J754" s="1" t="s">
        <v>9</v>
      </c>
      <c r="K754" s="1" t="s">
        <v>13</v>
      </c>
      <c r="L754" s="1" t="s">
        <v>13</v>
      </c>
      <c r="M754" s="1" t="s">
        <v>78</v>
      </c>
      <c r="N754" s="11" t="s">
        <v>188</v>
      </c>
      <c r="O754" s="1" t="s">
        <v>6037</v>
      </c>
      <c r="P754" s="1" t="s">
        <v>1456</v>
      </c>
      <c r="Q754" s="1" t="s">
        <v>5887</v>
      </c>
      <c r="R754" s="1" t="s">
        <v>4778</v>
      </c>
      <c r="S754" s="8">
        <v>45686</v>
      </c>
      <c r="T754" s="1">
        <v>2</v>
      </c>
      <c r="U754" s="1" t="s">
        <v>4779</v>
      </c>
      <c r="V754" s="1" t="s">
        <v>4780</v>
      </c>
      <c r="W754" s="1" t="s">
        <v>1388</v>
      </c>
    </row>
    <row r="755" spans="1:23" x14ac:dyDescent="0.25">
      <c r="A755" s="1" t="s">
        <v>48</v>
      </c>
      <c r="B755" s="1" t="s">
        <v>2443</v>
      </c>
      <c r="C755" s="1" t="s">
        <v>50</v>
      </c>
      <c r="D755" s="1" t="s">
        <v>3335</v>
      </c>
      <c r="E755" s="1" t="s">
        <v>3336</v>
      </c>
      <c r="F755" s="22" t="s">
        <v>6085</v>
      </c>
      <c r="G755" s="1" t="s">
        <v>5</v>
      </c>
      <c r="H755" s="1" t="s">
        <v>21</v>
      </c>
      <c r="I755" s="1" t="s">
        <v>26</v>
      </c>
      <c r="J755" s="1" t="s">
        <v>9</v>
      </c>
      <c r="K755" s="1" t="s">
        <v>14</v>
      </c>
      <c r="L755" s="1" t="s">
        <v>14</v>
      </c>
      <c r="M755" s="1" t="s">
        <v>78</v>
      </c>
      <c r="N755" s="11" t="s">
        <v>188</v>
      </c>
      <c r="O755" s="1" t="s">
        <v>6037</v>
      </c>
      <c r="P755" s="1" t="s">
        <v>126</v>
      </c>
      <c r="Q755" s="1" t="s">
        <v>5888</v>
      </c>
      <c r="R755" s="1" t="s">
        <v>4781</v>
      </c>
      <c r="S755" s="8">
        <v>45327</v>
      </c>
      <c r="T755" s="1">
        <v>1</v>
      </c>
      <c r="U755" s="1" t="s">
        <v>1812</v>
      </c>
      <c r="V755" s="1" t="s">
        <v>1388</v>
      </c>
      <c r="W755" s="1" t="s">
        <v>1388</v>
      </c>
    </row>
    <row r="756" spans="1:23" x14ac:dyDescent="0.25">
      <c r="A756" s="1" t="s">
        <v>48</v>
      </c>
      <c r="B756" s="1" t="s">
        <v>2444</v>
      </c>
      <c r="C756" s="1" t="s">
        <v>50</v>
      </c>
      <c r="D756" s="1" t="s">
        <v>3337</v>
      </c>
      <c r="E756" s="1" t="s">
        <v>3338</v>
      </c>
      <c r="F756" s="22" t="s">
        <v>6085</v>
      </c>
      <c r="G756" s="1" t="s">
        <v>5</v>
      </c>
      <c r="H756" s="1" t="s">
        <v>20</v>
      </c>
      <c r="I756" s="1" t="s">
        <v>25</v>
      </c>
      <c r="J756" s="1" t="s">
        <v>9</v>
      </c>
      <c r="K756" s="1" t="s">
        <v>13</v>
      </c>
      <c r="L756" s="1" t="s">
        <v>13</v>
      </c>
      <c r="M756" s="1" t="s">
        <v>78</v>
      </c>
      <c r="N756" s="11" t="s">
        <v>188</v>
      </c>
      <c r="O756" s="1" t="s">
        <v>6037</v>
      </c>
      <c r="P756" s="1" t="s">
        <v>126</v>
      </c>
      <c r="Q756" s="1" t="s">
        <v>5889</v>
      </c>
      <c r="R756" s="1" t="s">
        <v>4782</v>
      </c>
      <c r="S756" s="8">
        <v>46083</v>
      </c>
      <c r="T756" s="1">
        <v>3</v>
      </c>
      <c r="U756" s="1" t="s">
        <v>4783</v>
      </c>
      <c r="V756" s="1" t="s">
        <v>4784</v>
      </c>
      <c r="W756" s="1" t="s">
        <v>4785</v>
      </c>
    </row>
    <row r="757" spans="1:23" x14ac:dyDescent="0.25">
      <c r="A757" s="1" t="s">
        <v>48</v>
      </c>
      <c r="B757" s="1" t="s">
        <v>2445</v>
      </c>
      <c r="C757" s="1" t="s">
        <v>50</v>
      </c>
      <c r="D757" s="1" t="s">
        <v>3339</v>
      </c>
      <c r="E757" s="7" t="s">
        <v>3340</v>
      </c>
      <c r="F757" s="22" t="s">
        <v>5259</v>
      </c>
      <c r="G757" s="1" t="s">
        <v>6</v>
      </c>
      <c r="H757" s="1" t="s">
        <v>20</v>
      </c>
      <c r="I757" s="1" t="s">
        <v>25</v>
      </c>
      <c r="J757" s="1" t="s">
        <v>9</v>
      </c>
      <c r="K757" s="1" t="s">
        <v>11</v>
      </c>
      <c r="L757" s="1" t="s">
        <v>11</v>
      </c>
      <c r="M757" s="1" t="s">
        <v>78</v>
      </c>
      <c r="N757" s="14" t="s">
        <v>5225</v>
      </c>
      <c r="O757" s="1" t="s">
        <v>6037</v>
      </c>
      <c r="P757" s="1" t="s">
        <v>1456</v>
      </c>
      <c r="Q757" s="1" t="s">
        <v>5890</v>
      </c>
      <c r="R757" s="7" t="s">
        <v>4786</v>
      </c>
      <c r="S757" s="8">
        <v>46027</v>
      </c>
      <c r="T757" s="1">
        <v>2</v>
      </c>
      <c r="U757" s="1" t="s">
        <v>4787</v>
      </c>
      <c r="V757" s="1" t="s">
        <v>4788</v>
      </c>
      <c r="W757" s="1" t="s">
        <v>1388</v>
      </c>
    </row>
    <row r="758" spans="1:23" x14ac:dyDescent="0.25">
      <c r="A758" s="1" t="s">
        <v>48</v>
      </c>
      <c r="B758" s="1" t="s">
        <v>2446</v>
      </c>
      <c r="C758" s="1" t="s">
        <v>50</v>
      </c>
      <c r="D758" s="1" t="s">
        <v>3341</v>
      </c>
      <c r="E758" s="1" t="s">
        <v>3342</v>
      </c>
      <c r="F758" s="22" t="s">
        <v>6085</v>
      </c>
      <c r="G758" s="1" t="s">
        <v>6</v>
      </c>
      <c r="H758" s="1" t="s">
        <v>20</v>
      </c>
      <c r="I758" s="1" t="s">
        <v>25</v>
      </c>
      <c r="J758" s="1" t="s">
        <v>9</v>
      </c>
      <c r="K758" s="1" t="s">
        <v>16</v>
      </c>
      <c r="L758" s="1" t="s">
        <v>16</v>
      </c>
      <c r="M758" s="1" t="s">
        <v>78</v>
      </c>
      <c r="N758" s="11" t="s">
        <v>188</v>
      </c>
      <c r="O758" s="1" t="s">
        <v>6037</v>
      </c>
      <c r="P758" s="1" t="s">
        <v>4789</v>
      </c>
      <c r="Q758" s="1" t="s">
        <v>4621</v>
      </c>
      <c r="R758" s="1" t="s">
        <v>4790</v>
      </c>
      <c r="S758" s="8">
        <v>46023</v>
      </c>
      <c r="T758" s="1">
        <v>2</v>
      </c>
      <c r="U758" s="1" t="s">
        <v>4791</v>
      </c>
      <c r="V758" s="1" t="s">
        <v>4791</v>
      </c>
      <c r="W758" s="1" t="s">
        <v>1388</v>
      </c>
    </row>
    <row r="759" spans="1:23" x14ac:dyDescent="0.25">
      <c r="A759" s="1" t="s">
        <v>48</v>
      </c>
      <c r="B759" s="1" t="s">
        <v>2447</v>
      </c>
      <c r="C759" s="1" t="s">
        <v>50</v>
      </c>
      <c r="D759" s="1" t="s">
        <v>3343</v>
      </c>
      <c r="E759" s="1" t="s">
        <v>3344</v>
      </c>
      <c r="F759" s="22" t="s">
        <v>6085</v>
      </c>
      <c r="G759" s="1" t="s">
        <v>5</v>
      </c>
      <c r="H759" s="1" t="s">
        <v>21</v>
      </c>
      <c r="I759" s="1" t="s">
        <v>26</v>
      </c>
      <c r="J759" s="1" t="s">
        <v>9</v>
      </c>
      <c r="K759" s="1" t="s">
        <v>14</v>
      </c>
      <c r="L759" s="1" t="s">
        <v>14</v>
      </c>
      <c r="M759" s="1" t="s">
        <v>78</v>
      </c>
      <c r="N759" s="11" t="s">
        <v>188</v>
      </c>
      <c r="O759" s="1" t="s">
        <v>6037</v>
      </c>
      <c r="P759" s="1" t="s">
        <v>107</v>
      </c>
      <c r="Q759" s="1" t="s">
        <v>5891</v>
      </c>
      <c r="R759" s="1" t="s">
        <v>4792</v>
      </c>
      <c r="S759" s="8">
        <v>46055</v>
      </c>
      <c r="T759" s="1">
        <v>3</v>
      </c>
      <c r="U759" s="1" t="s">
        <v>170</v>
      </c>
      <c r="V759" s="1" t="s">
        <v>1407</v>
      </c>
      <c r="W759" s="1" t="s">
        <v>4793</v>
      </c>
    </row>
    <row r="760" spans="1:23" x14ac:dyDescent="0.25">
      <c r="A760" s="1" t="s">
        <v>48</v>
      </c>
      <c r="B760" s="1" t="s">
        <v>2448</v>
      </c>
      <c r="C760" s="1" t="s">
        <v>50</v>
      </c>
      <c r="D760" s="1" t="s">
        <v>3345</v>
      </c>
      <c r="E760" s="1" t="s">
        <v>3346</v>
      </c>
      <c r="F760" s="22" t="s">
        <v>6085</v>
      </c>
      <c r="G760" s="1" t="s">
        <v>6</v>
      </c>
      <c r="H760" s="1" t="s">
        <v>20</v>
      </c>
      <c r="I760" s="1" t="s">
        <v>25</v>
      </c>
      <c r="J760" s="1" t="s">
        <v>9</v>
      </c>
      <c r="K760" s="1" t="s">
        <v>10</v>
      </c>
      <c r="L760" s="1" t="s">
        <v>16</v>
      </c>
      <c r="M760" s="1" t="s">
        <v>78</v>
      </c>
      <c r="N760" s="11" t="s">
        <v>188</v>
      </c>
      <c r="O760" s="1" t="s">
        <v>6037</v>
      </c>
      <c r="P760" s="1" t="s">
        <v>60</v>
      </c>
      <c r="Q760" s="18" t="s">
        <v>6</v>
      </c>
      <c r="R760" s="1" t="s">
        <v>4794</v>
      </c>
      <c r="S760" s="8">
        <v>45671</v>
      </c>
      <c r="T760" s="1">
        <v>1</v>
      </c>
      <c r="U760" s="1" t="s">
        <v>4795</v>
      </c>
      <c r="V760" s="1" t="s">
        <v>1388</v>
      </c>
      <c r="W760" s="1" t="s">
        <v>1388</v>
      </c>
    </row>
    <row r="761" spans="1:23" x14ac:dyDescent="0.25">
      <c r="A761" s="1" t="s">
        <v>48</v>
      </c>
      <c r="B761" s="1" t="s">
        <v>2449</v>
      </c>
      <c r="C761" s="1" t="s">
        <v>50</v>
      </c>
      <c r="D761" s="1" t="s">
        <v>3347</v>
      </c>
      <c r="E761" s="1" t="s">
        <v>3348</v>
      </c>
      <c r="F761" s="22" t="s">
        <v>6085</v>
      </c>
      <c r="G761" s="1" t="s">
        <v>6</v>
      </c>
      <c r="H761" s="1" t="s">
        <v>24</v>
      </c>
      <c r="I761" s="1" t="s">
        <v>25</v>
      </c>
      <c r="J761" s="1" t="s">
        <v>9</v>
      </c>
      <c r="K761" s="1" t="s">
        <v>18</v>
      </c>
      <c r="L761" s="1" t="s">
        <v>18</v>
      </c>
      <c r="M761" s="1" t="s">
        <v>78</v>
      </c>
      <c r="N761" s="11" t="s">
        <v>188</v>
      </c>
      <c r="O761" s="1" t="s">
        <v>6037</v>
      </c>
      <c r="P761" s="1" t="s">
        <v>60</v>
      </c>
      <c r="Q761" s="1" t="s">
        <v>5892</v>
      </c>
      <c r="R761" s="19" t="s">
        <v>4796</v>
      </c>
      <c r="S761" s="8">
        <v>46055</v>
      </c>
      <c r="T761" s="1">
        <v>2</v>
      </c>
      <c r="U761" s="1" t="s">
        <v>4797</v>
      </c>
      <c r="V761" s="1" t="s">
        <v>4797</v>
      </c>
      <c r="W761" s="1" t="s">
        <v>1388</v>
      </c>
    </row>
    <row r="762" spans="1:23" x14ac:dyDescent="0.25">
      <c r="A762" s="1" t="s">
        <v>48</v>
      </c>
      <c r="B762" s="1" t="s">
        <v>2450</v>
      </c>
      <c r="C762" s="1" t="s">
        <v>50</v>
      </c>
      <c r="D762" s="1" t="s">
        <v>3349</v>
      </c>
      <c r="E762" s="1" t="s">
        <v>3350</v>
      </c>
      <c r="F762" s="22" t="s">
        <v>6085</v>
      </c>
      <c r="G762" s="1" t="s">
        <v>6</v>
      </c>
      <c r="H762" s="1" t="s">
        <v>21</v>
      </c>
      <c r="I762" s="1" t="s">
        <v>25</v>
      </c>
      <c r="J762" s="1" t="s">
        <v>9</v>
      </c>
      <c r="K762" s="1" t="s">
        <v>18</v>
      </c>
      <c r="L762" s="1" t="s">
        <v>14</v>
      </c>
      <c r="M762" s="1" t="s">
        <v>78</v>
      </c>
      <c r="N762" s="11" t="s">
        <v>188</v>
      </c>
      <c r="O762" s="1" t="s">
        <v>6037</v>
      </c>
      <c r="P762" s="1" t="s">
        <v>761</v>
      </c>
      <c r="Q762" s="1" t="s">
        <v>5893</v>
      </c>
      <c r="R762" s="19" t="s">
        <v>4798</v>
      </c>
      <c r="S762" s="8">
        <v>45877</v>
      </c>
      <c r="T762" s="1">
        <v>2</v>
      </c>
      <c r="U762" s="1" t="s">
        <v>4799</v>
      </c>
      <c r="V762" s="1" t="s">
        <v>4800</v>
      </c>
      <c r="W762" s="1" t="s">
        <v>1388</v>
      </c>
    </row>
    <row r="763" spans="1:23" x14ac:dyDescent="0.25">
      <c r="A763" s="1" t="s">
        <v>48</v>
      </c>
      <c r="B763" s="1" t="s">
        <v>2451</v>
      </c>
      <c r="C763" s="1" t="s">
        <v>50</v>
      </c>
      <c r="D763" s="1" t="s">
        <v>3351</v>
      </c>
      <c r="E763" s="1" t="s">
        <v>3352</v>
      </c>
      <c r="F763" s="22" t="s">
        <v>3</v>
      </c>
      <c r="G763" s="1" t="s">
        <v>5</v>
      </c>
      <c r="H763" s="1" t="s">
        <v>22</v>
      </c>
      <c r="I763" s="1" t="s">
        <v>26</v>
      </c>
      <c r="J763" s="1" t="s">
        <v>9</v>
      </c>
      <c r="K763" s="1" t="s">
        <v>13</v>
      </c>
      <c r="L763" s="1" t="s">
        <v>13</v>
      </c>
      <c r="M763" s="1" t="s">
        <v>78</v>
      </c>
      <c r="N763" s="1" t="s">
        <v>1015</v>
      </c>
      <c r="O763" s="1" t="s">
        <v>6037</v>
      </c>
      <c r="P763" s="1" t="s">
        <v>126</v>
      </c>
      <c r="Q763" s="1" t="s">
        <v>5894</v>
      </c>
      <c r="R763" s="7" t="s">
        <v>4801</v>
      </c>
      <c r="S763" s="8">
        <v>46023</v>
      </c>
      <c r="T763" s="1">
        <v>3</v>
      </c>
      <c r="U763" s="1" t="s">
        <v>4802</v>
      </c>
      <c r="V763" s="1" t="s">
        <v>4802</v>
      </c>
      <c r="W763" s="1" t="s">
        <v>4802</v>
      </c>
    </row>
    <row r="764" spans="1:23" x14ac:dyDescent="0.25">
      <c r="A764" s="1" t="s">
        <v>48</v>
      </c>
      <c r="B764" s="1" t="s">
        <v>2452</v>
      </c>
      <c r="C764" s="1" t="s">
        <v>50</v>
      </c>
      <c r="D764" s="1" t="s">
        <v>3353</v>
      </c>
      <c r="E764" s="1" t="s">
        <v>3354</v>
      </c>
      <c r="F764" s="22" t="s">
        <v>6085</v>
      </c>
      <c r="G764" s="1" t="s">
        <v>7</v>
      </c>
      <c r="H764" s="1" t="s">
        <v>20</v>
      </c>
      <c r="I764" s="1" t="s">
        <v>25</v>
      </c>
      <c r="J764" s="1" t="s">
        <v>9</v>
      </c>
      <c r="K764" s="1" t="s">
        <v>16</v>
      </c>
      <c r="L764" s="1" t="s">
        <v>16</v>
      </c>
      <c r="M764" s="1" t="s">
        <v>78</v>
      </c>
      <c r="N764" s="11" t="s">
        <v>188</v>
      </c>
      <c r="O764" s="2" t="s">
        <v>6235</v>
      </c>
      <c r="P764" s="1" t="s">
        <v>60</v>
      </c>
      <c r="Q764" s="1" t="s">
        <v>5895</v>
      </c>
      <c r="R764" s="1" t="s">
        <v>4803</v>
      </c>
      <c r="S764" s="8">
        <v>46027</v>
      </c>
      <c r="T764" s="1">
        <v>2</v>
      </c>
      <c r="U764" s="1" t="s">
        <v>893</v>
      </c>
      <c r="V764" s="1" t="s">
        <v>893</v>
      </c>
      <c r="W764" s="1" t="s">
        <v>1388</v>
      </c>
    </row>
    <row r="765" spans="1:23" x14ac:dyDescent="0.25">
      <c r="A765" s="1" t="s">
        <v>48</v>
      </c>
      <c r="B765" s="1" t="s">
        <v>2453</v>
      </c>
      <c r="C765" s="1" t="s">
        <v>50</v>
      </c>
      <c r="D765" s="1" t="s">
        <v>3355</v>
      </c>
      <c r="E765" s="1" t="s">
        <v>3356</v>
      </c>
      <c r="F765" s="22" t="s">
        <v>6085</v>
      </c>
      <c r="G765" s="1" t="s">
        <v>5</v>
      </c>
      <c r="H765" s="1" t="s">
        <v>17</v>
      </c>
      <c r="I765" s="1" t="s">
        <v>25</v>
      </c>
      <c r="J765" s="1" t="s">
        <v>9</v>
      </c>
      <c r="K765" s="1" t="s">
        <v>13</v>
      </c>
      <c r="L765" s="1" t="s">
        <v>16</v>
      </c>
      <c r="M765" s="1" t="s">
        <v>78</v>
      </c>
      <c r="N765" s="11" t="s">
        <v>188</v>
      </c>
      <c r="O765" s="1" t="s">
        <v>6037</v>
      </c>
      <c r="P765" s="1" t="s">
        <v>761</v>
      </c>
      <c r="Q765" s="1" t="s">
        <v>5896</v>
      </c>
      <c r="R765" s="1" t="s">
        <v>4804</v>
      </c>
      <c r="S765" s="8">
        <v>46034</v>
      </c>
      <c r="T765" s="1">
        <v>3</v>
      </c>
      <c r="U765" s="1" t="s">
        <v>4805</v>
      </c>
      <c r="V765" s="1" t="s">
        <v>4806</v>
      </c>
      <c r="W765" s="1" t="s">
        <v>1453</v>
      </c>
    </row>
    <row r="766" spans="1:23" x14ac:dyDescent="0.25">
      <c r="A766" s="1" t="s">
        <v>48</v>
      </c>
      <c r="B766" s="1" t="s">
        <v>2454</v>
      </c>
      <c r="C766" s="1" t="s">
        <v>50</v>
      </c>
      <c r="D766" s="1" t="s">
        <v>3357</v>
      </c>
      <c r="E766" s="1" t="s">
        <v>3358</v>
      </c>
      <c r="F766" s="22" t="s">
        <v>6085</v>
      </c>
      <c r="G766" s="1" t="s">
        <v>6</v>
      </c>
      <c r="H766" s="1" t="s">
        <v>20</v>
      </c>
      <c r="I766" s="1" t="s">
        <v>26</v>
      </c>
      <c r="J766" s="1" t="s">
        <v>9</v>
      </c>
      <c r="K766" s="1" t="s">
        <v>14</v>
      </c>
      <c r="L766" s="1" t="s">
        <v>14</v>
      </c>
      <c r="M766" s="1" t="s">
        <v>78</v>
      </c>
      <c r="N766" s="11" t="s">
        <v>188</v>
      </c>
      <c r="O766" s="1" t="s">
        <v>6037</v>
      </c>
      <c r="P766" s="1" t="s">
        <v>247</v>
      </c>
      <c r="Q766" s="1" t="s">
        <v>5897</v>
      </c>
      <c r="R766" s="1" t="s">
        <v>4807</v>
      </c>
      <c r="S766" s="8">
        <v>45672</v>
      </c>
      <c r="T766" s="1">
        <v>1</v>
      </c>
      <c r="U766" s="1" t="s">
        <v>4808</v>
      </c>
      <c r="V766" s="1" t="s">
        <v>1388</v>
      </c>
      <c r="W766" s="1" t="s">
        <v>1388</v>
      </c>
    </row>
    <row r="767" spans="1:23" x14ac:dyDescent="0.25">
      <c r="A767" s="1" t="s">
        <v>48</v>
      </c>
      <c r="B767" s="1" t="s">
        <v>2455</v>
      </c>
      <c r="C767" s="1" t="s">
        <v>50</v>
      </c>
      <c r="D767" s="1" t="s">
        <v>3359</v>
      </c>
      <c r="E767" s="1" t="s">
        <v>3360</v>
      </c>
      <c r="F767" s="22" t="s">
        <v>6085</v>
      </c>
      <c r="G767" s="1" t="s">
        <v>6</v>
      </c>
      <c r="H767" s="1" t="s">
        <v>20</v>
      </c>
      <c r="I767" s="1" t="s">
        <v>25</v>
      </c>
      <c r="J767" s="1" t="s">
        <v>9</v>
      </c>
      <c r="K767" s="1" t="s">
        <v>11</v>
      </c>
      <c r="L767" s="1" t="s">
        <v>11</v>
      </c>
      <c r="M767" s="1" t="s">
        <v>78</v>
      </c>
      <c r="N767" s="1" t="s">
        <v>188</v>
      </c>
      <c r="O767" s="2" t="s">
        <v>6235</v>
      </c>
      <c r="P767" s="1" t="s">
        <v>656</v>
      </c>
      <c r="Q767" s="1" t="s">
        <v>5898</v>
      </c>
      <c r="R767" s="1" t="s">
        <v>4809</v>
      </c>
      <c r="S767" s="8">
        <v>45719</v>
      </c>
      <c r="T767" s="1">
        <v>1</v>
      </c>
      <c r="U767" s="1" t="s">
        <v>4810</v>
      </c>
      <c r="V767" s="1" t="s">
        <v>1388</v>
      </c>
      <c r="W767" s="1" t="s">
        <v>1388</v>
      </c>
    </row>
    <row r="768" spans="1:23" x14ac:dyDescent="0.25">
      <c r="A768" s="1" t="s">
        <v>48</v>
      </c>
      <c r="B768" s="1" t="s">
        <v>2456</v>
      </c>
      <c r="C768" s="1" t="s">
        <v>50</v>
      </c>
      <c r="D768" s="1" t="s">
        <v>3361</v>
      </c>
      <c r="E768" s="1" t="s">
        <v>3362</v>
      </c>
      <c r="F768" s="22" t="s">
        <v>3</v>
      </c>
      <c r="G768" s="1" t="s">
        <v>5</v>
      </c>
      <c r="H768" s="1" t="s">
        <v>20</v>
      </c>
      <c r="I768" s="1" t="s">
        <v>25</v>
      </c>
      <c r="J768" s="1" t="s">
        <v>9</v>
      </c>
      <c r="K768" s="1" t="s">
        <v>13</v>
      </c>
      <c r="L768" s="1" t="s">
        <v>16</v>
      </c>
      <c r="M768" s="1" t="s">
        <v>78</v>
      </c>
      <c r="N768" s="11" t="s">
        <v>188</v>
      </c>
      <c r="O768" s="1" t="s">
        <v>6037</v>
      </c>
      <c r="P768" s="1" t="s">
        <v>66</v>
      </c>
      <c r="Q768" s="1" t="s">
        <v>5347</v>
      </c>
      <c r="R768" s="7" t="s">
        <v>4811</v>
      </c>
      <c r="S768" s="8">
        <v>46041</v>
      </c>
      <c r="T768" s="1">
        <v>3</v>
      </c>
      <c r="U768" s="1" t="s">
        <v>4812</v>
      </c>
      <c r="V768" s="1" t="s">
        <v>4812</v>
      </c>
      <c r="W768" s="1" t="s">
        <v>4812</v>
      </c>
    </row>
    <row r="769" spans="1:23" x14ac:dyDescent="0.25">
      <c r="A769" s="1" t="s">
        <v>48</v>
      </c>
      <c r="B769" s="1" t="s">
        <v>2457</v>
      </c>
      <c r="C769" s="1" t="s">
        <v>50</v>
      </c>
      <c r="D769" s="1" t="s">
        <v>3363</v>
      </c>
      <c r="E769" s="1" t="s">
        <v>3364</v>
      </c>
      <c r="F769" s="22" t="s">
        <v>6085</v>
      </c>
      <c r="G769" s="1" t="s">
        <v>6</v>
      </c>
      <c r="H769" s="1" t="s">
        <v>24</v>
      </c>
      <c r="I769" s="1" t="s">
        <v>25</v>
      </c>
      <c r="J769" s="1" t="s">
        <v>9</v>
      </c>
      <c r="K769" s="1" t="s">
        <v>12</v>
      </c>
      <c r="L769" s="1" t="s">
        <v>12</v>
      </c>
      <c r="M769" s="1" t="s">
        <v>78</v>
      </c>
      <c r="N769" s="11" t="s">
        <v>188</v>
      </c>
      <c r="O769" s="1" t="s">
        <v>6037</v>
      </c>
      <c r="P769" s="1" t="s">
        <v>60</v>
      </c>
      <c r="Q769" s="1" t="s">
        <v>5899</v>
      </c>
      <c r="R769" s="1" t="s">
        <v>4813</v>
      </c>
      <c r="S769" s="8">
        <v>46062</v>
      </c>
      <c r="T769" s="1">
        <v>2</v>
      </c>
      <c r="U769" s="1" t="s">
        <v>4814</v>
      </c>
      <c r="V769" s="1" t="s">
        <v>4815</v>
      </c>
      <c r="W769" s="1" t="s">
        <v>1388</v>
      </c>
    </row>
    <row r="770" spans="1:23" x14ac:dyDescent="0.25">
      <c r="A770" s="1" t="s">
        <v>48</v>
      </c>
      <c r="B770" s="1" t="s">
        <v>2458</v>
      </c>
      <c r="C770" s="1" t="s">
        <v>50</v>
      </c>
      <c r="D770" s="1" t="s">
        <v>3365</v>
      </c>
      <c r="E770" s="1" t="s">
        <v>3366</v>
      </c>
      <c r="F770" s="22" t="s">
        <v>3</v>
      </c>
      <c r="G770" s="1" t="s">
        <v>6</v>
      </c>
      <c r="H770" s="1" t="s">
        <v>20</v>
      </c>
      <c r="I770" s="1" t="s">
        <v>25</v>
      </c>
      <c r="J770" s="1" t="s">
        <v>9</v>
      </c>
      <c r="K770" s="1" t="s">
        <v>12</v>
      </c>
      <c r="L770" s="1" t="s">
        <v>12</v>
      </c>
      <c r="M770" s="1" t="s">
        <v>78</v>
      </c>
      <c r="N770" s="11" t="s">
        <v>188</v>
      </c>
      <c r="O770" s="1" t="s">
        <v>6037</v>
      </c>
      <c r="P770" s="1" t="s">
        <v>1456</v>
      </c>
      <c r="Q770" s="1" t="s">
        <v>5900</v>
      </c>
      <c r="R770" s="7" t="s">
        <v>4816</v>
      </c>
      <c r="S770" s="8">
        <v>45691</v>
      </c>
      <c r="T770" s="1">
        <v>2</v>
      </c>
      <c r="U770" s="1" t="s">
        <v>4817</v>
      </c>
      <c r="V770" s="1" t="s">
        <v>4818</v>
      </c>
      <c r="W770" s="1" t="s">
        <v>1388</v>
      </c>
    </row>
    <row r="771" spans="1:23" x14ac:dyDescent="0.25">
      <c r="A771" s="1" t="s">
        <v>48</v>
      </c>
      <c r="B771" s="1" t="s">
        <v>2459</v>
      </c>
      <c r="C771" s="1" t="s">
        <v>50</v>
      </c>
      <c r="D771" s="1" t="s">
        <v>3367</v>
      </c>
      <c r="E771" s="1" t="s">
        <v>3368</v>
      </c>
      <c r="F771" s="22" t="s">
        <v>6085</v>
      </c>
      <c r="G771" s="1" t="s">
        <v>6</v>
      </c>
      <c r="H771" s="1" t="s">
        <v>20</v>
      </c>
      <c r="I771" s="1" t="s">
        <v>25</v>
      </c>
      <c r="J771" s="1" t="s">
        <v>9</v>
      </c>
      <c r="K771" s="1" t="s">
        <v>13</v>
      </c>
      <c r="L771" s="1" t="s">
        <v>13</v>
      </c>
      <c r="M771" s="1" t="s">
        <v>78</v>
      </c>
      <c r="N771" s="11" t="s">
        <v>188</v>
      </c>
      <c r="O771" s="1" t="s">
        <v>6037</v>
      </c>
      <c r="P771" s="1" t="s">
        <v>1456</v>
      </c>
      <c r="Q771" s="1" t="s">
        <v>5901</v>
      </c>
      <c r="R771" s="1" t="s">
        <v>4819</v>
      </c>
      <c r="S771" s="8">
        <v>46029</v>
      </c>
      <c r="T771" s="1">
        <v>1</v>
      </c>
      <c r="U771" s="1" t="s">
        <v>4820</v>
      </c>
      <c r="V771" s="1" t="s">
        <v>1388</v>
      </c>
      <c r="W771" s="1" t="s">
        <v>1388</v>
      </c>
    </row>
    <row r="772" spans="1:23" x14ac:dyDescent="0.25">
      <c r="A772" s="1" t="s">
        <v>48</v>
      </c>
      <c r="B772" s="1" t="s">
        <v>2460</v>
      </c>
      <c r="C772" s="1" t="s">
        <v>50</v>
      </c>
      <c r="D772" s="1" t="s">
        <v>3369</v>
      </c>
      <c r="E772" s="1" t="s">
        <v>3370</v>
      </c>
      <c r="F772" s="22" t="s">
        <v>6085</v>
      </c>
      <c r="G772" s="1" t="s">
        <v>6</v>
      </c>
      <c r="H772" s="1" t="s">
        <v>24</v>
      </c>
      <c r="I772" s="1" t="s">
        <v>25</v>
      </c>
      <c r="J772" s="1" t="s">
        <v>9</v>
      </c>
      <c r="K772" s="1" t="s">
        <v>16</v>
      </c>
      <c r="L772" s="1" t="s">
        <v>16</v>
      </c>
      <c r="M772" s="1" t="s">
        <v>78</v>
      </c>
      <c r="N772" s="11" t="s">
        <v>188</v>
      </c>
      <c r="O772" s="1" t="s">
        <v>6037</v>
      </c>
      <c r="P772" s="1" t="s">
        <v>1456</v>
      </c>
      <c r="Q772" s="1" t="s">
        <v>5902</v>
      </c>
      <c r="R772" s="1" t="s">
        <v>4821</v>
      </c>
      <c r="S772" s="8">
        <v>46027</v>
      </c>
      <c r="T772" s="1">
        <v>2</v>
      </c>
      <c r="U772" s="1" t="s">
        <v>4312</v>
      </c>
      <c r="V772" s="1" t="s">
        <v>4822</v>
      </c>
      <c r="W772" s="1" t="s">
        <v>1388</v>
      </c>
    </row>
    <row r="773" spans="1:23" x14ac:dyDescent="0.25">
      <c r="A773" s="1" t="s">
        <v>48</v>
      </c>
      <c r="B773" s="1" t="s">
        <v>2461</v>
      </c>
      <c r="C773" s="1" t="s">
        <v>50</v>
      </c>
      <c r="D773" s="1" t="s">
        <v>3371</v>
      </c>
      <c r="E773" s="1" t="s">
        <v>3372</v>
      </c>
      <c r="F773" s="22" t="s">
        <v>6085</v>
      </c>
      <c r="G773" s="1" t="s">
        <v>6</v>
      </c>
      <c r="H773" s="1" t="s">
        <v>20</v>
      </c>
      <c r="I773" s="1" t="s">
        <v>26</v>
      </c>
      <c r="J773" s="1" t="s">
        <v>9</v>
      </c>
      <c r="K773" s="1" t="s">
        <v>16</v>
      </c>
      <c r="L773" s="1" t="s">
        <v>16</v>
      </c>
      <c r="M773" s="1" t="s">
        <v>78</v>
      </c>
      <c r="N773" s="11" t="s">
        <v>188</v>
      </c>
      <c r="O773" s="1" t="s">
        <v>6037</v>
      </c>
      <c r="P773" s="1" t="s">
        <v>4823</v>
      </c>
      <c r="Q773" s="1" t="s">
        <v>5903</v>
      </c>
      <c r="R773" s="1" t="s">
        <v>4824</v>
      </c>
      <c r="S773" s="8">
        <v>46023</v>
      </c>
      <c r="T773" s="1">
        <v>2</v>
      </c>
      <c r="U773" s="1" t="s">
        <v>4791</v>
      </c>
      <c r="V773" s="1" t="s">
        <v>4791</v>
      </c>
      <c r="W773" s="1" t="s">
        <v>1388</v>
      </c>
    </row>
    <row r="774" spans="1:23" x14ac:dyDescent="0.25">
      <c r="A774" s="1" t="s">
        <v>48</v>
      </c>
      <c r="B774" s="1" t="s">
        <v>2462</v>
      </c>
      <c r="C774" s="1" t="s">
        <v>50</v>
      </c>
      <c r="D774" s="1" t="s">
        <v>3373</v>
      </c>
      <c r="E774" s="1" t="s">
        <v>3374</v>
      </c>
      <c r="F774" s="22" t="s">
        <v>6085</v>
      </c>
      <c r="G774" s="1" t="s">
        <v>5</v>
      </c>
      <c r="H774" s="1" t="s">
        <v>24</v>
      </c>
      <c r="I774" s="1" t="s">
        <v>25</v>
      </c>
      <c r="J774" s="1" t="s">
        <v>9</v>
      </c>
      <c r="K774" s="1" t="s">
        <v>13</v>
      </c>
      <c r="L774" s="1" t="s">
        <v>13</v>
      </c>
      <c r="M774" s="1" t="s">
        <v>78</v>
      </c>
      <c r="N774" s="11" t="s">
        <v>188</v>
      </c>
      <c r="O774" s="1" t="s">
        <v>6037</v>
      </c>
      <c r="P774" s="1" t="s">
        <v>126</v>
      </c>
      <c r="Q774" s="1" t="s">
        <v>5904</v>
      </c>
      <c r="R774" s="1" t="s">
        <v>4825</v>
      </c>
      <c r="S774" s="8">
        <v>46055</v>
      </c>
      <c r="T774" s="1">
        <v>3</v>
      </c>
      <c r="U774" s="1" t="s">
        <v>4826</v>
      </c>
      <c r="V774" s="1" t="s">
        <v>4826</v>
      </c>
      <c r="W774" s="1" t="s">
        <v>4826</v>
      </c>
    </row>
    <row r="775" spans="1:23" x14ac:dyDescent="0.25">
      <c r="A775" s="1" t="s">
        <v>48</v>
      </c>
      <c r="B775" s="1" t="s">
        <v>2463</v>
      </c>
      <c r="C775" s="1" t="s">
        <v>50</v>
      </c>
      <c r="D775" s="1" t="s">
        <v>3375</v>
      </c>
      <c r="E775" s="1" t="s">
        <v>3376</v>
      </c>
      <c r="F775" s="22" t="s">
        <v>3</v>
      </c>
      <c r="G775" s="1" t="s">
        <v>6</v>
      </c>
      <c r="H775" s="1" t="s">
        <v>20</v>
      </c>
      <c r="I775" s="1" t="s">
        <v>26</v>
      </c>
      <c r="J775" s="1" t="s">
        <v>9</v>
      </c>
      <c r="K775" s="1" t="s">
        <v>11</v>
      </c>
      <c r="L775" s="1" t="s">
        <v>11</v>
      </c>
      <c r="M775" s="1" t="s">
        <v>78</v>
      </c>
      <c r="N775" s="1" t="s">
        <v>1015</v>
      </c>
      <c r="O775" s="1" t="s">
        <v>6235</v>
      </c>
      <c r="P775" s="1" t="s">
        <v>126</v>
      </c>
      <c r="Q775" s="1" t="s">
        <v>5905</v>
      </c>
      <c r="R775" s="7" t="s">
        <v>4827</v>
      </c>
      <c r="S775" s="8">
        <v>46062</v>
      </c>
      <c r="T775" s="1">
        <v>1</v>
      </c>
      <c r="U775" s="1" t="s">
        <v>4828</v>
      </c>
      <c r="V775" s="1" t="s">
        <v>1388</v>
      </c>
      <c r="W775" s="1" t="s">
        <v>1388</v>
      </c>
    </row>
    <row r="776" spans="1:23" x14ac:dyDescent="0.25">
      <c r="A776" s="1" t="s">
        <v>48</v>
      </c>
      <c r="B776" s="1" t="s">
        <v>2464</v>
      </c>
      <c r="C776" s="1" t="s">
        <v>50</v>
      </c>
      <c r="D776" s="1" t="s">
        <v>3377</v>
      </c>
      <c r="E776" s="1" t="s">
        <v>3378</v>
      </c>
      <c r="F776" s="22" t="s">
        <v>6085</v>
      </c>
      <c r="G776" s="1" t="s">
        <v>6</v>
      </c>
      <c r="H776" s="1" t="s">
        <v>24</v>
      </c>
      <c r="I776" s="1" t="s">
        <v>25</v>
      </c>
      <c r="J776" s="1" t="s">
        <v>9</v>
      </c>
      <c r="K776" s="1" t="s">
        <v>13</v>
      </c>
      <c r="L776" s="1" t="s">
        <v>16</v>
      </c>
      <c r="M776" s="1" t="s">
        <v>78</v>
      </c>
      <c r="N776" s="11" t="s">
        <v>188</v>
      </c>
      <c r="O776" s="1" t="s">
        <v>6037</v>
      </c>
      <c r="P776" s="1" t="s">
        <v>60</v>
      </c>
      <c r="Q776" s="1" t="s">
        <v>5906</v>
      </c>
      <c r="R776" s="1" t="s">
        <v>4829</v>
      </c>
      <c r="S776" s="8">
        <v>45672</v>
      </c>
      <c r="T776" s="1">
        <v>1</v>
      </c>
      <c r="U776" s="1" t="s">
        <v>4830</v>
      </c>
      <c r="V776" s="1" t="s">
        <v>1388</v>
      </c>
      <c r="W776" s="1" t="s">
        <v>1388</v>
      </c>
    </row>
    <row r="777" spans="1:23" x14ac:dyDescent="0.25">
      <c r="A777" s="1" t="s">
        <v>48</v>
      </c>
      <c r="B777" s="1" t="s">
        <v>2465</v>
      </c>
      <c r="C777" s="1" t="s">
        <v>50</v>
      </c>
      <c r="D777" s="1" t="s">
        <v>3379</v>
      </c>
      <c r="E777" s="1" t="s">
        <v>3380</v>
      </c>
      <c r="F777" s="22" t="s">
        <v>6085</v>
      </c>
      <c r="G777" s="1" t="s">
        <v>5</v>
      </c>
      <c r="H777" s="1" t="s">
        <v>24</v>
      </c>
      <c r="I777" s="1" t="s">
        <v>25</v>
      </c>
      <c r="J777" s="1" t="s">
        <v>9</v>
      </c>
      <c r="K777" s="1" t="s">
        <v>13</v>
      </c>
      <c r="L777" s="1" t="s">
        <v>13</v>
      </c>
      <c r="M777" s="1" t="s">
        <v>78</v>
      </c>
      <c r="N777" s="11" t="s">
        <v>188</v>
      </c>
      <c r="O777" s="1" t="s">
        <v>6037</v>
      </c>
      <c r="P777" s="1" t="s">
        <v>126</v>
      </c>
      <c r="Q777" s="1" t="s">
        <v>5907</v>
      </c>
      <c r="R777" s="1" t="s">
        <v>4831</v>
      </c>
      <c r="S777" s="8">
        <v>46037</v>
      </c>
      <c r="T777" s="1">
        <v>3</v>
      </c>
      <c r="U777" s="1" t="s">
        <v>4832</v>
      </c>
      <c r="V777" s="1" t="s">
        <v>4832</v>
      </c>
      <c r="W777" s="1" t="s">
        <v>4832</v>
      </c>
    </row>
    <row r="778" spans="1:23" x14ac:dyDescent="0.25">
      <c r="A778" s="1" t="s">
        <v>48</v>
      </c>
      <c r="B778" s="1" t="s">
        <v>2466</v>
      </c>
      <c r="C778" s="1" t="s">
        <v>50</v>
      </c>
      <c r="D778" s="1" t="s">
        <v>3381</v>
      </c>
      <c r="E778" s="1" t="s">
        <v>3382</v>
      </c>
      <c r="F778" s="22" t="s">
        <v>6085</v>
      </c>
      <c r="G778" s="1" t="s">
        <v>5</v>
      </c>
      <c r="H778" s="1" t="s">
        <v>20</v>
      </c>
      <c r="I778" s="1" t="s">
        <v>25</v>
      </c>
      <c r="J778" s="1" t="s">
        <v>9</v>
      </c>
      <c r="K778" s="1" t="s">
        <v>14</v>
      </c>
      <c r="L778" s="1" t="s">
        <v>14</v>
      </c>
      <c r="M778" s="1" t="s">
        <v>78</v>
      </c>
      <c r="N778" s="11" t="s">
        <v>188</v>
      </c>
      <c r="O778" s="1" t="s">
        <v>6037</v>
      </c>
      <c r="P778" s="1" t="s">
        <v>1519</v>
      </c>
      <c r="Q778" s="18" t="s">
        <v>5908</v>
      </c>
      <c r="R778" s="1" t="s">
        <v>4833</v>
      </c>
      <c r="S778" s="8">
        <v>45807</v>
      </c>
      <c r="T778" s="1">
        <v>3</v>
      </c>
      <c r="U778" s="1" t="s">
        <v>3800</v>
      </c>
      <c r="V778" s="1" t="s">
        <v>170</v>
      </c>
      <c r="W778" s="1" t="s">
        <v>302</v>
      </c>
    </row>
    <row r="779" spans="1:23" x14ac:dyDescent="0.25">
      <c r="A779" s="1" t="s">
        <v>48</v>
      </c>
      <c r="B779" s="1" t="s">
        <v>2467</v>
      </c>
      <c r="C779" s="1" t="s">
        <v>50</v>
      </c>
      <c r="D779" s="1" t="s">
        <v>3383</v>
      </c>
      <c r="E779" s="1" t="s">
        <v>3384</v>
      </c>
      <c r="F779" s="22" t="s">
        <v>6085</v>
      </c>
      <c r="G779" s="1" t="s">
        <v>5</v>
      </c>
      <c r="H779" s="1" t="s">
        <v>20</v>
      </c>
      <c r="I779" s="1" t="s">
        <v>25</v>
      </c>
      <c r="J779" s="1" t="s">
        <v>9</v>
      </c>
      <c r="K779" s="1" t="s">
        <v>14</v>
      </c>
      <c r="L779" s="1" t="s">
        <v>14</v>
      </c>
      <c r="M779" s="1" t="s">
        <v>78</v>
      </c>
      <c r="N779" s="11" t="s">
        <v>188</v>
      </c>
      <c r="O779" s="1" t="s">
        <v>6037</v>
      </c>
      <c r="P779" s="1" t="s">
        <v>247</v>
      </c>
      <c r="Q779" s="18" t="s">
        <v>5908</v>
      </c>
      <c r="R779" s="1" t="s">
        <v>4834</v>
      </c>
      <c r="S779" s="8">
        <v>45691</v>
      </c>
      <c r="T779" s="1">
        <v>3</v>
      </c>
      <c r="U779" s="1" t="s">
        <v>4835</v>
      </c>
      <c r="V779" s="1" t="s">
        <v>682</v>
      </c>
      <c r="W779" s="1" t="s">
        <v>4836</v>
      </c>
    </row>
    <row r="780" spans="1:23" x14ac:dyDescent="0.25">
      <c r="A780" s="1" t="s">
        <v>48</v>
      </c>
      <c r="B780" s="1" t="s">
        <v>2468</v>
      </c>
      <c r="C780" s="1" t="s">
        <v>50</v>
      </c>
      <c r="D780" s="1" t="s">
        <v>3385</v>
      </c>
      <c r="E780" s="1" t="s">
        <v>3386</v>
      </c>
      <c r="F780" s="22" t="s">
        <v>6085</v>
      </c>
      <c r="G780" s="1" t="s">
        <v>5</v>
      </c>
      <c r="H780" s="1" t="s">
        <v>24</v>
      </c>
      <c r="I780" s="1" t="s">
        <v>25</v>
      </c>
      <c r="J780" s="1" t="s">
        <v>9</v>
      </c>
      <c r="K780" s="1" t="s">
        <v>13</v>
      </c>
      <c r="L780" s="1" t="s">
        <v>13</v>
      </c>
      <c r="M780" s="1" t="s">
        <v>78</v>
      </c>
      <c r="N780" s="11" t="s">
        <v>188</v>
      </c>
      <c r="O780" s="1" t="s">
        <v>6037</v>
      </c>
      <c r="P780" s="1" t="s">
        <v>126</v>
      </c>
      <c r="Q780" s="1" t="s">
        <v>5909</v>
      </c>
      <c r="R780" s="1" t="s">
        <v>4837</v>
      </c>
      <c r="S780" s="8">
        <v>46034</v>
      </c>
      <c r="T780" s="1">
        <v>3</v>
      </c>
      <c r="U780" s="1" t="s">
        <v>4838</v>
      </c>
      <c r="V780" s="1" t="s">
        <v>4838</v>
      </c>
      <c r="W780" s="1" t="s">
        <v>4838</v>
      </c>
    </row>
    <row r="781" spans="1:23" x14ac:dyDescent="0.25">
      <c r="A781" s="1" t="s">
        <v>48</v>
      </c>
      <c r="B781" s="1" t="s">
        <v>2469</v>
      </c>
      <c r="C781" s="1" t="s">
        <v>50</v>
      </c>
      <c r="D781" s="1" t="s">
        <v>3387</v>
      </c>
      <c r="E781" s="1" t="s">
        <v>3388</v>
      </c>
      <c r="F781" s="22" t="s">
        <v>6085</v>
      </c>
      <c r="G781" s="1" t="s">
        <v>6</v>
      </c>
      <c r="H781" s="1" t="s">
        <v>20</v>
      </c>
      <c r="I781" s="1" t="s">
        <v>25</v>
      </c>
      <c r="J781" s="1" t="s">
        <v>9</v>
      </c>
      <c r="K781" s="1" t="s">
        <v>14</v>
      </c>
      <c r="L781" s="1" t="s">
        <v>14</v>
      </c>
      <c r="M781" s="1" t="s">
        <v>78</v>
      </c>
      <c r="N781" s="11" t="s">
        <v>188</v>
      </c>
      <c r="O781" s="1" t="s">
        <v>6037</v>
      </c>
      <c r="P781" s="1" t="s">
        <v>162</v>
      </c>
      <c r="Q781" s="1" t="s">
        <v>5910</v>
      </c>
      <c r="R781" s="1" t="s">
        <v>4839</v>
      </c>
      <c r="S781" s="8">
        <v>46063</v>
      </c>
      <c r="T781" s="1">
        <v>1</v>
      </c>
      <c r="U781" s="1" t="s">
        <v>4840</v>
      </c>
      <c r="V781" s="1" t="s">
        <v>1388</v>
      </c>
      <c r="W781" s="1" t="s">
        <v>1388</v>
      </c>
    </row>
    <row r="782" spans="1:23" x14ac:dyDescent="0.25">
      <c r="A782" s="1" t="s">
        <v>48</v>
      </c>
      <c r="B782" s="1" t="s">
        <v>2470</v>
      </c>
      <c r="C782" s="1" t="s">
        <v>50</v>
      </c>
      <c r="D782" s="1" t="s">
        <v>3389</v>
      </c>
      <c r="E782" s="1" t="s">
        <v>3390</v>
      </c>
      <c r="F782" s="22" t="s">
        <v>6085</v>
      </c>
      <c r="G782" s="1" t="s">
        <v>7</v>
      </c>
      <c r="H782" s="1" t="s">
        <v>21</v>
      </c>
      <c r="I782" s="1" t="s">
        <v>25</v>
      </c>
      <c r="J782" s="1" t="s">
        <v>9</v>
      </c>
      <c r="K782" s="1" t="s">
        <v>13</v>
      </c>
      <c r="L782" s="1" t="s">
        <v>13</v>
      </c>
      <c r="M782" s="1" t="s">
        <v>78</v>
      </c>
      <c r="N782" s="11" t="s">
        <v>188</v>
      </c>
      <c r="O782" s="1" t="s">
        <v>6037</v>
      </c>
      <c r="P782" s="1" t="s">
        <v>247</v>
      </c>
      <c r="Q782" s="1" t="s">
        <v>5911</v>
      </c>
      <c r="R782" s="1" t="s">
        <v>4841</v>
      </c>
      <c r="S782" s="8">
        <v>46034</v>
      </c>
      <c r="T782" s="1">
        <v>2</v>
      </c>
      <c r="U782" s="1" t="s">
        <v>4842</v>
      </c>
      <c r="V782" s="1" t="s">
        <v>4843</v>
      </c>
      <c r="W782" s="1" t="s">
        <v>1388</v>
      </c>
    </row>
    <row r="783" spans="1:23" x14ac:dyDescent="0.25">
      <c r="A783" s="1" t="s">
        <v>48</v>
      </c>
      <c r="B783" s="1" t="s">
        <v>2471</v>
      </c>
      <c r="C783" s="1" t="s">
        <v>50</v>
      </c>
      <c r="D783" s="1" t="s">
        <v>3391</v>
      </c>
      <c r="E783" s="1" t="s">
        <v>3392</v>
      </c>
      <c r="F783" s="22" t="s">
        <v>6085</v>
      </c>
      <c r="G783" s="1" t="s">
        <v>5</v>
      </c>
      <c r="H783" s="1" t="s">
        <v>23</v>
      </c>
      <c r="I783" s="1" t="s">
        <v>25</v>
      </c>
      <c r="J783" s="1" t="s">
        <v>9</v>
      </c>
      <c r="K783" s="1" t="s">
        <v>16</v>
      </c>
      <c r="L783" s="1" t="s">
        <v>16</v>
      </c>
      <c r="M783" s="1" t="s">
        <v>78</v>
      </c>
      <c r="N783" s="11" t="s">
        <v>188</v>
      </c>
      <c r="O783" s="1" t="s">
        <v>6037</v>
      </c>
      <c r="P783" s="1" t="s">
        <v>1456</v>
      </c>
      <c r="Q783" s="1" t="s">
        <v>5902</v>
      </c>
      <c r="R783" s="1" t="s">
        <v>4844</v>
      </c>
      <c r="S783" s="8">
        <v>46054</v>
      </c>
      <c r="T783" s="1">
        <v>3</v>
      </c>
      <c r="U783" s="1" t="s">
        <v>4845</v>
      </c>
      <c r="V783" s="1" t="s">
        <v>4846</v>
      </c>
      <c r="W783" s="1" t="s">
        <v>4847</v>
      </c>
    </row>
    <row r="784" spans="1:23" x14ac:dyDescent="0.25">
      <c r="A784" s="1" t="s">
        <v>48</v>
      </c>
      <c r="B784" s="1" t="s">
        <v>2472</v>
      </c>
      <c r="C784" s="1" t="s">
        <v>50</v>
      </c>
      <c r="D784" s="1" t="s">
        <v>3393</v>
      </c>
      <c r="E784" s="1" t="s">
        <v>3394</v>
      </c>
      <c r="F784" s="22" t="s">
        <v>6085</v>
      </c>
      <c r="G784" s="1" t="s">
        <v>6</v>
      </c>
      <c r="H784" s="1" t="s">
        <v>20</v>
      </c>
      <c r="I784" s="1" t="s">
        <v>25</v>
      </c>
      <c r="J784" s="1" t="s">
        <v>9</v>
      </c>
      <c r="K784" s="1" t="s">
        <v>10</v>
      </c>
      <c r="L784" s="1" t="s">
        <v>16</v>
      </c>
      <c r="M784" s="1" t="s">
        <v>78</v>
      </c>
      <c r="N784" s="11" t="s">
        <v>188</v>
      </c>
      <c r="O784" s="1" t="s">
        <v>6037</v>
      </c>
      <c r="P784" s="1" t="s">
        <v>593</v>
      </c>
      <c r="Q784" s="17" t="s">
        <v>5912</v>
      </c>
      <c r="R784" s="1" t="s">
        <v>4848</v>
      </c>
      <c r="S784" s="8">
        <v>46048</v>
      </c>
      <c r="T784" s="1">
        <v>1</v>
      </c>
      <c r="U784" s="1" t="s">
        <v>4849</v>
      </c>
      <c r="V784" s="1" t="s">
        <v>1388</v>
      </c>
      <c r="W784" s="1" t="s">
        <v>1388</v>
      </c>
    </row>
    <row r="785" spans="1:23" x14ac:dyDescent="0.25">
      <c r="A785" s="1" t="s">
        <v>48</v>
      </c>
      <c r="B785" s="1" t="s">
        <v>2473</v>
      </c>
      <c r="C785" s="1" t="s">
        <v>50</v>
      </c>
      <c r="D785" s="1" t="s">
        <v>3395</v>
      </c>
      <c r="E785" s="1" t="s">
        <v>3396</v>
      </c>
      <c r="F785" s="22" t="s">
        <v>6085</v>
      </c>
      <c r="G785" s="1" t="s">
        <v>6</v>
      </c>
      <c r="H785" s="1" t="s">
        <v>24</v>
      </c>
      <c r="I785" s="1" t="s">
        <v>25</v>
      </c>
      <c r="J785" s="1" t="s">
        <v>9</v>
      </c>
      <c r="K785" s="1" t="s">
        <v>18</v>
      </c>
      <c r="L785" s="1" t="s">
        <v>18</v>
      </c>
      <c r="M785" s="1" t="s">
        <v>78</v>
      </c>
      <c r="N785" s="11" t="s">
        <v>188</v>
      </c>
      <c r="O785" s="1" t="s">
        <v>6037</v>
      </c>
      <c r="P785" s="1" t="s">
        <v>60</v>
      </c>
      <c r="Q785" s="1" t="s">
        <v>5481</v>
      </c>
      <c r="R785" s="18" t="s">
        <v>4850</v>
      </c>
      <c r="S785" s="8">
        <v>45689</v>
      </c>
      <c r="T785" s="1">
        <v>2</v>
      </c>
      <c r="U785" s="1" t="s">
        <v>4851</v>
      </c>
      <c r="V785" s="1" t="s">
        <v>4851</v>
      </c>
      <c r="W785" s="1" t="s">
        <v>1388</v>
      </c>
    </row>
    <row r="786" spans="1:23" x14ac:dyDescent="0.25">
      <c r="A786" s="1" t="s">
        <v>48</v>
      </c>
      <c r="B786" s="1" t="s">
        <v>2474</v>
      </c>
      <c r="C786" s="1" t="s">
        <v>50</v>
      </c>
      <c r="D786" s="1" t="s">
        <v>3397</v>
      </c>
      <c r="E786" s="1" t="s">
        <v>3398</v>
      </c>
      <c r="F786" s="22" t="s">
        <v>6085</v>
      </c>
      <c r="G786" s="1" t="s">
        <v>6</v>
      </c>
      <c r="H786" s="1" t="s">
        <v>24</v>
      </c>
      <c r="I786" s="1" t="s">
        <v>25</v>
      </c>
      <c r="J786" s="1" t="s">
        <v>9</v>
      </c>
      <c r="K786" s="1" t="s">
        <v>13</v>
      </c>
      <c r="L786" s="1" t="s">
        <v>13</v>
      </c>
      <c r="M786" s="1" t="s">
        <v>78</v>
      </c>
      <c r="N786" s="11" t="s">
        <v>188</v>
      </c>
      <c r="O786" s="1" t="s">
        <v>6037</v>
      </c>
      <c r="P786" s="1" t="s">
        <v>126</v>
      </c>
      <c r="Q786" s="1" t="s">
        <v>5913</v>
      </c>
      <c r="R786" s="1" t="s">
        <v>4852</v>
      </c>
      <c r="S786" s="8">
        <v>45658</v>
      </c>
      <c r="T786" s="1">
        <v>1</v>
      </c>
      <c r="U786" s="1" t="s">
        <v>291</v>
      </c>
      <c r="V786" s="1" t="s">
        <v>1388</v>
      </c>
      <c r="W786" s="1" t="s">
        <v>1388</v>
      </c>
    </row>
    <row r="787" spans="1:23" x14ac:dyDescent="0.25">
      <c r="A787" s="1" t="s">
        <v>48</v>
      </c>
      <c r="B787" s="1" t="s">
        <v>2475</v>
      </c>
      <c r="C787" s="1" t="s">
        <v>50</v>
      </c>
      <c r="D787" s="1" t="s">
        <v>3399</v>
      </c>
      <c r="E787" s="1" t="s">
        <v>3400</v>
      </c>
      <c r="F787" s="22" t="s">
        <v>6085</v>
      </c>
      <c r="G787" s="1" t="s">
        <v>5</v>
      </c>
      <c r="H787" s="1" t="s">
        <v>21</v>
      </c>
      <c r="I787" s="1" t="s">
        <v>25</v>
      </c>
      <c r="J787" s="1" t="s">
        <v>9</v>
      </c>
      <c r="K787" s="1" t="s">
        <v>19</v>
      </c>
      <c r="L787" s="1" t="s">
        <v>19</v>
      </c>
      <c r="M787" s="1" t="s">
        <v>78</v>
      </c>
      <c r="N787" s="11" t="s">
        <v>188</v>
      </c>
      <c r="O787" s="1" t="s">
        <v>6037</v>
      </c>
      <c r="P787" s="1" t="s">
        <v>4853</v>
      </c>
      <c r="Q787" s="18" t="s">
        <v>5914</v>
      </c>
      <c r="R787" s="1" t="s">
        <v>4854</v>
      </c>
      <c r="S787" s="8">
        <v>46083</v>
      </c>
      <c r="T787" s="1">
        <v>3</v>
      </c>
      <c r="U787" s="1" t="s">
        <v>4855</v>
      </c>
      <c r="V787" s="1" t="s">
        <v>4856</v>
      </c>
      <c r="W787" s="1" t="s">
        <v>4857</v>
      </c>
    </row>
    <row r="788" spans="1:23" x14ac:dyDescent="0.25">
      <c r="A788" s="1" t="s">
        <v>48</v>
      </c>
      <c r="B788" s="1" t="s">
        <v>2476</v>
      </c>
      <c r="C788" s="1" t="s">
        <v>50</v>
      </c>
      <c r="D788" s="1" t="s">
        <v>3401</v>
      </c>
      <c r="E788" s="1" t="s">
        <v>3402</v>
      </c>
      <c r="F788" s="22" t="s">
        <v>6085</v>
      </c>
      <c r="G788" s="1" t="s">
        <v>5</v>
      </c>
      <c r="H788" s="1" t="s">
        <v>24</v>
      </c>
      <c r="I788" s="1" t="s">
        <v>26</v>
      </c>
      <c r="J788" s="1" t="s">
        <v>9</v>
      </c>
      <c r="K788" s="1" t="s">
        <v>10</v>
      </c>
      <c r="L788" s="1" t="s">
        <v>16</v>
      </c>
      <c r="M788" s="1" t="s">
        <v>78</v>
      </c>
      <c r="N788" s="11" t="s">
        <v>188</v>
      </c>
      <c r="O788" s="1" t="s">
        <v>6037</v>
      </c>
      <c r="P788" s="1" t="s">
        <v>247</v>
      </c>
      <c r="Q788" s="18" t="s">
        <v>5380</v>
      </c>
      <c r="R788" s="1" t="s">
        <v>4858</v>
      </c>
      <c r="S788" s="8">
        <v>46082</v>
      </c>
      <c r="T788" s="1">
        <v>2</v>
      </c>
      <c r="U788" s="1" t="s">
        <v>4859</v>
      </c>
      <c r="V788" s="1" t="s">
        <v>810</v>
      </c>
      <c r="W788" s="1" t="s">
        <v>1388</v>
      </c>
    </row>
    <row r="789" spans="1:23" x14ac:dyDescent="0.25">
      <c r="A789" s="1" t="s">
        <v>48</v>
      </c>
      <c r="B789" s="1" t="s">
        <v>2477</v>
      </c>
      <c r="C789" s="1" t="s">
        <v>50</v>
      </c>
      <c r="D789" s="1" t="s">
        <v>3403</v>
      </c>
      <c r="E789" s="1" t="s">
        <v>3404</v>
      </c>
      <c r="F789" s="22" t="s">
        <v>6085</v>
      </c>
      <c r="G789" s="1" t="s">
        <v>5</v>
      </c>
      <c r="H789" s="1" t="s">
        <v>24</v>
      </c>
      <c r="I789" s="1" t="s">
        <v>25</v>
      </c>
      <c r="J789" s="1" t="s">
        <v>9</v>
      </c>
      <c r="K789" s="1" t="s">
        <v>13</v>
      </c>
      <c r="L789" s="1" t="s">
        <v>13</v>
      </c>
      <c r="M789" s="1" t="s">
        <v>78</v>
      </c>
      <c r="N789" s="11" t="s">
        <v>188</v>
      </c>
      <c r="O789" s="1" t="s">
        <v>6037</v>
      </c>
      <c r="P789" s="1" t="s">
        <v>247</v>
      </c>
      <c r="Q789" s="1" t="s">
        <v>5915</v>
      </c>
      <c r="R789" s="1" t="s">
        <v>4860</v>
      </c>
      <c r="S789" s="8">
        <v>45693</v>
      </c>
      <c r="T789" s="1">
        <v>2</v>
      </c>
      <c r="U789" s="1" t="s">
        <v>4861</v>
      </c>
      <c r="V789" s="1" t="s">
        <v>4862</v>
      </c>
      <c r="W789" s="1" t="s">
        <v>1388</v>
      </c>
    </row>
    <row r="790" spans="1:23" x14ac:dyDescent="0.25">
      <c r="A790" s="1" t="s">
        <v>48</v>
      </c>
      <c r="B790" s="1" t="s">
        <v>2478</v>
      </c>
      <c r="C790" s="1" t="s">
        <v>50</v>
      </c>
      <c r="D790" s="1" t="s">
        <v>3405</v>
      </c>
      <c r="E790" s="1" t="s">
        <v>3406</v>
      </c>
      <c r="F790" s="22" t="s">
        <v>6085</v>
      </c>
      <c r="G790" s="1" t="s">
        <v>6</v>
      </c>
      <c r="H790" s="1" t="s">
        <v>20</v>
      </c>
      <c r="I790" s="1" t="s">
        <v>26</v>
      </c>
      <c r="J790" s="1" t="s">
        <v>9</v>
      </c>
      <c r="K790" s="1" t="s">
        <v>13</v>
      </c>
      <c r="L790" s="1" t="s">
        <v>13</v>
      </c>
      <c r="M790" s="1" t="s">
        <v>78</v>
      </c>
      <c r="N790" s="1" t="s">
        <v>1013</v>
      </c>
      <c r="O790" s="1" t="s">
        <v>6037</v>
      </c>
      <c r="P790" s="1" t="s">
        <v>126</v>
      </c>
      <c r="Q790" s="1" t="s">
        <v>5916</v>
      </c>
      <c r="R790" s="1" t="s">
        <v>4863</v>
      </c>
      <c r="S790" s="8">
        <v>46042</v>
      </c>
      <c r="T790" s="1">
        <v>2</v>
      </c>
      <c r="U790" s="1" t="s">
        <v>4864</v>
      </c>
      <c r="V790" s="1" t="s">
        <v>4864</v>
      </c>
      <c r="W790" s="1" t="s">
        <v>1388</v>
      </c>
    </row>
    <row r="791" spans="1:23" x14ac:dyDescent="0.25">
      <c r="A791" s="1" t="s">
        <v>48</v>
      </c>
      <c r="B791" s="1" t="s">
        <v>2479</v>
      </c>
      <c r="C791" s="1" t="s">
        <v>50</v>
      </c>
      <c r="D791" s="1" t="s">
        <v>3407</v>
      </c>
      <c r="E791" s="1" t="s">
        <v>3408</v>
      </c>
      <c r="F791" s="22" t="s">
        <v>6085</v>
      </c>
      <c r="G791" s="1" t="s">
        <v>5</v>
      </c>
      <c r="H791" s="1" t="s">
        <v>21</v>
      </c>
      <c r="I791" s="1" t="s">
        <v>25</v>
      </c>
      <c r="J791" s="1" t="s">
        <v>9</v>
      </c>
      <c r="K791" s="1" t="s">
        <v>13</v>
      </c>
      <c r="L791" s="1" t="s">
        <v>13</v>
      </c>
      <c r="M791" s="1" t="s">
        <v>78</v>
      </c>
      <c r="N791" s="11" t="s">
        <v>188</v>
      </c>
      <c r="O791" s="2" t="s">
        <v>6235</v>
      </c>
      <c r="P791" s="1" t="s">
        <v>4865</v>
      </c>
      <c r="Q791" s="1" t="s">
        <v>5917</v>
      </c>
      <c r="R791" s="1" t="s">
        <v>4866</v>
      </c>
      <c r="S791" s="8">
        <v>46146</v>
      </c>
      <c r="T791" s="1">
        <v>3</v>
      </c>
      <c r="U791" s="1" t="s">
        <v>763</v>
      </c>
      <c r="V791" s="1" t="s">
        <v>1587</v>
      </c>
      <c r="W791" s="1" t="s">
        <v>1588</v>
      </c>
    </row>
    <row r="792" spans="1:23" x14ac:dyDescent="0.25">
      <c r="A792" s="1" t="s">
        <v>48</v>
      </c>
      <c r="B792" s="1" t="s">
        <v>2480</v>
      </c>
      <c r="C792" s="1" t="s">
        <v>50</v>
      </c>
      <c r="D792" s="1" t="s">
        <v>3409</v>
      </c>
      <c r="E792" s="1" t="s">
        <v>3410</v>
      </c>
      <c r="F792" s="22" t="s">
        <v>6085</v>
      </c>
      <c r="G792" s="1" t="s">
        <v>7</v>
      </c>
      <c r="H792" s="1" t="s">
        <v>20</v>
      </c>
      <c r="I792" s="1" t="s">
        <v>25</v>
      </c>
      <c r="J792" s="1" t="s">
        <v>9</v>
      </c>
      <c r="K792" s="1" t="s">
        <v>13</v>
      </c>
      <c r="L792" s="1" t="s">
        <v>13</v>
      </c>
      <c r="M792" s="1" t="s">
        <v>78</v>
      </c>
      <c r="N792" s="11" t="s">
        <v>188</v>
      </c>
      <c r="O792" s="1" t="s">
        <v>6037</v>
      </c>
      <c r="P792" s="1" t="s">
        <v>126</v>
      </c>
      <c r="Q792" s="1" t="s">
        <v>5918</v>
      </c>
      <c r="R792" s="1" t="s">
        <v>4867</v>
      </c>
      <c r="S792" s="8">
        <v>46023</v>
      </c>
      <c r="T792" s="1">
        <v>1</v>
      </c>
      <c r="U792" s="1" t="s">
        <v>1453</v>
      </c>
      <c r="V792" s="1" t="s">
        <v>1388</v>
      </c>
      <c r="W792" s="1" t="s">
        <v>1388</v>
      </c>
    </row>
    <row r="793" spans="1:23" x14ac:dyDescent="0.25">
      <c r="A793" s="1" t="s">
        <v>48</v>
      </c>
      <c r="B793" s="1" t="s">
        <v>2481</v>
      </c>
      <c r="C793" s="1" t="s">
        <v>50</v>
      </c>
      <c r="D793" s="1" t="s">
        <v>3411</v>
      </c>
      <c r="E793" s="1" t="s">
        <v>3412</v>
      </c>
      <c r="F793" s="22" t="s">
        <v>6085</v>
      </c>
      <c r="G793" s="1" t="s">
        <v>7</v>
      </c>
      <c r="H793" s="1" t="s">
        <v>21</v>
      </c>
      <c r="I793" s="1" t="s">
        <v>25</v>
      </c>
      <c r="J793" s="1" t="s">
        <v>9</v>
      </c>
      <c r="K793" s="1" t="s">
        <v>16</v>
      </c>
      <c r="L793" s="1" t="s">
        <v>16</v>
      </c>
      <c r="M793" s="1" t="s">
        <v>78</v>
      </c>
      <c r="N793" s="11" t="s">
        <v>188</v>
      </c>
      <c r="O793" s="1" t="s">
        <v>6037</v>
      </c>
      <c r="P793" s="1" t="s">
        <v>4868</v>
      </c>
      <c r="Q793" s="1" t="s">
        <v>5919</v>
      </c>
      <c r="R793" s="1" t="s">
        <v>4869</v>
      </c>
      <c r="S793" s="8">
        <v>46052</v>
      </c>
      <c r="T793" s="1">
        <v>2</v>
      </c>
      <c r="U793" s="1" t="s">
        <v>796</v>
      </c>
      <c r="V793" s="1" t="s">
        <v>4870</v>
      </c>
      <c r="W793" s="1" t="s">
        <v>1388</v>
      </c>
    </row>
    <row r="794" spans="1:23" x14ac:dyDescent="0.25">
      <c r="A794" s="1" t="s">
        <v>48</v>
      </c>
      <c r="B794" s="1" t="s">
        <v>2482</v>
      </c>
      <c r="C794" s="1" t="s">
        <v>50</v>
      </c>
      <c r="D794" s="1" t="s">
        <v>3413</v>
      </c>
      <c r="E794" s="1" t="s">
        <v>3414</v>
      </c>
      <c r="F794" s="22" t="s">
        <v>6085</v>
      </c>
      <c r="G794" s="1" t="s">
        <v>5</v>
      </c>
      <c r="H794" s="1" t="s">
        <v>24</v>
      </c>
      <c r="I794" s="1" t="s">
        <v>25</v>
      </c>
      <c r="J794" s="1" t="s">
        <v>9</v>
      </c>
      <c r="K794" s="1" t="s">
        <v>10</v>
      </c>
      <c r="L794" s="1" t="s">
        <v>16</v>
      </c>
      <c r="M794" s="1" t="s">
        <v>78</v>
      </c>
      <c r="N794" s="11" t="s">
        <v>188</v>
      </c>
      <c r="O794" s="1" t="s">
        <v>6037</v>
      </c>
      <c r="P794" s="1" t="s">
        <v>126</v>
      </c>
      <c r="Q794" s="18" t="s">
        <v>5747</v>
      </c>
      <c r="R794" s="1" t="s">
        <v>4621</v>
      </c>
      <c r="S794" s="8">
        <v>45670</v>
      </c>
      <c r="T794" s="1">
        <v>3</v>
      </c>
      <c r="U794" s="1" t="s">
        <v>4337</v>
      </c>
      <c r="V794" s="1" t="s">
        <v>4871</v>
      </c>
      <c r="W794" s="1" t="s">
        <v>4155</v>
      </c>
    </row>
    <row r="795" spans="1:23" x14ac:dyDescent="0.25">
      <c r="A795" s="1" t="s">
        <v>48</v>
      </c>
      <c r="B795" s="1" t="s">
        <v>2483</v>
      </c>
      <c r="C795" s="1" t="s">
        <v>50</v>
      </c>
      <c r="D795" s="1" t="s">
        <v>3415</v>
      </c>
      <c r="E795" s="1" t="s">
        <v>3416</v>
      </c>
      <c r="F795" s="22" t="s">
        <v>6085</v>
      </c>
      <c r="G795" s="1" t="s">
        <v>5</v>
      </c>
      <c r="H795" s="1" t="s">
        <v>20</v>
      </c>
      <c r="I795" s="1" t="s">
        <v>25</v>
      </c>
      <c r="J795" s="1" t="s">
        <v>9</v>
      </c>
      <c r="K795" s="1" t="s">
        <v>13</v>
      </c>
      <c r="L795" s="1" t="s">
        <v>13</v>
      </c>
      <c r="M795" s="1" t="s">
        <v>78</v>
      </c>
      <c r="N795" s="11" t="s">
        <v>188</v>
      </c>
      <c r="O795" s="1" t="s">
        <v>6037</v>
      </c>
      <c r="P795" s="1" t="s">
        <v>247</v>
      </c>
      <c r="Q795" s="1" t="s">
        <v>5920</v>
      </c>
      <c r="R795" s="1" t="s">
        <v>4872</v>
      </c>
      <c r="S795" s="8">
        <v>46027</v>
      </c>
      <c r="T795" s="1">
        <v>2</v>
      </c>
      <c r="U795" s="1" t="s">
        <v>4871</v>
      </c>
      <c r="V795" s="1" t="s">
        <v>4609</v>
      </c>
      <c r="W795" s="1" t="s">
        <v>1388</v>
      </c>
    </row>
    <row r="796" spans="1:23" x14ac:dyDescent="0.25">
      <c r="A796" s="1" t="s">
        <v>48</v>
      </c>
      <c r="B796" s="1" t="s">
        <v>2484</v>
      </c>
      <c r="C796" s="1" t="s">
        <v>50</v>
      </c>
      <c r="D796" s="1" t="s">
        <v>3417</v>
      </c>
      <c r="E796" s="1" t="s">
        <v>3418</v>
      </c>
      <c r="F796" s="22" t="s">
        <v>6085</v>
      </c>
      <c r="G796" s="1" t="s">
        <v>6</v>
      </c>
      <c r="H796" s="1" t="s">
        <v>20</v>
      </c>
      <c r="I796" s="1" t="s">
        <v>25</v>
      </c>
      <c r="J796" s="1" t="s">
        <v>9</v>
      </c>
      <c r="K796" s="1" t="s">
        <v>11</v>
      </c>
      <c r="L796" s="1" t="s">
        <v>11</v>
      </c>
      <c r="M796" s="1" t="s">
        <v>78</v>
      </c>
      <c r="N796" s="11" t="s">
        <v>188</v>
      </c>
      <c r="O796" s="1" t="s">
        <v>6037</v>
      </c>
      <c r="P796" s="1" t="s">
        <v>66</v>
      </c>
      <c r="Q796" s="1" t="s">
        <v>5921</v>
      </c>
      <c r="R796" s="1" t="s">
        <v>4873</v>
      </c>
      <c r="S796" s="8">
        <v>46023</v>
      </c>
      <c r="T796" s="1">
        <v>1</v>
      </c>
      <c r="U796" s="1" t="s">
        <v>471</v>
      </c>
      <c r="V796" s="1" t="s">
        <v>1388</v>
      </c>
      <c r="W796" s="1" t="s">
        <v>1388</v>
      </c>
    </row>
    <row r="797" spans="1:23" x14ac:dyDescent="0.25">
      <c r="A797" s="1" t="s">
        <v>48</v>
      </c>
      <c r="B797" s="1" t="s">
        <v>2485</v>
      </c>
      <c r="C797" s="1" t="s">
        <v>50</v>
      </c>
      <c r="D797" s="1" t="s">
        <v>3419</v>
      </c>
      <c r="E797" s="1" t="s">
        <v>3420</v>
      </c>
      <c r="F797" s="22" t="s">
        <v>6085</v>
      </c>
      <c r="G797" s="1" t="s">
        <v>6</v>
      </c>
      <c r="H797" s="1" t="s">
        <v>20</v>
      </c>
      <c r="I797" s="1" t="s">
        <v>25</v>
      </c>
      <c r="J797" s="1" t="s">
        <v>9</v>
      </c>
      <c r="K797" s="1" t="s">
        <v>14</v>
      </c>
      <c r="L797" s="1" t="s">
        <v>14</v>
      </c>
      <c r="M797" s="1" t="s">
        <v>78</v>
      </c>
      <c r="N797" s="11" t="s">
        <v>188</v>
      </c>
      <c r="O797" s="1" t="s">
        <v>6037</v>
      </c>
      <c r="P797" s="1" t="s">
        <v>656</v>
      </c>
      <c r="Q797" s="1" t="s">
        <v>5750</v>
      </c>
      <c r="R797" s="1" t="s">
        <v>4874</v>
      </c>
      <c r="S797" s="8">
        <v>45719</v>
      </c>
      <c r="T797" s="1">
        <v>1</v>
      </c>
      <c r="U797" s="1" t="s">
        <v>4875</v>
      </c>
      <c r="V797" s="1" t="s">
        <v>1388</v>
      </c>
      <c r="W797" s="1" t="s">
        <v>1388</v>
      </c>
    </row>
    <row r="798" spans="1:23" x14ac:dyDescent="0.25">
      <c r="A798" s="1" t="s">
        <v>48</v>
      </c>
      <c r="B798" s="1" t="s">
        <v>2486</v>
      </c>
      <c r="C798" s="1" t="s">
        <v>50</v>
      </c>
      <c r="D798" s="1" t="s">
        <v>3421</v>
      </c>
      <c r="E798" s="1" t="s">
        <v>3422</v>
      </c>
      <c r="F798" s="22" t="s">
        <v>6085</v>
      </c>
      <c r="G798" s="1" t="s">
        <v>5</v>
      </c>
      <c r="H798" s="1" t="s">
        <v>24</v>
      </c>
      <c r="I798" s="1" t="s">
        <v>26</v>
      </c>
      <c r="J798" s="1" t="s">
        <v>8</v>
      </c>
      <c r="K798" s="1" t="s">
        <v>16</v>
      </c>
      <c r="L798" s="1" t="s">
        <v>16</v>
      </c>
      <c r="M798" s="1" t="s">
        <v>78</v>
      </c>
      <c r="N798" s="11" t="s">
        <v>188</v>
      </c>
      <c r="O798" s="1" t="s">
        <v>6037</v>
      </c>
      <c r="P798" s="1" t="s">
        <v>4876</v>
      </c>
      <c r="Q798" s="1" t="s">
        <v>5284</v>
      </c>
      <c r="R798" s="1" t="s">
        <v>4877</v>
      </c>
      <c r="S798" s="8">
        <v>46023</v>
      </c>
      <c r="T798" s="1">
        <v>3</v>
      </c>
      <c r="U798" s="1" t="s">
        <v>4878</v>
      </c>
      <c r="V798" s="1" t="s">
        <v>4878</v>
      </c>
      <c r="W798" s="1" t="s">
        <v>4878</v>
      </c>
    </row>
    <row r="799" spans="1:23" x14ac:dyDescent="0.25">
      <c r="A799" s="1" t="s">
        <v>48</v>
      </c>
      <c r="B799" s="1" t="s">
        <v>2487</v>
      </c>
      <c r="C799" s="1" t="s">
        <v>50</v>
      </c>
      <c r="D799" s="1" t="s">
        <v>3423</v>
      </c>
      <c r="E799" s="1" t="s">
        <v>3424</v>
      </c>
      <c r="F799" s="22" t="s">
        <v>6085</v>
      </c>
      <c r="G799" s="1" t="s">
        <v>6</v>
      </c>
      <c r="H799" s="1" t="s">
        <v>20</v>
      </c>
      <c r="I799" s="1" t="s">
        <v>26</v>
      </c>
      <c r="J799" s="1" t="s">
        <v>9</v>
      </c>
      <c r="K799" s="1" t="s">
        <v>14</v>
      </c>
      <c r="L799" s="1" t="s">
        <v>14</v>
      </c>
      <c r="M799" s="1" t="s">
        <v>78</v>
      </c>
      <c r="N799" s="11" t="s">
        <v>188</v>
      </c>
      <c r="O799" s="1" t="s">
        <v>6037</v>
      </c>
      <c r="P799" s="1" t="s">
        <v>247</v>
      </c>
      <c r="Q799" s="1" t="s">
        <v>5577</v>
      </c>
      <c r="R799" s="1" t="s">
        <v>4879</v>
      </c>
      <c r="S799" s="8">
        <v>45693</v>
      </c>
      <c r="T799" s="1">
        <v>1</v>
      </c>
      <c r="U799" s="1" t="s">
        <v>4880</v>
      </c>
      <c r="V799" s="1" t="s">
        <v>1388</v>
      </c>
      <c r="W799" s="1" t="s">
        <v>1388</v>
      </c>
    </row>
    <row r="800" spans="1:23" x14ac:dyDescent="0.25">
      <c r="A800" s="1" t="s">
        <v>48</v>
      </c>
      <c r="B800" s="1" t="s">
        <v>2488</v>
      </c>
      <c r="C800" s="1" t="s">
        <v>50</v>
      </c>
      <c r="D800" s="1" t="s">
        <v>3425</v>
      </c>
      <c r="E800" s="1" t="s">
        <v>3426</v>
      </c>
      <c r="F800" s="22" t="s">
        <v>5259</v>
      </c>
      <c r="G800" s="1" t="s">
        <v>6</v>
      </c>
      <c r="H800" s="1" t="s">
        <v>20</v>
      </c>
      <c r="I800" s="1" t="s">
        <v>25</v>
      </c>
      <c r="J800" s="1" t="s">
        <v>9</v>
      </c>
      <c r="K800" s="1" t="s">
        <v>14</v>
      </c>
      <c r="L800" s="1" t="s">
        <v>14</v>
      </c>
      <c r="M800" s="1" t="s">
        <v>78</v>
      </c>
      <c r="N800" s="1" t="s">
        <v>6027</v>
      </c>
      <c r="O800" s="1" t="s">
        <v>6037</v>
      </c>
      <c r="P800" s="1" t="s">
        <v>85</v>
      </c>
      <c r="Q800" s="1" t="s">
        <v>5922</v>
      </c>
      <c r="R800" s="1" t="s">
        <v>4881</v>
      </c>
      <c r="S800" s="8">
        <v>45896</v>
      </c>
      <c r="T800" s="1">
        <v>2</v>
      </c>
      <c r="U800" s="1" t="s">
        <v>4882</v>
      </c>
      <c r="V800" s="1" t="s">
        <v>4883</v>
      </c>
      <c r="W800" s="1" t="s">
        <v>1388</v>
      </c>
    </row>
    <row r="801" spans="1:23" x14ac:dyDescent="0.25">
      <c r="A801" s="1" t="s">
        <v>48</v>
      </c>
      <c r="B801" s="1" t="s">
        <v>2489</v>
      </c>
      <c r="C801" s="1" t="s">
        <v>50</v>
      </c>
      <c r="D801" s="1" t="s">
        <v>3427</v>
      </c>
      <c r="E801" s="1" t="s">
        <v>3428</v>
      </c>
      <c r="F801" s="22" t="s">
        <v>6085</v>
      </c>
      <c r="G801" s="1" t="s">
        <v>6</v>
      </c>
      <c r="H801" s="1" t="s">
        <v>20</v>
      </c>
      <c r="I801" s="1" t="s">
        <v>25</v>
      </c>
      <c r="J801" s="1" t="s">
        <v>9</v>
      </c>
      <c r="K801" s="1" t="s">
        <v>16</v>
      </c>
      <c r="L801" s="1" t="s">
        <v>16</v>
      </c>
      <c r="M801" s="1" t="s">
        <v>78</v>
      </c>
      <c r="N801" s="11" t="s">
        <v>188</v>
      </c>
      <c r="O801" s="1" t="s">
        <v>6037</v>
      </c>
      <c r="P801" s="1" t="s">
        <v>1456</v>
      </c>
      <c r="Q801" s="1" t="s">
        <v>5923</v>
      </c>
      <c r="R801" s="10" t="s">
        <v>4884</v>
      </c>
      <c r="S801" s="8">
        <v>45672</v>
      </c>
      <c r="T801" s="1">
        <v>1</v>
      </c>
      <c r="U801" s="1" t="s">
        <v>4632</v>
      </c>
      <c r="V801" s="1" t="s">
        <v>1388</v>
      </c>
      <c r="W801" s="1" t="s">
        <v>1388</v>
      </c>
    </row>
    <row r="802" spans="1:23" x14ac:dyDescent="0.25">
      <c r="A802" s="1" t="s">
        <v>48</v>
      </c>
      <c r="B802" s="1" t="s">
        <v>2490</v>
      </c>
      <c r="C802" s="1" t="s">
        <v>50</v>
      </c>
      <c r="D802" s="1" t="s">
        <v>3429</v>
      </c>
      <c r="E802" s="1" t="s">
        <v>3430</v>
      </c>
      <c r="F802" s="22" t="s">
        <v>6085</v>
      </c>
      <c r="G802" s="1" t="s">
        <v>6</v>
      </c>
      <c r="H802" s="1" t="s">
        <v>20</v>
      </c>
      <c r="I802" s="1" t="s">
        <v>25</v>
      </c>
      <c r="J802" s="1" t="s">
        <v>9</v>
      </c>
      <c r="K802" s="1" t="s">
        <v>14</v>
      </c>
      <c r="L802" s="1" t="s">
        <v>14</v>
      </c>
      <c r="M802" s="1" t="s">
        <v>78</v>
      </c>
      <c r="N802" s="11" t="s">
        <v>188</v>
      </c>
      <c r="O802" s="1" t="s">
        <v>6037</v>
      </c>
      <c r="P802" s="1" t="s">
        <v>707</v>
      </c>
      <c r="Q802" s="1" t="s">
        <v>5924</v>
      </c>
      <c r="R802" s="1" t="s">
        <v>4885</v>
      </c>
      <c r="S802" s="8">
        <v>46069</v>
      </c>
      <c r="T802" s="1">
        <v>1</v>
      </c>
      <c r="U802" s="1" t="s">
        <v>629</v>
      </c>
      <c r="V802" s="1" t="s">
        <v>1388</v>
      </c>
      <c r="W802" s="1" t="s">
        <v>1388</v>
      </c>
    </row>
    <row r="803" spans="1:23" x14ac:dyDescent="0.25">
      <c r="A803" s="1" t="s">
        <v>48</v>
      </c>
      <c r="B803" s="1" t="s">
        <v>2491</v>
      </c>
      <c r="C803" s="1" t="s">
        <v>50</v>
      </c>
      <c r="D803" s="1" t="s">
        <v>3431</v>
      </c>
      <c r="E803" s="1" t="s">
        <v>3432</v>
      </c>
      <c r="F803" s="22" t="s">
        <v>6085</v>
      </c>
      <c r="G803" s="1" t="s">
        <v>5</v>
      </c>
      <c r="H803" s="1" t="s">
        <v>22</v>
      </c>
      <c r="I803" s="1" t="s">
        <v>25</v>
      </c>
      <c r="J803" s="1" t="s">
        <v>9</v>
      </c>
      <c r="K803" s="1" t="s">
        <v>10</v>
      </c>
      <c r="L803" s="1" t="s">
        <v>17</v>
      </c>
      <c r="M803" s="1" t="s">
        <v>78</v>
      </c>
      <c r="N803" s="11" t="s">
        <v>188</v>
      </c>
      <c r="O803" s="1" t="s">
        <v>6037</v>
      </c>
      <c r="P803" s="1" t="s">
        <v>306</v>
      </c>
      <c r="Q803" s="18" t="s">
        <v>4621</v>
      </c>
      <c r="R803" s="1" t="s">
        <v>4886</v>
      </c>
      <c r="S803" s="8">
        <v>45859</v>
      </c>
      <c r="T803" s="1">
        <v>3</v>
      </c>
      <c r="U803" s="1" t="s">
        <v>4887</v>
      </c>
      <c r="V803" s="1" t="s">
        <v>4887</v>
      </c>
      <c r="W803" s="1" t="s">
        <v>4887</v>
      </c>
    </row>
    <row r="804" spans="1:23" x14ac:dyDescent="0.25">
      <c r="A804" s="1" t="s">
        <v>48</v>
      </c>
      <c r="B804" s="1" t="s">
        <v>2492</v>
      </c>
      <c r="C804" s="1" t="s">
        <v>50</v>
      </c>
      <c r="D804" s="1" t="s">
        <v>3433</v>
      </c>
      <c r="E804" s="1" t="s">
        <v>3434</v>
      </c>
      <c r="F804" s="22" t="s">
        <v>6085</v>
      </c>
      <c r="G804" s="1" t="s">
        <v>5</v>
      </c>
      <c r="H804" s="1" t="s">
        <v>20</v>
      </c>
      <c r="I804" s="1" t="s">
        <v>25</v>
      </c>
      <c r="J804" s="1" t="s">
        <v>9</v>
      </c>
      <c r="K804" s="1" t="s">
        <v>14</v>
      </c>
      <c r="L804" s="1" t="s">
        <v>14</v>
      </c>
      <c r="M804" s="1" t="s">
        <v>78</v>
      </c>
      <c r="N804" s="11" t="s">
        <v>188</v>
      </c>
      <c r="O804" s="1" t="s">
        <v>6037</v>
      </c>
      <c r="P804" s="1" t="s">
        <v>1519</v>
      </c>
      <c r="Q804" s="18" t="s">
        <v>5524</v>
      </c>
      <c r="R804" s="1" t="s">
        <v>4888</v>
      </c>
      <c r="S804" s="8">
        <v>46083</v>
      </c>
      <c r="T804" s="1">
        <v>3</v>
      </c>
      <c r="U804" s="1" t="s">
        <v>4889</v>
      </c>
      <c r="V804" s="1" t="s">
        <v>4890</v>
      </c>
      <c r="W804" s="1" t="s">
        <v>1782</v>
      </c>
    </row>
    <row r="805" spans="1:23" x14ac:dyDescent="0.25">
      <c r="A805" s="1" t="s">
        <v>48</v>
      </c>
      <c r="B805" s="1" t="s">
        <v>2493</v>
      </c>
      <c r="C805" s="1" t="s">
        <v>50</v>
      </c>
      <c r="D805" s="1" t="s">
        <v>3435</v>
      </c>
      <c r="E805" s="1" t="s">
        <v>3436</v>
      </c>
      <c r="F805" s="22" t="s">
        <v>6085</v>
      </c>
      <c r="G805" s="1" t="s">
        <v>5</v>
      </c>
      <c r="H805" s="1" t="s">
        <v>20</v>
      </c>
      <c r="I805" s="1" t="s">
        <v>26</v>
      </c>
      <c r="J805" s="1" t="s">
        <v>9</v>
      </c>
      <c r="K805" s="1" t="s">
        <v>13</v>
      </c>
      <c r="L805" s="1" t="s">
        <v>13</v>
      </c>
      <c r="M805" s="1" t="s">
        <v>78</v>
      </c>
      <c r="N805" s="11" t="s">
        <v>188</v>
      </c>
      <c r="O805" s="1" t="s">
        <v>6037</v>
      </c>
      <c r="P805" s="1" t="s">
        <v>639</v>
      </c>
      <c r="Q805" s="1" t="s">
        <v>5925</v>
      </c>
      <c r="R805" s="1" t="s">
        <v>4891</v>
      </c>
      <c r="S805" s="8">
        <v>45677</v>
      </c>
      <c r="T805" s="1">
        <v>3</v>
      </c>
      <c r="U805" s="1" t="s">
        <v>3976</v>
      </c>
      <c r="V805" s="1" t="s">
        <v>3976</v>
      </c>
      <c r="W805" s="1" t="s">
        <v>3976</v>
      </c>
    </row>
    <row r="806" spans="1:23" x14ac:dyDescent="0.25">
      <c r="A806" s="1" t="s">
        <v>48</v>
      </c>
      <c r="B806" s="1" t="s">
        <v>2494</v>
      </c>
      <c r="C806" s="1" t="s">
        <v>50</v>
      </c>
      <c r="D806" s="1" t="s">
        <v>3437</v>
      </c>
      <c r="E806" s="1" t="s">
        <v>3438</v>
      </c>
      <c r="F806" s="22" t="s">
        <v>6085</v>
      </c>
      <c r="G806" s="1" t="s">
        <v>5</v>
      </c>
      <c r="H806" s="1" t="s">
        <v>17</v>
      </c>
      <c r="I806" s="1" t="s">
        <v>26</v>
      </c>
      <c r="J806" s="1" t="s">
        <v>9</v>
      </c>
      <c r="K806" s="1" t="s">
        <v>10</v>
      </c>
      <c r="L806" s="1" t="s">
        <v>16</v>
      </c>
      <c r="M806" s="1" t="s">
        <v>78</v>
      </c>
      <c r="N806" s="11" t="s">
        <v>188</v>
      </c>
      <c r="O806" s="1" t="s">
        <v>6037</v>
      </c>
      <c r="P806" s="1" t="s">
        <v>1444</v>
      </c>
      <c r="Q806" s="18" t="s">
        <v>5380</v>
      </c>
      <c r="R806" s="1" t="s">
        <v>4892</v>
      </c>
      <c r="S806" s="8">
        <v>45692</v>
      </c>
      <c r="T806" s="1">
        <v>3</v>
      </c>
      <c r="U806" s="1" t="s">
        <v>4893</v>
      </c>
      <c r="V806" s="1" t="s">
        <v>4893</v>
      </c>
      <c r="W806" s="1" t="s">
        <v>4893</v>
      </c>
    </row>
    <row r="807" spans="1:23" x14ac:dyDescent="0.25">
      <c r="A807" s="1" t="s">
        <v>48</v>
      </c>
      <c r="B807" s="1" t="s">
        <v>2495</v>
      </c>
      <c r="C807" s="1" t="s">
        <v>50</v>
      </c>
      <c r="D807" s="1" t="s">
        <v>3439</v>
      </c>
      <c r="E807" s="1" t="s">
        <v>3440</v>
      </c>
      <c r="F807" s="22" t="s">
        <v>6085</v>
      </c>
      <c r="G807" s="1" t="s">
        <v>6</v>
      </c>
      <c r="H807" s="1" t="s">
        <v>20</v>
      </c>
      <c r="I807" s="1" t="s">
        <v>25</v>
      </c>
      <c r="J807" s="1" t="s">
        <v>9</v>
      </c>
      <c r="K807" s="1" t="s">
        <v>14</v>
      </c>
      <c r="L807" s="1" t="s">
        <v>14</v>
      </c>
      <c r="M807" s="1" t="s">
        <v>78</v>
      </c>
      <c r="N807" s="11" t="s">
        <v>188</v>
      </c>
      <c r="O807" s="1" t="s">
        <v>6037</v>
      </c>
      <c r="P807" s="1" t="s">
        <v>801</v>
      </c>
      <c r="Q807" s="1" t="s">
        <v>5926</v>
      </c>
      <c r="R807" s="1" t="s">
        <v>4894</v>
      </c>
      <c r="S807" s="8">
        <v>46048</v>
      </c>
      <c r="T807" s="1">
        <v>2</v>
      </c>
      <c r="U807" s="1" t="s">
        <v>170</v>
      </c>
      <c r="V807" s="1" t="s">
        <v>170</v>
      </c>
      <c r="W807" s="1" t="s">
        <v>1388</v>
      </c>
    </row>
    <row r="808" spans="1:23" x14ac:dyDescent="0.25">
      <c r="A808" s="1" t="s">
        <v>48</v>
      </c>
      <c r="B808" s="1" t="s">
        <v>2496</v>
      </c>
      <c r="C808" s="1" t="s">
        <v>50</v>
      </c>
      <c r="D808" s="1" t="s">
        <v>3441</v>
      </c>
      <c r="E808" s="1" t="s">
        <v>3442</v>
      </c>
      <c r="F808" s="22" t="s">
        <v>6085</v>
      </c>
      <c r="G808" s="1" t="s">
        <v>5</v>
      </c>
      <c r="H808" s="1" t="s">
        <v>20</v>
      </c>
      <c r="I808" s="1" t="s">
        <v>25</v>
      </c>
      <c r="J808" s="1" t="s">
        <v>9</v>
      </c>
      <c r="K808" s="1" t="s">
        <v>16</v>
      </c>
      <c r="L808" s="1" t="s">
        <v>17</v>
      </c>
      <c r="M808" s="1" t="s">
        <v>78</v>
      </c>
      <c r="N808" s="11" t="s">
        <v>188</v>
      </c>
      <c r="O808" s="1" t="s">
        <v>6037</v>
      </c>
      <c r="P808" s="1" t="s">
        <v>1456</v>
      </c>
      <c r="Q808" s="1" t="s">
        <v>5927</v>
      </c>
      <c r="R808" s="1" t="s">
        <v>4895</v>
      </c>
      <c r="S808" s="8">
        <v>46034</v>
      </c>
      <c r="T808" s="1">
        <v>3</v>
      </c>
      <c r="U808" s="1" t="s">
        <v>4896</v>
      </c>
      <c r="V808" s="1" t="s">
        <v>4897</v>
      </c>
      <c r="W808" s="1" t="s">
        <v>4898</v>
      </c>
    </row>
    <row r="809" spans="1:23" x14ac:dyDescent="0.25">
      <c r="A809" s="1" t="s">
        <v>48</v>
      </c>
      <c r="B809" s="1" t="s">
        <v>2497</v>
      </c>
      <c r="C809" s="1" t="s">
        <v>50</v>
      </c>
      <c r="D809" s="1" t="s">
        <v>3443</v>
      </c>
      <c r="E809" s="1" t="s">
        <v>3444</v>
      </c>
      <c r="F809" s="22" t="s">
        <v>6085</v>
      </c>
      <c r="G809" s="1" t="s">
        <v>6</v>
      </c>
      <c r="H809" s="1" t="s">
        <v>21</v>
      </c>
      <c r="I809" s="1" t="s">
        <v>25</v>
      </c>
      <c r="J809" s="1" t="s">
        <v>9</v>
      </c>
      <c r="K809" s="1" t="s">
        <v>14</v>
      </c>
      <c r="L809" s="1" t="s">
        <v>14</v>
      </c>
      <c r="M809" s="1" t="s">
        <v>78</v>
      </c>
      <c r="N809" s="1" t="s">
        <v>5224</v>
      </c>
      <c r="O809" s="1" t="s">
        <v>6037</v>
      </c>
      <c r="P809" s="1" t="s">
        <v>126</v>
      </c>
      <c r="Q809" s="1" t="s">
        <v>5928</v>
      </c>
      <c r="R809" s="1" t="s">
        <v>4899</v>
      </c>
      <c r="S809" s="8">
        <v>46069</v>
      </c>
      <c r="T809" s="1">
        <v>1</v>
      </c>
      <c r="U809" s="1" t="s">
        <v>4069</v>
      </c>
      <c r="V809" s="1" t="s">
        <v>1388</v>
      </c>
      <c r="W809" s="1" t="s">
        <v>1388</v>
      </c>
    </row>
    <row r="810" spans="1:23" x14ac:dyDescent="0.25">
      <c r="A810" s="1" t="s">
        <v>48</v>
      </c>
      <c r="B810" s="1" t="s">
        <v>2498</v>
      </c>
      <c r="C810" s="1" t="s">
        <v>50</v>
      </c>
      <c r="D810" s="1" t="s">
        <v>3445</v>
      </c>
      <c r="E810" s="1" t="s">
        <v>3446</v>
      </c>
      <c r="F810" s="22" t="s">
        <v>6085</v>
      </c>
      <c r="G810" s="1" t="s">
        <v>6</v>
      </c>
      <c r="H810" s="1" t="s">
        <v>24</v>
      </c>
      <c r="I810" s="1" t="s">
        <v>25</v>
      </c>
      <c r="J810" s="1" t="s">
        <v>9</v>
      </c>
      <c r="K810" s="1" t="s">
        <v>15</v>
      </c>
      <c r="L810" s="1" t="s">
        <v>15</v>
      </c>
      <c r="M810" s="1" t="s">
        <v>78</v>
      </c>
      <c r="N810" s="11" t="s">
        <v>188</v>
      </c>
      <c r="O810" s="1" t="s">
        <v>6037</v>
      </c>
      <c r="P810" s="1" t="s">
        <v>60</v>
      </c>
      <c r="Q810" s="1" t="s">
        <v>5929</v>
      </c>
      <c r="R810" s="1" t="s">
        <v>4900</v>
      </c>
      <c r="S810" s="8">
        <v>46023</v>
      </c>
      <c r="T810" s="1">
        <v>1</v>
      </c>
      <c r="U810" s="1" t="s">
        <v>3968</v>
      </c>
      <c r="V810" s="1" t="s">
        <v>1388</v>
      </c>
      <c r="W810" s="1" t="s">
        <v>1388</v>
      </c>
    </row>
    <row r="811" spans="1:23" x14ac:dyDescent="0.25">
      <c r="A811" s="1" t="s">
        <v>48</v>
      </c>
      <c r="B811" s="1" t="s">
        <v>2499</v>
      </c>
      <c r="C811" s="1" t="s">
        <v>50</v>
      </c>
      <c r="D811" s="1" t="s">
        <v>3447</v>
      </c>
      <c r="E811" s="1" t="s">
        <v>3448</v>
      </c>
      <c r="F811" s="22" t="s">
        <v>6085</v>
      </c>
      <c r="G811" s="1" t="s">
        <v>7</v>
      </c>
      <c r="H811" s="1" t="s">
        <v>20</v>
      </c>
      <c r="I811" s="1" t="s">
        <v>26</v>
      </c>
      <c r="J811" s="1" t="s">
        <v>9</v>
      </c>
      <c r="K811" s="1" t="s">
        <v>16</v>
      </c>
      <c r="L811" s="1" t="s">
        <v>16</v>
      </c>
      <c r="M811" s="1" t="s">
        <v>78</v>
      </c>
      <c r="N811" s="11" t="s">
        <v>188</v>
      </c>
      <c r="O811" s="1" t="s">
        <v>6037</v>
      </c>
      <c r="P811" s="1" t="s">
        <v>60</v>
      </c>
      <c r="Q811" s="1" t="s">
        <v>4016</v>
      </c>
      <c r="R811" s="1" t="s">
        <v>4901</v>
      </c>
      <c r="S811" s="8">
        <v>46041</v>
      </c>
      <c r="T811" s="1">
        <v>2</v>
      </c>
      <c r="U811" s="1" t="s">
        <v>4902</v>
      </c>
      <c r="V811" s="1" t="s">
        <v>4903</v>
      </c>
      <c r="W811" s="1" t="s">
        <v>1388</v>
      </c>
    </row>
    <row r="812" spans="1:23" x14ac:dyDescent="0.25">
      <c r="A812" s="1" t="s">
        <v>48</v>
      </c>
      <c r="B812" s="1" t="s">
        <v>2500</v>
      </c>
      <c r="C812" s="1" t="s">
        <v>50</v>
      </c>
      <c r="D812" s="1" t="s">
        <v>3449</v>
      </c>
      <c r="E812" s="1" t="s">
        <v>3450</v>
      </c>
      <c r="F812" s="22" t="s">
        <v>6085</v>
      </c>
      <c r="G812" s="1" t="s">
        <v>5</v>
      </c>
      <c r="H812" s="1" t="s">
        <v>24</v>
      </c>
      <c r="I812" s="1" t="s">
        <v>26</v>
      </c>
      <c r="J812" s="1" t="s">
        <v>9</v>
      </c>
      <c r="K812" s="1" t="s">
        <v>13</v>
      </c>
      <c r="L812" s="1" t="s">
        <v>13</v>
      </c>
      <c r="M812" s="1" t="s">
        <v>78</v>
      </c>
      <c r="N812" s="11" t="s">
        <v>188</v>
      </c>
      <c r="O812" s="1" t="s">
        <v>6037</v>
      </c>
      <c r="P812" s="1" t="s">
        <v>126</v>
      </c>
      <c r="Q812" s="1" t="s">
        <v>5380</v>
      </c>
      <c r="R812" s="1" t="s">
        <v>4481</v>
      </c>
      <c r="S812" s="8">
        <v>46055</v>
      </c>
      <c r="T812" s="1">
        <v>3</v>
      </c>
      <c r="U812" s="1" t="s">
        <v>4904</v>
      </c>
      <c r="V812" s="1" t="s">
        <v>4905</v>
      </c>
      <c r="W812" s="1" t="s">
        <v>4906</v>
      </c>
    </row>
    <row r="813" spans="1:23" x14ac:dyDescent="0.25">
      <c r="A813" s="1" t="s">
        <v>48</v>
      </c>
      <c r="B813" s="1" t="s">
        <v>2501</v>
      </c>
      <c r="C813" s="1" t="s">
        <v>50</v>
      </c>
      <c r="D813" s="1" t="s">
        <v>3451</v>
      </c>
      <c r="E813" s="1" t="s">
        <v>3452</v>
      </c>
      <c r="F813" s="22" t="s">
        <v>6085</v>
      </c>
      <c r="G813" s="1" t="s">
        <v>5</v>
      </c>
      <c r="H813" s="1" t="s">
        <v>24</v>
      </c>
      <c r="I813" s="1" t="s">
        <v>26</v>
      </c>
      <c r="J813" s="1" t="s">
        <v>9</v>
      </c>
      <c r="K813" s="1" t="s">
        <v>14</v>
      </c>
      <c r="L813" s="1" t="s">
        <v>14</v>
      </c>
      <c r="M813" s="1" t="s">
        <v>78</v>
      </c>
      <c r="N813" s="11" t="s">
        <v>188</v>
      </c>
      <c r="O813" s="1" t="s">
        <v>6037</v>
      </c>
      <c r="P813" s="1" t="s">
        <v>60</v>
      </c>
      <c r="Q813" s="1" t="s">
        <v>5930</v>
      </c>
      <c r="R813" s="1" t="s">
        <v>4907</v>
      </c>
      <c r="S813" s="8">
        <v>46054</v>
      </c>
      <c r="T813" s="1">
        <v>3</v>
      </c>
      <c r="U813" s="1" t="s">
        <v>1679</v>
      </c>
      <c r="V813" s="1" t="s">
        <v>1679</v>
      </c>
      <c r="W813" s="1" t="s">
        <v>1679</v>
      </c>
    </row>
    <row r="814" spans="1:23" x14ac:dyDescent="0.25">
      <c r="A814" s="1" t="s">
        <v>48</v>
      </c>
      <c r="B814" s="1" t="s">
        <v>2502</v>
      </c>
      <c r="C814" s="1" t="s">
        <v>50</v>
      </c>
      <c r="D814" s="1" t="s">
        <v>3453</v>
      </c>
      <c r="E814" s="1" t="s">
        <v>3454</v>
      </c>
      <c r="F814" s="22" t="s">
        <v>6085</v>
      </c>
      <c r="G814" s="1" t="s">
        <v>5</v>
      </c>
      <c r="H814" s="1" t="s">
        <v>24</v>
      </c>
      <c r="I814" s="1" t="s">
        <v>25</v>
      </c>
      <c r="J814" s="1" t="s">
        <v>9</v>
      </c>
      <c r="K814" s="1" t="s">
        <v>10</v>
      </c>
      <c r="L814" s="1" t="s">
        <v>16</v>
      </c>
      <c r="M814" s="1" t="s">
        <v>78</v>
      </c>
      <c r="N814" s="11" t="s">
        <v>188</v>
      </c>
      <c r="O814" s="1" t="s">
        <v>6037</v>
      </c>
      <c r="P814" s="1" t="s">
        <v>79</v>
      </c>
      <c r="Q814" s="17" t="s">
        <v>5931</v>
      </c>
      <c r="R814" s="1" t="s">
        <v>4908</v>
      </c>
      <c r="S814" s="8">
        <v>46040</v>
      </c>
      <c r="T814" s="1">
        <v>3</v>
      </c>
      <c r="U814" s="1" t="s">
        <v>4909</v>
      </c>
      <c r="V814" s="1" t="s">
        <v>4910</v>
      </c>
      <c r="W814" s="1" t="s">
        <v>4911</v>
      </c>
    </row>
    <row r="815" spans="1:23" x14ac:dyDescent="0.25">
      <c r="A815" s="1" t="s">
        <v>48</v>
      </c>
      <c r="B815" s="1" t="s">
        <v>2503</v>
      </c>
      <c r="C815" s="1" t="s">
        <v>50</v>
      </c>
      <c r="D815" s="1" t="s">
        <v>3455</v>
      </c>
      <c r="E815" s="1" t="s">
        <v>3456</v>
      </c>
      <c r="F815" s="22" t="s">
        <v>6085</v>
      </c>
      <c r="G815" s="1" t="s">
        <v>6</v>
      </c>
      <c r="H815" s="1" t="s">
        <v>21</v>
      </c>
      <c r="I815" s="1" t="s">
        <v>26</v>
      </c>
      <c r="J815" s="1" t="s">
        <v>9</v>
      </c>
      <c r="K815" s="1" t="s">
        <v>14</v>
      </c>
      <c r="L815" s="1" t="s">
        <v>14</v>
      </c>
      <c r="M815" s="1" t="s">
        <v>78</v>
      </c>
      <c r="N815" s="11" t="s">
        <v>188</v>
      </c>
      <c r="O815" s="1" t="s">
        <v>6037</v>
      </c>
      <c r="P815" s="1" t="s">
        <v>107</v>
      </c>
      <c r="Q815" s="1" t="s">
        <v>5659</v>
      </c>
      <c r="R815" s="1" t="s">
        <v>4912</v>
      </c>
      <c r="S815" s="8">
        <v>45691</v>
      </c>
      <c r="T815" s="1">
        <v>2</v>
      </c>
      <c r="U815" s="1" t="s">
        <v>302</v>
      </c>
      <c r="V815" s="1" t="s">
        <v>170</v>
      </c>
      <c r="W815" s="1" t="s">
        <v>1388</v>
      </c>
    </row>
    <row r="816" spans="1:23" x14ac:dyDescent="0.25">
      <c r="A816" s="1" t="s">
        <v>48</v>
      </c>
      <c r="B816" s="1" t="s">
        <v>2504</v>
      </c>
      <c r="C816" s="1" t="s">
        <v>50</v>
      </c>
      <c r="D816" s="1" t="s">
        <v>3457</v>
      </c>
      <c r="E816" s="1" t="s">
        <v>3458</v>
      </c>
      <c r="F816" s="22" t="s">
        <v>6085</v>
      </c>
      <c r="G816" s="1" t="s">
        <v>5</v>
      </c>
      <c r="H816" s="1" t="s">
        <v>20</v>
      </c>
      <c r="I816" s="1" t="s">
        <v>25</v>
      </c>
      <c r="J816" s="1" t="s">
        <v>9</v>
      </c>
      <c r="K816" s="1" t="s">
        <v>12</v>
      </c>
      <c r="L816" s="1" t="s">
        <v>12</v>
      </c>
      <c r="M816" s="1" t="s">
        <v>78</v>
      </c>
      <c r="N816" s="11" t="s">
        <v>188</v>
      </c>
      <c r="O816" s="1" t="s">
        <v>6037</v>
      </c>
      <c r="P816" s="1" t="s">
        <v>247</v>
      </c>
      <c r="Q816" s="1" t="s">
        <v>5932</v>
      </c>
      <c r="R816" s="1" t="s">
        <v>4913</v>
      </c>
      <c r="S816" s="8">
        <v>44743</v>
      </c>
      <c r="T816" s="1">
        <v>1</v>
      </c>
      <c r="U816" s="1" t="s">
        <v>4629</v>
      </c>
      <c r="V816" s="1" t="s">
        <v>1388</v>
      </c>
      <c r="W816" s="1" t="s">
        <v>1388</v>
      </c>
    </row>
    <row r="817" spans="1:23" x14ac:dyDescent="0.25">
      <c r="A817" s="1" t="s">
        <v>48</v>
      </c>
      <c r="B817" s="1" t="s">
        <v>2505</v>
      </c>
      <c r="C817" s="1" t="s">
        <v>50</v>
      </c>
      <c r="D817" s="1" t="s">
        <v>3459</v>
      </c>
      <c r="E817" s="1" t="s">
        <v>3460</v>
      </c>
      <c r="F817" s="22" t="s">
        <v>3</v>
      </c>
      <c r="G817" s="1" t="s">
        <v>6</v>
      </c>
      <c r="H817" s="1" t="s">
        <v>20</v>
      </c>
      <c r="I817" s="1" t="s">
        <v>25</v>
      </c>
      <c r="J817" s="1" t="s">
        <v>9</v>
      </c>
      <c r="K817" s="1" t="s">
        <v>10</v>
      </c>
      <c r="L817" s="1" t="s">
        <v>10</v>
      </c>
      <c r="M817" s="1" t="s">
        <v>78</v>
      </c>
      <c r="N817" s="11" t="s">
        <v>188</v>
      </c>
      <c r="O817" s="1" t="s">
        <v>6037</v>
      </c>
      <c r="P817" s="1" t="s">
        <v>1514</v>
      </c>
      <c r="Q817" s="1" t="s">
        <v>5878</v>
      </c>
      <c r="R817" s="7" t="s">
        <v>4914</v>
      </c>
      <c r="S817" s="8">
        <v>46024</v>
      </c>
      <c r="T817" s="1">
        <v>2</v>
      </c>
      <c r="U817" s="1" t="s">
        <v>730</v>
      </c>
      <c r="V817" s="1" t="s">
        <v>730</v>
      </c>
      <c r="W817" s="1" t="s">
        <v>1388</v>
      </c>
    </row>
    <row r="818" spans="1:23" x14ac:dyDescent="0.25">
      <c r="A818" s="1" t="s">
        <v>48</v>
      </c>
      <c r="B818" s="1" t="s">
        <v>2506</v>
      </c>
      <c r="C818" s="1" t="s">
        <v>50</v>
      </c>
      <c r="D818" s="1" t="s">
        <v>3461</v>
      </c>
      <c r="E818" s="1" t="s">
        <v>3462</v>
      </c>
      <c r="F818" s="22" t="s">
        <v>6085</v>
      </c>
      <c r="G818" s="1" t="s">
        <v>5</v>
      </c>
      <c r="H818" s="1" t="s">
        <v>24</v>
      </c>
      <c r="I818" s="1" t="s">
        <v>25</v>
      </c>
      <c r="J818" s="1" t="s">
        <v>9</v>
      </c>
      <c r="K818" s="1" t="s">
        <v>14</v>
      </c>
      <c r="L818" s="1" t="s">
        <v>17</v>
      </c>
      <c r="M818" s="1" t="s">
        <v>78</v>
      </c>
      <c r="N818" s="11" t="s">
        <v>188</v>
      </c>
      <c r="O818" s="1" t="s">
        <v>6037</v>
      </c>
      <c r="P818" s="1" t="s">
        <v>247</v>
      </c>
      <c r="Q818" s="1" t="s">
        <v>5933</v>
      </c>
      <c r="R818" s="1" t="s">
        <v>4915</v>
      </c>
      <c r="S818" s="8">
        <v>44713</v>
      </c>
      <c r="T818" s="1">
        <v>1</v>
      </c>
      <c r="U818" s="1" t="s">
        <v>4916</v>
      </c>
      <c r="V818" s="1" t="s">
        <v>1388</v>
      </c>
      <c r="W818" s="1" t="s">
        <v>1388</v>
      </c>
    </row>
    <row r="819" spans="1:23" x14ac:dyDescent="0.25">
      <c r="A819" s="1" t="s">
        <v>48</v>
      </c>
      <c r="B819" s="1" t="s">
        <v>2507</v>
      </c>
      <c r="C819" s="1" t="s">
        <v>50</v>
      </c>
      <c r="D819" s="1" t="s">
        <v>3463</v>
      </c>
      <c r="E819" s="1" t="s">
        <v>3464</v>
      </c>
      <c r="F819" s="22" t="s">
        <v>6085</v>
      </c>
      <c r="G819" s="1" t="s">
        <v>6</v>
      </c>
      <c r="H819" s="1" t="s">
        <v>22</v>
      </c>
      <c r="I819" s="1" t="s">
        <v>25</v>
      </c>
      <c r="J819" s="1" t="s">
        <v>9</v>
      </c>
      <c r="K819" s="1" t="s">
        <v>16</v>
      </c>
      <c r="L819" s="1" t="s">
        <v>16</v>
      </c>
      <c r="M819" s="1" t="s">
        <v>78</v>
      </c>
      <c r="N819" s="11" t="s">
        <v>188</v>
      </c>
      <c r="O819" s="1" t="s">
        <v>6037</v>
      </c>
      <c r="P819" s="1" t="s">
        <v>1456</v>
      </c>
      <c r="Q819" s="1" t="s">
        <v>5807</v>
      </c>
      <c r="R819" s="1" t="s">
        <v>4917</v>
      </c>
      <c r="S819" s="8">
        <v>46008</v>
      </c>
      <c r="T819" s="1">
        <v>1</v>
      </c>
      <c r="U819" s="1" t="s">
        <v>308</v>
      </c>
      <c r="V819" s="1" t="s">
        <v>1388</v>
      </c>
      <c r="W819" s="1" t="s">
        <v>1388</v>
      </c>
    </row>
    <row r="820" spans="1:23" x14ac:dyDescent="0.25">
      <c r="A820" s="1" t="s">
        <v>48</v>
      </c>
      <c r="B820" s="1" t="s">
        <v>2508</v>
      </c>
      <c r="C820" s="1" t="s">
        <v>50</v>
      </c>
      <c r="D820" s="1" t="s">
        <v>3465</v>
      </c>
      <c r="E820" s="1" t="s">
        <v>3466</v>
      </c>
      <c r="F820" s="22" t="s">
        <v>3</v>
      </c>
      <c r="G820" s="1" t="s">
        <v>6</v>
      </c>
      <c r="H820" s="1" t="s">
        <v>24</v>
      </c>
      <c r="I820" s="1" t="s">
        <v>25</v>
      </c>
      <c r="J820" s="1" t="s">
        <v>9</v>
      </c>
      <c r="K820" s="1" t="s">
        <v>13</v>
      </c>
      <c r="L820" s="1" t="s">
        <v>13</v>
      </c>
      <c r="M820" s="1" t="s">
        <v>78</v>
      </c>
      <c r="N820" s="11" t="s">
        <v>188</v>
      </c>
      <c r="O820" s="1" t="s">
        <v>6037</v>
      </c>
      <c r="P820" s="1" t="s">
        <v>60</v>
      </c>
      <c r="Q820" s="1" t="s">
        <v>5934</v>
      </c>
      <c r="R820" s="7" t="s">
        <v>4918</v>
      </c>
      <c r="S820" s="8">
        <v>45677</v>
      </c>
      <c r="T820" s="1">
        <v>1</v>
      </c>
      <c r="U820" s="1" t="s">
        <v>4919</v>
      </c>
      <c r="V820" s="1" t="s">
        <v>1388</v>
      </c>
      <c r="W820" s="1" t="s">
        <v>1388</v>
      </c>
    </row>
    <row r="821" spans="1:23" x14ac:dyDescent="0.25">
      <c r="A821" s="1" t="s">
        <v>48</v>
      </c>
      <c r="B821" s="1" t="s">
        <v>2509</v>
      </c>
      <c r="C821" s="1" t="s">
        <v>50</v>
      </c>
      <c r="D821" s="1" t="s">
        <v>3467</v>
      </c>
      <c r="E821" s="1" t="s">
        <v>3468</v>
      </c>
      <c r="F821" s="22" t="s">
        <v>6085</v>
      </c>
      <c r="G821" s="1" t="s">
        <v>6</v>
      </c>
      <c r="H821" s="1" t="s">
        <v>20</v>
      </c>
      <c r="I821" s="1" t="s">
        <v>25</v>
      </c>
      <c r="J821" s="1" t="s">
        <v>9</v>
      </c>
      <c r="K821" s="1" t="s">
        <v>13</v>
      </c>
      <c r="L821" s="1" t="s">
        <v>13</v>
      </c>
      <c r="M821" s="1" t="s">
        <v>78</v>
      </c>
      <c r="N821" s="11" t="s">
        <v>188</v>
      </c>
      <c r="O821" s="1" t="s">
        <v>6037</v>
      </c>
      <c r="P821" s="1" t="s">
        <v>247</v>
      </c>
      <c r="Q821" s="1" t="s">
        <v>5935</v>
      </c>
      <c r="R821" s="1" t="s">
        <v>4920</v>
      </c>
      <c r="S821" s="8">
        <v>46034</v>
      </c>
      <c r="T821" s="1">
        <v>1</v>
      </c>
      <c r="U821" s="1" t="s">
        <v>4793</v>
      </c>
      <c r="V821" s="1" t="s">
        <v>1388</v>
      </c>
      <c r="W821" s="1" t="s">
        <v>1388</v>
      </c>
    </row>
    <row r="822" spans="1:23" x14ac:dyDescent="0.25">
      <c r="A822" s="1" t="s">
        <v>48</v>
      </c>
      <c r="B822" s="1" t="s">
        <v>2510</v>
      </c>
      <c r="C822" s="1" t="s">
        <v>50</v>
      </c>
      <c r="D822" s="1" t="s">
        <v>3469</v>
      </c>
      <c r="E822" s="1" t="s">
        <v>3470</v>
      </c>
      <c r="F822" s="22" t="s">
        <v>6085</v>
      </c>
      <c r="G822" s="1" t="s">
        <v>7</v>
      </c>
      <c r="H822" s="1" t="s">
        <v>20</v>
      </c>
      <c r="I822" s="1" t="s">
        <v>26</v>
      </c>
      <c r="J822" s="1" t="s">
        <v>9</v>
      </c>
      <c r="K822" s="1" t="s">
        <v>16</v>
      </c>
      <c r="L822" s="1" t="s">
        <v>16</v>
      </c>
      <c r="M822" s="1" t="s">
        <v>78</v>
      </c>
      <c r="N822" s="11" t="s">
        <v>188</v>
      </c>
      <c r="O822" s="2" t="s">
        <v>6235</v>
      </c>
      <c r="P822" s="1" t="s">
        <v>126</v>
      </c>
      <c r="Q822" s="1" t="s">
        <v>5936</v>
      </c>
      <c r="R822" s="1" t="s">
        <v>4921</v>
      </c>
      <c r="S822" s="8">
        <v>46023</v>
      </c>
      <c r="T822" s="1">
        <v>2</v>
      </c>
      <c r="U822" s="1" t="s">
        <v>4922</v>
      </c>
      <c r="V822" s="1" t="s">
        <v>1804</v>
      </c>
      <c r="W822" s="1" t="s">
        <v>1388</v>
      </c>
    </row>
    <row r="823" spans="1:23" x14ac:dyDescent="0.25">
      <c r="A823" s="1" t="s">
        <v>48</v>
      </c>
      <c r="B823" s="1" t="s">
        <v>2511</v>
      </c>
      <c r="C823" s="1" t="s">
        <v>50</v>
      </c>
      <c r="D823" s="1" t="s">
        <v>3471</v>
      </c>
      <c r="E823" s="1" t="s">
        <v>3472</v>
      </c>
      <c r="F823" s="22" t="s">
        <v>3</v>
      </c>
      <c r="G823" s="1" t="s">
        <v>6</v>
      </c>
      <c r="H823" s="1" t="s">
        <v>21</v>
      </c>
      <c r="I823" s="1" t="s">
        <v>25</v>
      </c>
      <c r="J823" s="1" t="s">
        <v>9</v>
      </c>
      <c r="K823" s="1" t="s">
        <v>13</v>
      </c>
      <c r="L823" s="1" t="s">
        <v>13</v>
      </c>
      <c r="M823" s="1" t="s">
        <v>78</v>
      </c>
      <c r="N823" s="11" t="s">
        <v>188</v>
      </c>
      <c r="O823" s="1" t="s">
        <v>6037</v>
      </c>
      <c r="P823" s="1" t="s">
        <v>1456</v>
      </c>
      <c r="Q823" s="1" t="s">
        <v>5937</v>
      </c>
      <c r="R823" s="7" t="s">
        <v>4923</v>
      </c>
      <c r="S823" s="8">
        <v>46055</v>
      </c>
      <c r="T823" s="1">
        <v>1</v>
      </c>
      <c r="U823" s="1" t="s">
        <v>3918</v>
      </c>
      <c r="V823" s="1" t="s">
        <v>1388</v>
      </c>
      <c r="W823" s="1" t="s">
        <v>1388</v>
      </c>
    </row>
    <row r="824" spans="1:23" x14ac:dyDescent="0.25">
      <c r="A824" s="1" t="s">
        <v>48</v>
      </c>
      <c r="B824" s="1" t="s">
        <v>2512</v>
      </c>
      <c r="C824" s="1" t="s">
        <v>50</v>
      </c>
      <c r="D824" s="1" t="s">
        <v>3473</v>
      </c>
      <c r="E824" s="1" t="s">
        <v>3474</v>
      </c>
      <c r="F824" s="22" t="s">
        <v>6085</v>
      </c>
      <c r="G824" s="1" t="s">
        <v>5</v>
      </c>
      <c r="H824" s="1" t="s">
        <v>20</v>
      </c>
      <c r="I824" s="1" t="s">
        <v>25</v>
      </c>
      <c r="J824" s="1" t="s">
        <v>9</v>
      </c>
      <c r="K824" s="1" t="s">
        <v>18</v>
      </c>
      <c r="L824" s="1" t="s">
        <v>14</v>
      </c>
      <c r="M824" s="1" t="s">
        <v>78</v>
      </c>
      <c r="N824" s="11" t="s">
        <v>188</v>
      </c>
      <c r="O824" s="1" t="s">
        <v>6037</v>
      </c>
      <c r="P824" s="1" t="s">
        <v>126</v>
      </c>
      <c r="Q824" s="1" t="s">
        <v>5938</v>
      </c>
      <c r="R824" s="20" t="s">
        <v>4924</v>
      </c>
      <c r="S824" s="8">
        <v>44585</v>
      </c>
      <c r="T824" s="1">
        <v>1</v>
      </c>
      <c r="U824" s="1" t="s">
        <v>4916</v>
      </c>
      <c r="V824" s="1" t="s">
        <v>1388</v>
      </c>
      <c r="W824" s="1" t="s">
        <v>1388</v>
      </c>
    </row>
    <row r="825" spans="1:23" x14ac:dyDescent="0.25">
      <c r="A825" s="1" t="s">
        <v>48</v>
      </c>
      <c r="B825" s="1" t="s">
        <v>2513</v>
      </c>
      <c r="C825" s="1" t="s">
        <v>50</v>
      </c>
      <c r="D825" s="1" t="s">
        <v>3475</v>
      </c>
      <c r="E825" s="1" t="s">
        <v>3476</v>
      </c>
      <c r="F825" s="22" t="s">
        <v>6085</v>
      </c>
      <c r="G825" s="1" t="s">
        <v>5</v>
      </c>
      <c r="H825" s="1" t="s">
        <v>20</v>
      </c>
      <c r="I825" s="1" t="s">
        <v>26</v>
      </c>
      <c r="J825" s="1" t="s">
        <v>9</v>
      </c>
      <c r="K825" s="1" t="s">
        <v>13</v>
      </c>
      <c r="L825" s="1" t="s">
        <v>13</v>
      </c>
      <c r="M825" s="1" t="s">
        <v>78</v>
      </c>
      <c r="N825" s="11" t="s">
        <v>188</v>
      </c>
      <c r="O825" s="1" t="s">
        <v>6037</v>
      </c>
      <c r="P825" s="1" t="s">
        <v>126</v>
      </c>
      <c r="Q825" s="1" t="s">
        <v>5939</v>
      </c>
      <c r="R825" s="1" t="s">
        <v>4925</v>
      </c>
      <c r="S825" s="8">
        <v>46037</v>
      </c>
      <c r="T825" s="1">
        <v>3</v>
      </c>
      <c r="U825" s="1" t="s">
        <v>4137</v>
      </c>
      <c r="V825" s="1" t="s">
        <v>4926</v>
      </c>
      <c r="W825" s="1" t="s">
        <v>4926</v>
      </c>
    </row>
    <row r="826" spans="1:23" x14ac:dyDescent="0.25">
      <c r="A826" s="1" t="s">
        <v>48</v>
      </c>
      <c r="B826" s="1" t="s">
        <v>2514</v>
      </c>
      <c r="C826" s="1" t="s">
        <v>50</v>
      </c>
      <c r="D826" s="1" t="s">
        <v>3477</v>
      </c>
      <c r="E826" s="1" t="s">
        <v>3478</v>
      </c>
      <c r="F826" s="22" t="s">
        <v>6085</v>
      </c>
      <c r="G826" s="1" t="s">
        <v>6</v>
      </c>
      <c r="H826" s="1" t="s">
        <v>20</v>
      </c>
      <c r="I826" s="1" t="s">
        <v>26</v>
      </c>
      <c r="J826" s="1" t="s">
        <v>9</v>
      </c>
      <c r="K826" s="1" t="s">
        <v>14</v>
      </c>
      <c r="L826" s="1" t="s">
        <v>14</v>
      </c>
      <c r="M826" s="1" t="s">
        <v>78</v>
      </c>
      <c r="N826" s="11" t="s">
        <v>188</v>
      </c>
      <c r="O826" s="1" t="s">
        <v>6037</v>
      </c>
      <c r="P826" s="1" t="s">
        <v>247</v>
      </c>
      <c r="Q826" s="1" t="s">
        <v>5940</v>
      </c>
      <c r="R826" s="1" t="s">
        <v>4927</v>
      </c>
      <c r="S826" s="8">
        <v>45708</v>
      </c>
      <c r="T826" s="1">
        <v>1</v>
      </c>
      <c r="U826" s="1" t="s">
        <v>4928</v>
      </c>
      <c r="V826" s="1" t="s">
        <v>1388</v>
      </c>
      <c r="W826" s="1" t="s">
        <v>1388</v>
      </c>
    </row>
    <row r="827" spans="1:23" x14ac:dyDescent="0.25">
      <c r="A827" s="1" t="s">
        <v>48</v>
      </c>
      <c r="B827" s="1" t="s">
        <v>2515</v>
      </c>
      <c r="C827" s="1" t="s">
        <v>50</v>
      </c>
      <c r="D827" s="1" t="s">
        <v>3479</v>
      </c>
      <c r="E827" s="1" t="s">
        <v>3480</v>
      </c>
      <c r="F827" s="22" t="s">
        <v>6085</v>
      </c>
      <c r="G827" s="1" t="s">
        <v>6</v>
      </c>
      <c r="H827" s="1" t="s">
        <v>20</v>
      </c>
      <c r="I827" s="1" t="s">
        <v>25</v>
      </c>
      <c r="J827" s="1" t="s">
        <v>9</v>
      </c>
      <c r="K827" s="1" t="s">
        <v>19</v>
      </c>
      <c r="L827" s="1" t="s">
        <v>19</v>
      </c>
      <c r="M827" s="1" t="s">
        <v>78</v>
      </c>
      <c r="N827" s="11" t="s">
        <v>188</v>
      </c>
      <c r="O827" s="1" t="s">
        <v>6037</v>
      </c>
      <c r="P827" s="1" t="s">
        <v>801</v>
      </c>
      <c r="Q827" s="1" t="s">
        <v>5941</v>
      </c>
      <c r="R827" s="1" t="s">
        <v>4929</v>
      </c>
      <c r="S827" s="8">
        <v>46054</v>
      </c>
      <c r="T827" s="1">
        <v>1</v>
      </c>
      <c r="U827" s="1" t="s">
        <v>291</v>
      </c>
      <c r="V827" s="1" t="s">
        <v>1388</v>
      </c>
      <c r="W827" s="1" t="s">
        <v>1388</v>
      </c>
    </row>
    <row r="828" spans="1:23" x14ac:dyDescent="0.25">
      <c r="A828" s="1" t="s">
        <v>48</v>
      </c>
      <c r="B828" s="1" t="s">
        <v>2516</v>
      </c>
      <c r="C828" s="1" t="s">
        <v>50</v>
      </c>
      <c r="D828" s="1" t="s">
        <v>3481</v>
      </c>
      <c r="E828" s="1" t="s">
        <v>3482</v>
      </c>
      <c r="F828" s="22" t="s">
        <v>6085</v>
      </c>
      <c r="G828" s="1" t="s">
        <v>6</v>
      </c>
      <c r="H828" s="1" t="s">
        <v>20</v>
      </c>
      <c r="I828" s="1" t="s">
        <v>25</v>
      </c>
      <c r="J828" s="1" t="s">
        <v>9</v>
      </c>
      <c r="K828" s="1" t="s">
        <v>14</v>
      </c>
      <c r="L828" s="1" t="s">
        <v>14</v>
      </c>
      <c r="M828" s="1" t="s">
        <v>78</v>
      </c>
      <c r="N828" s="11" t="s">
        <v>188</v>
      </c>
      <c r="O828" s="1" t="s">
        <v>6037</v>
      </c>
      <c r="P828" s="1" t="s">
        <v>247</v>
      </c>
      <c r="Q828" s="1" t="s">
        <v>5942</v>
      </c>
      <c r="R828" s="1" t="s">
        <v>4930</v>
      </c>
      <c r="S828" s="8">
        <v>46023</v>
      </c>
      <c r="T828" s="1">
        <v>2</v>
      </c>
      <c r="U828" s="1" t="s">
        <v>4931</v>
      </c>
      <c r="V828" s="1" t="s">
        <v>4932</v>
      </c>
      <c r="W828" s="1" t="s">
        <v>1388</v>
      </c>
    </row>
    <row r="829" spans="1:23" x14ac:dyDescent="0.25">
      <c r="A829" s="1" t="s">
        <v>48</v>
      </c>
      <c r="B829" s="1" t="s">
        <v>2517</v>
      </c>
      <c r="C829" s="1" t="s">
        <v>50</v>
      </c>
      <c r="D829" s="1" t="s">
        <v>3483</v>
      </c>
      <c r="E829" s="1" t="s">
        <v>3484</v>
      </c>
      <c r="F829" s="22" t="s">
        <v>6085</v>
      </c>
      <c r="G829" s="1" t="s">
        <v>5</v>
      </c>
      <c r="H829" s="1" t="s">
        <v>20</v>
      </c>
      <c r="I829" s="1" t="s">
        <v>25</v>
      </c>
      <c r="J829" s="1" t="s">
        <v>9</v>
      </c>
      <c r="K829" s="1" t="s">
        <v>16</v>
      </c>
      <c r="L829" s="1" t="s">
        <v>16</v>
      </c>
      <c r="M829" s="1" t="s">
        <v>78</v>
      </c>
      <c r="N829" s="1" t="s">
        <v>1015</v>
      </c>
      <c r="O829" s="1" t="s">
        <v>6037</v>
      </c>
      <c r="P829" s="1" t="s">
        <v>247</v>
      </c>
      <c r="Q829" s="1" t="s">
        <v>5943</v>
      </c>
      <c r="R829" s="1" t="s">
        <v>4933</v>
      </c>
      <c r="S829" s="8">
        <v>45687</v>
      </c>
      <c r="T829" s="1">
        <v>3</v>
      </c>
      <c r="U829" s="1" t="s">
        <v>4934</v>
      </c>
      <c r="V829" s="1" t="s">
        <v>4935</v>
      </c>
      <c r="W829" s="1" t="s">
        <v>4934</v>
      </c>
    </row>
    <row r="830" spans="1:23" x14ac:dyDescent="0.25">
      <c r="A830" s="1" t="s">
        <v>48</v>
      </c>
      <c r="B830" s="1" t="s">
        <v>2518</v>
      </c>
      <c r="C830" s="1" t="s">
        <v>50</v>
      </c>
      <c r="D830" s="1" t="s">
        <v>3485</v>
      </c>
      <c r="E830" s="1" t="s">
        <v>3486</v>
      </c>
      <c r="F830" s="22" t="s">
        <v>3</v>
      </c>
      <c r="G830" s="1" t="s">
        <v>6</v>
      </c>
      <c r="H830" s="1" t="s">
        <v>20</v>
      </c>
      <c r="I830" s="1" t="s">
        <v>26</v>
      </c>
      <c r="J830" s="1" t="s">
        <v>9</v>
      </c>
      <c r="K830" s="1" t="s">
        <v>14</v>
      </c>
      <c r="L830" s="1" t="s">
        <v>14</v>
      </c>
      <c r="M830" s="1" t="s">
        <v>78</v>
      </c>
      <c r="N830" s="11" t="s">
        <v>188</v>
      </c>
      <c r="O830" s="1" t="s">
        <v>6037</v>
      </c>
      <c r="P830" s="1" t="s">
        <v>600</v>
      </c>
      <c r="Q830" s="1" t="s">
        <v>5944</v>
      </c>
      <c r="R830" s="7" t="s">
        <v>4936</v>
      </c>
      <c r="S830" s="8">
        <v>45706</v>
      </c>
      <c r="T830" s="1">
        <v>1</v>
      </c>
      <c r="U830" s="1" t="s">
        <v>4937</v>
      </c>
      <c r="V830" s="1" t="s">
        <v>1388</v>
      </c>
      <c r="W830" s="1" t="s">
        <v>1388</v>
      </c>
    </row>
    <row r="831" spans="1:23" x14ac:dyDescent="0.25">
      <c r="A831" s="1" t="s">
        <v>48</v>
      </c>
      <c r="B831" s="1" t="s">
        <v>2519</v>
      </c>
      <c r="C831" s="1" t="s">
        <v>50</v>
      </c>
      <c r="D831" s="1" t="s">
        <v>3487</v>
      </c>
      <c r="E831" s="1" t="s">
        <v>3488</v>
      </c>
      <c r="F831" s="22" t="s">
        <v>6085</v>
      </c>
      <c r="G831" s="1" t="s">
        <v>5</v>
      </c>
      <c r="H831" s="1" t="s">
        <v>24</v>
      </c>
      <c r="I831" s="1" t="s">
        <v>26</v>
      </c>
      <c r="J831" s="1" t="s">
        <v>9</v>
      </c>
      <c r="K831" s="1" t="s">
        <v>16</v>
      </c>
      <c r="L831" s="1" t="s">
        <v>16</v>
      </c>
      <c r="M831" s="1" t="s">
        <v>78</v>
      </c>
      <c r="N831" s="11" t="s">
        <v>188</v>
      </c>
      <c r="O831" s="1" t="s">
        <v>6037</v>
      </c>
      <c r="P831" s="1" t="s">
        <v>267</v>
      </c>
      <c r="Q831" s="1" t="s">
        <v>5</v>
      </c>
      <c r="R831" s="1" t="s">
        <v>4938</v>
      </c>
      <c r="S831" s="8">
        <v>46054</v>
      </c>
      <c r="T831" s="1">
        <v>3</v>
      </c>
      <c r="U831" s="1" t="s">
        <v>4610</v>
      </c>
      <c r="V831" s="1" t="s">
        <v>4939</v>
      </c>
      <c r="W831" s="1" t="s">
        <v>4940</v>
      </c>
    </row>
    <row r="832" spans="1:23" x14ac:dyDescent="0.25">
      <c r="A832" s="1" t="s">
        <v>48</v>
      </c>
      <c r="B832" s="1" t="s">
        <v>2520</v>
      </c>
      <c r="C832" s="1" t="s">
        <v>50</v>
      </c>
      <c r="D832" s="1" t="s">
        <v>3489</v>
      </c>
      <c r="E832" s="1" t="s">
        <v>3490</v>
      </c>
      <c r="F832" s="22" t="s">
        <v>6085</v>
      </c>
      <c r="G832" s="1" t="s">
        <v>6</v>
      </c>
      <c r="H832" s="1" t="s">
        <v>20</v>
      </c>
      <c r="I832" s="1" t="s">
        <v>26</v>
      </c>
      <c r="J832" s="1" t="s">
        <v>9</v>
      </c>
      <c r="K832" s="1" t="s">
        <v>13</v>
      </c>
      <c r="L832" s="1" t="s">
        <v>13</v>
      </c>
      <c r="M832" s="1" t="s">
        <v>78</v>
      </c>
      <c r="N832" s="11" t="s">
        <v>188</v>
      </c>
      <c r="O832" s="1" t="s">
        <v>6037</v>
      </c>
      <c r="P832" s="1" t="s">
        <v>247</v>
      </c>
      <c r="Q832" s="1" t="s">
        <v>5945</v>
      </c>
      <c r="R832" s="1" t="s">
        <v>4941</v>
      </c>
      <c r="S832" s="8">
        <v>45693</v>
      </c>
      <c r="T832" s="1">
        <v>1</v>
      </c>
      <c r="U832" s="1" t="s">
        <v>4942</v>
      </c>
      <c r="V832" s="1" t="s">
        <v>1388</v>
      </c>
      <c r="W832" s="1" t="s">
        <v>1388</v>
      </c>
    </row>
    <row r="833" spans="1:23" x14ac:dyDescent="0.25">
      <c r="A833" s="1" t="s">
        <v>48</v>
      </c>
      <c r="B833" s="1" t="s">
        <v>2521</v>
      </c>
      <c r="C833" s="1" t="s">
        <v>50</v>
      </c>
      <c r="D833" s="1" t="s">
        <v>3491</v>
      </c>
      <c r="E833" s="1" t="s">
        <v>3492</v>
      </c>
      <c r="F833" s="22" t="s">
        <v>6085</v>
      </c>
      <c r="G833" s="1" t="s">
        <v>5</v>
      </c>
      <c r="H833" s="1" t="s">
        <v>24</v>
      </c>
      <c r="I833" s="1" t="s">
        <v>25</v>
      </c>
      <c r="J833" s="1" t="s">
        <v>9</v>
      </c>
      <c r="K833" s="1" t="s">
        <v>13</v>
      </c>
      <c r="L833" s="1" t="s">
        <v>13</v>
      </c>
      <c r="M833" s="1" t="s">
        <v>78</v>
      </c>
      <c r="N833" s="11" t="s">
        <v>188</v>
      </c>
      <c r="O833" s="1" t="s">
        <v>6037</v>
      </c>
      <c r="P833" s="1" t="s">
        <v>199</v>
      </c>
      <c r="Q833" s="1" t="s">
        <v>5946</v>
      </c>
      <c r="R833" s="1" t="s">
        <v>4943</v>
      </c>
      <c r="S833" s="8">
        <v>45658</v>
      </c>
      <c r="T833" s="1">
        <v>2</v>
      </c>
      <c r="U833" s="1" t="s">
        <v>4944</v>
      </c>
      <c r="V833" s="1" t="s">
        <v>4945</v>
      </c>
      <c r="W833" s="1" t="s">
        <v>1388</v>
      </c>
    </row>
    <row r="834" spans="1:23" x14ac:dyDescent="0.25">
      <c r="A834" s="1" t="s">
        <v>48</v>
      </c>
      <c r="B834" s="1" t="s">
        <v>2522</v>
      </c>
      <c r="C834" s="1" t="s">
        <v>50</v>
      </c>
      <c r="D834" s="1" t="s">
        <v>3493</v>
      </c>
      <c r="E834" s="1" t="s">
        <v>3494</v>
      </c>
      <c r="F834" s="22" t="s">
        <v>6085</v>
      </c>
      <c r="G834" s="1" t="s">
        <v>5</v>
      </c>
      <c r="H834" s="1" t="s">
        <v>20</v>
      </c>
      <c r="I834" s="1" t="s">
        <v>26</v>
      </c>
      <c r="J834" s="1" t="s">
        <v>9</v>
      </c>
      <c r="K834" s="1" t="s">
        <v>13</v>
      </c>
      <c r="L834" s="1" t="s">
        <v>13</v>
      </c>
      <c r="M834" s="1" t="s">
        <v>78</v>
      </c>
      <c r="N834" s="11" t="s">
        <v>188</v>
      </c>
      <c r="O834" s="1" t="s">
        <v>6037</v>
      </c>
      <c r="P834" s="1" t="s">
        <v>126</v>
      </c>
      <c r="Q834" s="1" t="s">
        <v>5384</v>
      </c>
      <c r="R834" s="1" t="s">
        <v>4946</v>
      </c>
      <c r="S834" s="8">
        <v>46034</v>
      </c>
      <c r="T834" s="1">
        <v>3</v>
      </c>
      <c r="U834" s="1" t="s">
        <v>4947</v>
      </c>
      <c r="V834" s="1" t="s">
        <v>4948</v>
      </c>
      <c r="W834" s="1" t="s">
        <v>4949</v>
      </c>
    </row>
    <row r="835" spans="1:23" x14ac:dyDescent="0.25">
      <c r="A835" s="1" t="s">
        <v>48</v>
      </c>
      <c r="B835" s="1" t="s">
        <v>2523</v>
      </c>
      <c r="C835" s="1" t="s">
        <v>50</v>
      </c>
      <c r="D835" s="1" t="s">
        <v>3495</v>
      </c>
      <c r="E835" s="1" t="s">
        <v>3496</v>
      </c>
      <c r="F835" s="22" t="s">
        <v>6085</v>
      </c>
      <c r="G835" s="1" t="s">
        <v>7</v>
      </c>
      <c r="H835" s="1" t="s">
        <v>20</v>
      </c>
      <c r="I835" s="1" t="s">
        <v>26</v>
      </c>
      <c r="J835" s="1" t="s">
        <v>9</v>
      </c>
      <c r="K835" s="1" t="s">
        <v>16</v>
      </c>
      <c r="L835" s="1" t="s">
        <v>16</v>
      </c>
      <c r="M835" s="1" t="s">
        <v>78</v>
      </c>
      <c r="N835" s="11" t="s">
        <v>188</v>
      </c>
      <c r="O835" s="1" t="s">
        <v>6037</v>
      </c>
      <c r="P835" s="1" t="s">
        <v>60</v>
      </c>
      <c r="Q835" s="1" t="s">
        <v>4016</v>
      </c>
      <c r="R835" s="1" t="s">
        <v>4950</v>
      </c>
      <c r="S835" s="8">
        <v>46037</v>
      </c>
      <c r="T835" s="1">
        <v>2</v>
      </c>
      <c r="U835" s="1" t="s">
        <v>4951</v>
      </c>
      <c r="V835" s="1" t="s">
        <v>4952</v>
      </c>
      <c r="W835" s="1" t="s">
        <v>4953</v>
      </c>
    </row>
    <row r="836" spans="1:23" x14ac:dyDescent="0.25">
      <c r="A836" s="1" t="s">
        <v>48</v>
      </c>
      <c r="B836" s="1" t="s">
        <v>2524</v>
      </c>
      <c r="C836" s="1" t="s">
        <v>50</v>
      </c>
      <c r="D836" s="1" t="s">
        <v>3497</v>
      </c>
      <c r="E836" s="1" t="s">
        <v>3498</v>
      </c>
      <c r="F836" s="22" t="s">
        <v>3</v>
      </c>
      <c r="G836" s="1" t="s">
        <v>6</v>
      </c>
      <c r="H836" s="1" t="s">
        <v>20</v>
      </c>
      <c r="I836" s="1" t="s">
        <v>26</v>
      </c>
      <c r="J836" s="1" t="s">
        <v>9</v>
      </c>
      <c r="K836" s="1" t="s">
        <v>11</v>
      </c>
      <c r="L836" s="1" t="s">
        <v>11</v>
      </c>
      <c r="M836" s="1" t="s">
        <v>78</v>
      </c>
      <c r="N836" s="1" t="s">
        <v>5224</v>
      </c>
      <c r="O836" s="1" t="s">
        <v>6235</v>
      </c>
      <c r="P836" s="1" t="s">
        <v>1487</v>
      </c>
      <c r="Q836" s="1" t="s">
        <v>5947</v>
      </c>
      <c r="R836" s="7" t="s">
        <v>4954</v>
      </c>
      <c r="S836" s="8">
        <v>46027</v>
      </c>
      <c r="T836" s="1">
        <v>1</v>
      </c>
      <c r="U836" s="1" t="s">
        <v>4955</v>
      </c>
      <c r="V836" s="1" t="s">
        <v>1388</v>
      </c>
      <c r="W836" s="1" t="s">
        <v>1388</v>
      </c>
    </row>
    <row r="837" spans="1:23" x14ac:dyDescent="0.25">
      <c r="A837" s="1" t="s">
        <v>48</v>
      </c>
      <c r="B837" s="1" t="s">
        <v>2525</v>
      </c>
      <c r="C837" s="1" t="s">
        <v>50</v>
      </c>
      <c r="D837" s="1" t="s">
        <v>3499</v>
      </c>
      <c r="E837" s="1" t="s">
        <v>3500</v>
      </c>
      <c r="F837" s="22" t="s">
        <v>6085</v>
      </c>
      <c r="G837" s="1" t="s">
        <v>6</v>
      </c>
      <c r="H837" s="1" t="s">
        <v>20</v>
      </c>
      <c r="I837" s="1" t="s">
        <v>26</v>
      </c>
      <c r="J837" s="1" t="s">
        <v>9</v>
      </c>
      <c r="K837" s="1" t="s">
        <v>13</v>
      </c>
      <c r="L837" s="1" t="s">
        <v>13</v>
      </c>
      <c r="M837" s="1" t="s">
        <v>78</v>
      </c>
      <c r="N837" s="11" t="s">
        <v>188</v>
      </c>
      <c r="O837" s="1" t="s">
        <v>6037</v>
      </c>
      <c r="P837" s="1" t="s">
        <v>126</v>
      </c>
      <c r="Q837" s="1" t="s">
        <v>5948</v>
      </c>
      <c r="R837" s="1" t="s">
        <v>4956</v>
      </c>
      <c r="S837" s="8">
        <v>46052</v>
      </c>
      <c r="T837" s="1">
        <v>2</v>
      </c>
      <c r="U837" s="1" t="s">
        <v>4461</v>
      </c>
      <c r="V837" s="1" t="s">
        <v>4461</v>
      </c>
      <c r="W837" s="1" t="s">
        <v>1388</v>
      </c>
    </row>
    <row r="838" spans="1:23" x14ac:dyDescent="0.25">
      <c r="A838" s="1" t="s">
        <v>48</v>
      </c>
      <c r="B838" s="1" t="s">
        <v>2526</v>
      </c>
      <c r="C838" s="1" t="s">
        <v>50</v>
      </c>
      <c r="D838" s="1" t="s">
        <v>3501</v>
      </c>
      <c r="E838" s="1" t="s">
        <v>3502</v>
      </c>
      <c r="F838" s="22" t="s">
        <v>5259</v>
      </c>
      <c r="G838" s="1" t="s">
        <v>6</v>
      </c>
      <c r="H838" s="1" t="s">
        <v>20</v>
      </c>
      <c r="I838" s="1" t="s">
        <v>25</v>
      </c>
      <c r="J838" s="1" t="s">
        <v>8</v>
      </c>
      <c r="K838" s="1" t="s">
        <v>18</v>
      </c>
      <c r="L838" s="1" t="s">
        <v>18</v>
      </c>
      <c r="M838" s="1" t="s">
        <v>78</v>
      </c>
      <c r="N838" s="14" t="s">
        <v>1664</v>
      </c>
      <c r="O838" s="1" t="s">
        <v>6037</v>
      </c>
      <c r="P838" s="1" t="s">
        <v>4957</v>
      </c>
      <c r="Q838" s="1" t="s">
        <v>5949</v>
      </c>
      <c r="R838" s="1" t="s">
        <v>4958</v>
      </c>
      <c r="S838" s="9">
        <v>45902</v>
      </c>
      <c r="T838" s="1">
        <v>2</v>
      </c>
      <c r="U838" s="1" t="s">
        <v>4959</v>
      </c>
      <c r="V838" s="1" t="s">
        <v>4960</v>
      </c>
      <c r="W838" s="1" t="s">
        <v>1388</v>
      </c>
    </row>
    <row r="839" spans="1:23" x14ac:dyDescent="0.25">
      <c r="A839" s="1" t="s">
        <v>48</v>
      </c>
      <c r="B839" s="1" t="s">
        <v>2527</v>
      </c>
      <c r="C839" s="1" t="s">
        <v>50</v>
      </c>
      <c r="D839" s="1" t="s">
        <v>3503</v>
      </c>
      <c r="E839" s="1" t="s">
        <v>3504</v>
      </c>
      <c r="F839" s="22" t="s">
        <v>6085</v>
      </c>
      <c r="G839" s="1" t="s">
        <v>6</v>
      </c>
      <c r="H839" s="1" t="s">
        <v>20</v>
      </c>
      <c r="I839" s="1" t="s">
        <v>26</v>
      </c>
      <c r="J839" s="1" t="s">
        <v>9</v>
      </c>
      <c r="K839" s="1" t="s">
        <v>18</v>
      </c>
      <c r="L839" s="1" t="s">
        <v>14</v>
      </c>
      <c r="M839" s="1" t="s">
        <v>78</v>
      </c>
      <c r="N839" s="11" t="s">
        <v>188</v>
      </c>
      <c r="O839" s="1" t="s">
        <v>6037</v>
      </c>
      <c r="P839" s="1" t="s">
        <v>126</v>
      </c>
      <c r="Q839" s="1" t="s">
        <v>5367</v>
      </c>
      <c r="R839" s="20" t="s">
        <v>4961</v>
      </c>
      <c r="S839" s="8">
        <v>46069</v>
      </c>
      <c r="T839" s="1">
        <v>1</v>
      </c>
      <c r="U839" s="1" t="s">
        <v>764</v>
      </c>
      <c r="V839" s="1" t="s">
        <v>1388</v>
      </c>
      <c r="W839" s="1" t="s">
        <v>1388</v>
      </c>
    </row>
    <row r="840" spans="1:23" x14ac:dyDescent="0.25">
      <c r="A840" s="1" t="s">
        <v>48</v>
      </c>
      <c r="B840" s="1" t="s">
        <v>2528</v>
      </c>
      <c r="C840" s="1" t="s">
        <v>50</v>
      </c>
      <c r="D840" s="1" t="s">
        <v>3505</v>
      </c>
      <c r="E840" s="1" t="s">
        <v>3506</v>
      </c>
      <c r="F840" s="22" t="s">
        <v>6085</v>
      </c>
      <c r="G840" s="1" t="s">
        <v>1383</v>
      </c>
      <c r="H840" s="1" t="s">
        <v>21</v>
      </c>
      <c r="I840" s="1" t="s">
        <v>25</v>
      </c>
      <c r="J840" s="1" t="s">
        <v>8</v>
      </c>
      <c r="K840" s="1" t="s">
        <v>13</v>
      </c>
      <c r="L840" s="1" t="s">
        <v>16</v>
      </c>
      <c r="M840" s="1" t="s">
        <v>78</v>
      </c>
      <c r="N840" s="1" t="s">
        <v>188</v>
      </c>
      <c r="O840" s="2" t="s">
        <v>6235</v>
      </c>
      <c r="P840" s="1" t="s">
        <v>4962</v>
      </c>
      <c r="Q840" s="1" t="s">
        <v>5950</v>
      </c>
      <c r="R840" s="1" t="s">
        <v>4963</v>
      </c>
      <c r="S840" s="8">
        <v>46082</v>
      </c>
      <c r="T840" s="1">
        <v>1</v>
      </c>
      <c r="U840" s="1" t="s">
        <v>4964</v>
      </c>
      <c r="V840" s="1" t="s">
        <v>1388</v>
      </c>
      <c r="W840" s="1" t="s">
        <v>1388</v>
      </c>
    </row>
    <row r="841" spans="1:23" x14ac:dyDescent="0.25">
      <c r="A841" s="1" t="s">
        <v>48</v>
      </c>
      <c r="B841" s="1" t="s">
        <v>2529</v>
      </c>
      <c r="C841" s="1" t="s">
        <v>50</v>
      </c>
      <c r="D841" s="1" t="s">
        <v>3507</v>
      </c>
      <c r="E841" s="1" t="s">
        <v>3508</v>
      </c>
      <c r="F841" s="22" t="s">
        <v>6085</v>
      </c>
      <c r="G841" s="1" t="s">
        <v>6</v>
      </c>
      <c r="H841" s="1" t="s">
        <v>24</v>
      </c>
      <c r="I841" s="1" t="s">
        <v>25</v>
      </c>
      <c r="J841" s="1" t="s">
        <v>9</v>
      </c>
      <c r="K841" s="1" t="s">
        <v>13</v>
      </c>
      <c r="L841" s="1" t="s">
        <v>13</v>
      </c>
      <c r="M841" s="1" t="s">
        <v>78</v>
      </c>
      <c r="N841" s="11" t="s">
        <v>188</v>
      </c>
      <c r="O841" s="1" t="s">
        <v>6037</v>
      </c>
      <c r="P841" s="1" t="s">
        <v>60</v>
      </c>
      <c r="Q841" s="1" t="s">
        <v>734</v>
      </c>
      <c r="R841" s="1" t="s">
        <v>4965</v>
      </c>
      <c r="S841" s="8">
        <v>46023</v>
      </c>
      <c r="T841" s="1">
        <v>2</v>
      </c>
      <c r="U841" s="1" t="s">
        <v>4966</v>
      </c>
      <c r="V841" s="1" t="s">
        <v>4966</v>
      </c>
      <c r="W841" s="1" t="s">
        <v>1388</v>
      </c>
    </row>
    <row r="842" spans="1:23" x14ac:dyDescent="0.25">
      <c r="A842" s="1" t="s">
        <v>48</v>
      </c>
      <c r="B842" s="1" t="s">
        <v>2530</v>
      </c>
      <c r="C842" s="1" t="s">
        <v>50</v>
      </c>
      <c r="D842" s="1" t="s">
        <v>3509</v>
      </c>
      <c r="E842" s="1" t="s">
        <v>3510</v>
      </c>
      <c r="F842" s="22" t="s">
        <v>6085</v>
      </c>
      <c r="G842" s="1" t="s">
        <v>5</v>
      </c>
      <c r="H842" s="1" t="s">
        <v>24</v>
      </c>
      <c r="I842" s="1" t="s">
        <v>25</v>
      </c>
      <c r="J842" s="1" t="s">
        <v>9</v>
      </c>
      <c r="K842" s="1" t="s">
        <v>16</v>
      </c>
      <c r="L842" s="1" t="s">
        <v>16</v>
      </c>
      <c r="M842" s="1" t="s">
        <v>78</v>
      </c>
      <c r="N842" s="11" t="s">
        <v>188</v>
      </c>
      <c r="O842" s="1" t="s">
        <v>6037</v>
      </c>
      <c r="P842" s="1" t="s">
        <v>247</v>
      </c>
      <c r="Q842" s="1" t="s">
        <v>5951</v>
      </c>
      <c r="R842" s="1" t="s">
        <v>4967</v>
      </c>
      <c r="S842" s="8">
        <v>46027</v>
      </c>
      <c r="T842" s="1">
        <v>3</v>
      </c>
      <c r="U842" s="1" t="s">
        <v>4968</v>
      </c>
      <c r="V842" s="1" t="s">
        <v>4969</v>
      </c>
      <c r="W842" s="1" t="s">
        <v>4970</v>
      </c>
    </row>
    <row r="843" spans="1:23" x14ac:dyDescent="0.25">
      <c r="A843" s="1" t="s">
        <v>48</v>
      </c>
      <c r="B843" s="1" t="s">
        <v>2531</v>
      </c>
      <c r="C843" s="1" t="s">
        <v>50</v>
      </c>
      <c r="D843" s="1" t="s">
        <v>3511</v>
      </c>
      <c r="E843" s="1" t="s">
        <v>3512</v>
      </c>
      <c r="F843" s="22" t="s">
        <v>6085</v>
      </c>
      <c r="G843" s="1" t="s">
        <v>6</v>
      </c>
      <c r="H843" s="1" t="s">
        <v>24</v>
      </c>
      <c r="I843" s="1" t="s">
        <v>25</v>
      </c>
      <c r="J843" s="1" t="s">
        <v>9</v>
      </c>
      <c r="K843" s="1" t="s">
        <v>13</v>
      </c>
      <c r="L843" s="1" t="s">
        <v>13</v>
      </c>
      <c r="M843" s="1" t="s">
        <v>78</v>
      </c>
      <c r="N843" s="11" t="s">
        <v>188</v>
      </c>
      <c r="O843" s="1" t="s">
        <v>6037</v>
      </c>
      <c r="P843" s="1" t="s">
        <v>126</v>
      </c>
      <c r="Q843" s="1" t="s">
        <v>5952</v>
      </c>
      <c r="R843" s="1" t="s">
        <v>4971</v>
      </c>
      <c r="S843" s="8">
        <v>45705</v>
      </c>
      <c r="T843" s="1">
        <v>1</v>
      </c>
      <c r="U843" s="1" t="s">
        <v>4972</v>
      </c>
      <c r="V843" s="1" t="s">
        <v>1388</v>
      </c>
      <c r="W843" s="1" t="s">
        <v>1388</v>
      </c>
    </row>
    <row r="844" spans="1:23" x14ac:dyDescent="0.25">
      <c r="A844" s="1" t="s">
        <v>48</v>
      </c>
      <c r="B844" s="1" t="s">
        <v>2532</v>
      </c>
      <c r="C844" s="1" t="s">
        <v>50</v>
      </c>
      <c r="D844" s="1" t="s">
        <v>3513</v>
      </c>
      <c r="E844" s="1" t="s">
        <v>3514</v>
      </c>
      <c r="F844" s="22" t="s">
        <v>6085</v>
      </c>
      <c r="G844" s="1" t="s">
        <v>6</v>
      </c>
      <c r="H844" s="1" t="s">
        <v>24</v>
      </c>
      <c r="I844" s="1" t="s">
        <v>25</v>
      </c>
      <c r="J844" s="1" t="s">
        <v>9</v>
      </c>
      <c r="K844" s="1" t="s">
        <v>14</v>
      </c>
      <c r="L844" s="1" t="s">
        <v>14</v>
      </c>
      <c r="M844" s="1" t="s">
        <v>78</v>
      </c>
      <c r="N844" s="1" t="s">
        <v>188</v>
      </c>
      <c r="O844" s="2" t="s">
        <v>6235</v>
      </c>
      <c r="P844" s="1" t="s">
        <v>126</v>
      </c>
      <c r="Q844" s="1" t="s">
        <v>5953</v>
      </c>
      <c r="R844" s="1" t="s">
        <v>4973</v>
      </c>
      <c r="S844" s="8">
        <v>46069</v>
      </c>
      <c r="T844" s="1">
        <v>2</v>
      </c>
      <c r="U844" s="1" t="s">
        <v>4974</v>
      </c>
      <c r="V844" s="1" t="s">
        <v>4975</v>
      </c>
      <c r="W844" s="1" t="s">
        <v>1388</v>
      </c>
    </row>
    <row r="845" spans="1:23" x14ac:dyDescent="0.25">
      <c r="A845" s="1" t="s">
        <v>48</v>
      </c>
      <c r="B845" s="1" t="s">
        <v>2533</v>
      </c>
      <c r="C845" s="1" t="s">
        <v>50</v>
      </c>
      <c r="D845" s="1" t="s">
        <v>3515</v>
      </c>
      <c r="E845" s="1" t="s">
        <v>3516</v>
      </c>
      <c r="F845" s="22" t="s">
        <v>6085</v>
      </c>
      <c r="G845" s="1" t="s">
        <v>7</v>
      </c>
      <c r="H845" s="1" t="s">
        <v>20</v>
      </c>
      <c r="I845" s="1" t="s">
        <v>26</v>
      </c>
      <c r="J845" s="1" t="s">
        <v>9</v>
      </c>
      <c r="K845" s="1" t="s">
        <v>19</v>
      </c>
      <c r="L845" s="1" t="s">
        <v>19</v>
      </c>
      <c r="M845" s="1" t="s">
        <v>78</v>
      </c>
      <c r="N845" s="11" t="s">
        <v>188</v>
      </c>
      <c r="O845" s="1" t="s">
        <v>6037</v>
      </c>
      <c r="P845" s="1" t="s">
        <v>162</v>
      </c>
      <c r="Q845" s="1" t="s">
        <v>5546</v>
      </c>
      <c r="R845" s="1" t="s">
        <v>4976</v>
      </c>
      <c r="S845" s="8">
        <v>46027</v>
      </c>
      <c r="T845" s="1">
        <v>2</v>
      </c>
      <c r="U845" s="1" t="s">
        <v>4977</v>
      </c>
      <c r="V845" s="1" t="s">
        <v>3923</v>
      </c>
      <c r="W845" s="1" t="s">
        <v>1388</v>
      </c>
    </row>
    <row r="846" spans="1:23" x14ac:dyDescent="0.25">
      <c r="A846" s="1" t="s">
        <v>48</v>
      </c>
      <c r="B846" s="1" t="s">
        <v>2534</v>
      </c>
      <c r="C846" s="1" t="s">
        <v>50</v>
      </c>
      <c r="D846" s="1" t="s">
        <v>3517</v>
      </c>
      <c r="E846" s="1" t="s">
        <v>3518</v>
      </c>
      <c r="F846" s="22" t="s">
        <v>5259</v>
      </c>
      <c r="G846" s="1" t="s">
        <v>5</v>
      </c>
      <c r="H846" s="1" t="s">
        <v>20</v>
      </c>
      <c r="I846" s="1" t="s">
        <v>25</v>
      </c>
      <c r="J846" s="1" t="s">
        <v>9</v>
      </c>
      <c r="K846" s="1" t="s">
        <v>19</v>
      </c>
      <c r="L846" s="1" t="s">
        <v>19</v>
      </c>
      <c r="M846" s="1" t="s">
        <v>78</v>
      </c>
      <c r="N846" s="14" t="s">
        <v>5226</v>
      </c>
      <c r="O846" s="1" t="s">
        <v>6037</v>
      </c>
      <c r="P846" s="1" t="s">
        <v>4978</v>
      </c>
      <c r="Q846" s="1" t="s">
        <v>5954</v>
      </c>
      <c r="R846" s="1" t="s">
        <v>4979</v>
      </c>
      <c r="S846" s="8">
        <v>46054</v>
      </c>
      <c r="T846" s="1">
        <v>3</v>
      </c>
      <c r="U846" s="1" t="s">
        <v>1475</v>
      </c>
      <c r="V846" s="1" t="s">
        <v>4482</v>
      </c>
      <c r="W846" s="1" t="s">
        <v>302</v>
      </c>
    </row>
    <row r="847" spans="1:23" x14ac:dyDescent="0.25">
      <c r="A847" s="1" t="s">
        <v>48</v>
      </c>
      <c r="B847" s="1" t="s">
        <v>2535</v>
      </c>
      <c r="C847" s="1" t="s">
        <v>50</v>
      </c>
      <c r="D847" s="1" t="s">
        <v>3519</v>
      </c>
      <c r="E847" s="1" t="s">
        <v>3520</v>
      </c>
      <c r="F847" s="22" t="s">
        <v>6085</v>
      </c>
      <c r="G847" s="1" t="s">
        <v>5</v>
      </c>
      <c r="H847" s="1" t="s">
        <v>20</v>
      </c>
      <c r="I847" s="1" t="s">
        <v>26</v>
      </c>
      <c r="J847" s="1" t="s">
        <v>9</v>
      </c>
      <c r="K847" s="1" t="s">
        <v>10</v>
      </c>
      <c r="L847" s="1" t="s">
        <v>16</v>
      </c>
      <c r="M847" s="1" t="s">
        <v>78</v>
      </c>
      <c r="N847" s="11" t="s">
        <v>188</v>
      </c>
      <c r="O847" s="1" t="s">
        <v>6037</v>
      </c>
      <c r="P847" s="1" t="s">
        <v>126</v>
      </c>
      <c r="Q847" s="17" t="s">
        <v>5955</v>
      </c>
      <c r="R847" s="1" t="s">
        <v>4980</v>
      </c>
      <c r="S847" s="8">
        <v>46062</v>
      </c>
      <c r="T847" s="1">
        <v>3</v>
      </c>
      <c r="U847" s="1" t="s">
        <v>4981</v>
      </c>
      <c r="V847" s="1" t="s">
        <v>4981</v>
      </c>
      <c r="W847" s="1" t="s">
        <v>4981</v>
      </c>
    </row>
    <row r="848" spans="1:23" x14ac:dyDescent="0.25">
      <c r="A848" s="1" t="s">
        <v>48</v>
      </c>
      <c r="B848" s="1" t="s">
        <v>2536</v>
      </c>
      <c r="C848" s="1" t="s">
        <v>50</v>
      </c>
      <c r="D848" s="1" t="s">
        <v>3521</v>
      </c>
      <c r="E848" s="1" t="s">
        <v>3522</v>
      </c>
      <c r="F848" s="22" t="s">
        <v>6085</v>
      </c>
      <c r="G848" s="1" t="s">
        <v>6</v>
      </c>
      <c r="H848" s="1" t="s">
        <v>20</v>
      </c>
      <c r="I848" s="1" t="s">
        <v>25</v>
      </c>
      <c r="J848" s="1" t="s">
        <v>9</v>
      </c>
      <c r="K848" s="1" t="s">
        <v>13</v>
      </c>
      <c r="L848" s="1" t="s">
        <v>13</v>
      </c>
      <c r="M848" s="1" t="s">
        <v>78</v>
      </c>
      <c r="N848" s="11" t="s">
        <v>188</v>
      </c>
      <c r="O848" s="1" t="s">
        <v>6037</v>
      </c>
      <c r="P848" s="1" t="s">
        <v>247</v>
      </c>
      <c r="Q848" s="1" t="s">
        <v>5956</v>
      </c>
      <c r="R848" s="1" t="s">
        <v>4982</v>
      </c>
      <c r="S848" s="8">
        <v>46034</v>
      </c>
      <c r="T848" s="1">
        <v>2</v>
      </c>
      <c r="U848" s="1" t="s">
        <v>4764</v>
      </c>
      <c r="V848" s="1" t="s">
        <v>4983</v>
      </c>
      <c r="W848" s="1" t="s">
        <v>1388</v>
      </c>
    </row>
    <row r="849" spans="1:23" x14ac:dyDescent="0.25">
      <c r="A849" s="1" t="s">
        <v>48</v>
      </c>
      <c r="B849" s="1" t="s">
        <v>2537</v>
      </c>
      <c r="C849" s="1" t="s">
        <v>50</v>
      </c>
      <c r="D849" s="1" t="s">
        <v>3523</v>
      </c>
      <c r="E849" s="1" t="s">
        <v>3524</v>
      </c>
      <c r="F849" s="22" t="s">
        <v>6085</v>
      </c>
      <c r="G849" s="1" t="s">
        <v>6</v>
      </c>
      <c r="H849" s="1" t="s">
        <v>20</v>
      </c>
      <c r="I849" s="1" t="s">
        <v>25</v>
      </c>
      <c r="J849" s="1" t="s">
        <v>9</v>
      </c>
      <c r="K849" s="1" t="s">
        <v>15</v>
      </c>
      <c r="L849" s="1" t="s">
        <v>15</v>
      </c>
      <c r="M849" s="1" t="s">
        <v>78</v>
      </c>
      <c r="N849" s="1" t="s">
        <v>5241</v>
      </c>
      <c r="O849" s="1" t="s">
        <v>6037</v>
      </c>
      <c r="P849" s="1" t="s">
        <v>4984</v>
      </c>
      <c r="Q849" s="1" t="s">
        <v>5957</v>
      </c>
      <c r="R849" s="1" t="s">
        <v>4985</v>
      </c>
      <c r="S849" s="8">
        <v>45880</v>
      </c>
      <c r="T849" s="1">
        <v>1</v>
      </c>
      <c r="U849" s="1" t="s">
        <v>4986</v>
      </c>
      <c r="V849" s="1" t="s">
        <v>1388</v>
      </c>
      <c r="W849" s="1" t="s">
        <v>1388</v>
      </c>
    </row>
    <row r="850" spans="1:23" x14ac:dyDescent="0.25">
      <c r="A850" s="1" t="s">
        <v>48</v>
      </c>
      <c r="B850" s="1" t="s">
        <v>2538</v>
      </c>
      <c r="C850" s="1" t="s">
        <v>50</v>
      </c>
      <c r="D850" s="1" t="s">
        <v>3525</v>
      </c>
      <c r="E850" s="1" t="s">
        <v>3526</v>
      </c>
      <c r="F850" s="22" t="s">
        <v>6085</v>
      </c>
      <c r="G850" s="1" t="s">
        <v>5</v>
      </c>
      <c r="H850" s="1" t="s">
        <v>20</v>
      </c>
      <c r="I850" s="1" t="s">
        <v>25</v>
      </c>
      <c r="J850" s="1" t="s">
        <v>9</v>
      </c>
      <c r="K850" s="1" t="s">
        <v>13</v>
      </c>
      <c r="L850" s="1" t="s">
        <v>13</v>
      </c>
      <c r="M850" s="1" t="s">
        <v>78</v>
      </c>
      <c r="N850" s="11" t="s">
        <v>188</v>
      </c>
      <c r="O850" s="2" t="s">
        <v>6235</v>
      </c>
      <c r="P850" s="1" t="s">
        <v>4553</v>
      </c>
      <c r="Q850" s="1" t="s">
        <v>5958</v>
      </c>
      <c r="R850" s="1" t="s">
        <v>4987</v>
      </c>
      <c r="S850" s="8">
        <v>46023</v>
      </c>
      <c r="T850" s="1">
        <v>2</v>
      </c>
      <c r="U850" s="1" t="s">
        <v>4988</v>
      </c>
      <c r="V850" s="1" t="s">
        <v>460</v>
      </c>
      <c r="W850" s="1" t="s">
        <v>1388</v>
      </c>
    </row>
    <row r="851" spans="1:23" x14ac:dyDescent="0.25">
      <c r="A851" s="1" t="s">
        <v>48</v>
      </c>
      <c r="B851" s="1" t="s">
        <v>2539</v>
      </c>
      <c r="C851" s="1" t="s">
        <v>50</v>
      </c>
      <c r="D851" s="1" t="s">
        <v>3527</v>
      </c>
      <c r="E851" s="1" t="s">
        <v>3528</v>
      </c>
      <c r="F851" s="22" t="s">
        <v>3</v>
      </c>
      <c r="G851" s="1" t="s">
        <v>6</v>
      </c>
      <c r="H851" s="1" t="s">
        <v>20</v>
      </c>
      <c r="I851" s="1" t="s">
        <v>25</v>
      </c>
      <c r="J851" s="1" t="s">
        <v>9</v>
      </c>
      <c r="K851" s="1" t="s">
        <v>14</v>
      </c>
      <c r="L851" s="1" t="s">
        <v>14</v>
      </c>
      <c r="M851" s="1" t="s">
        <v>78</v>
      </c>
      <c r="N851" s="1" t="s">
        <v>1013</v>
      </c>
      <c r="O851" s="1" t="s">
        <v>6037</v>
      </c>
      <c r="P851" s="1" t="s">
        <v>126</v>
      </c>
      <c r="Q851" s="1" t="s">
        <v>6</v>
      </c>
      <c r="R851" s="7" t="s">
        <v>4989</v>
      </c>
      <c r="S851" s="8">
        <v>46024</v>
      </c>
      <c r="T851" s="1">
        <v>2</v>
      </c>
      <c r="U851" s="1" t="s">
        <v>4990</v>
      </c>
      <c r="V851" s="1" t="s">
        <v>4991</v>
      </c>
      <c r="W851" s="1" t="s">
        <v>1388</v>
      </c>
    </row>
    <row r="852" spans="1:23" x14ac:dyDescent="0.25">
      <c r="A852" s="1" t="s">
        <v>48</v>
      </c>
      <c r="B852" s="1" t="s">
        <v>2540</v>
      </c>
      <c r="C852" s="1" t="s">
        <v>50</v>
      </c>
      <c r="D852" s="1" t="s">
        <v>3529</v>
      </c>
      <c r="E852" s="1" t="s">
        <v>3530</v>
      </c>
      <c r="F852" s="22" t="s">
        <v>6085</v>
      </c>
      <c r="G852" s="1" t="s">
        <v>5</v>
      </c>
      <c r="H852" s="1" t="s">
        <v>20</v>
      </c>
      <c r="I852" s="1" t="s">
        <v>25</v>
      </c>
      <c r="J852" s="1" t="s">
        <v>9</v>
      </c>
      <c r="K852" s="1" t="s">
        <v>19</v>
      </c>
      <c r="L852" s="1" t="s">
        <v>19</v>
      </c>
      <c r="M852" s="1" t="s">
        <v>78</v>
      </c>
      <c r="N852" s="1" t="s">
        <v>188</v>
      </c>
      <c r="O852" s="2" t="s">
        <v>6235</v>
      </c>
      <c r="P852" s="1" t="s">
        <v>66</v>
      </c>
      <c r="Q852" s="1" t="s">
        <v>5606</v>
      </c>
      <c r="R852" s="1" t="s">
        <v>4992</v>
      </c>
      <c r="S852" s="8">
        <v>46023</v>
      </c>
      <c r="T852" s="1">
        <v>3</v>
      </c>
      <c r="U852" s="1" t="s">
        <v>1686</v>
      </c>
      <c r="V852" s="1" t="s">
        <v>4993</v>
      </c>
      <c r="W852" s="1" t="s">
        <v>4994</v>
      </c>
    </row>
    <row r="853" spans="1:23" x14ac:dyDescent="0.25">
      <c r="A853" s="1" t="s">
        <v>48</v>
      </c>
      <c r="B853" s="1" t="s">
        <v>2541</v>
      </c>
      <c r="C853" s="1" t="s">
        <v>50</v>
      </c>
      <c r="D853" s="1" t="s">
        <v>3531</v>
      </c>
      <c r="E853" s="1" t="s">
        <v>3532</v>
      </c>
      <c r="F853" s="22" t="s">
        <v>6085</v>
      </c>
      <c r="G853" s="1" t="s">
        <v>5</v>
      </c>
      <c r="H853" s="1" t="s">
        <v>20</v>
      </c>
      <c r="I853" s="1" t="s">
        <v>25</v>
      </c>
      <c r="J853" s="1" t="s">
        <v>9</v>
      </c>
      <c r="K853" s="1" t="s">
        <v>16</v>
      </c>
      <c r="L853" s="1" t="s">
        <v>16</v>
      </c>
      <c r="M853" s="1" t="s">
        <v>78</v>
      </c>
      <c r="N853" s="11" t="s">
        <v>188</v>
      </c>
      <c r="O853" s="1" t="s">
        <v>6037</v>
      </c>
      <c r="P853" s="1" t="s">
        <v>267</v>
      </c>
      <c r="Q853" s="1" t="s">
        <v>5</v>
      </c>
      <c r="R853" s="1" t="s">
        <v>4995</v>
      </c>
      <c r="S853" s="8">
        <v>46027</v>
      </c>
      <c r="T853" s="1">
        <v>3</v>
      </c>
      <c r="U853" s="1" t="s">
        <v>4996</v>
      </c>
      <c r="V853" s="1" t="s">
        <v>4997</v>
      </c>
      <c r="W853" s="1" t="s">
        <v>4998</v>
      </c>
    </row>
    <row r="854" spans="1:23" x14ac:dyDescent="0.25">
      <c r="A854" s="1" t="s">
        <v>48</v>
      </c>
      <c r="B854" s="1" t="s">
        <v>2542</v>
      </c>
      <c r="C854" s="1" t="s">
        <v>50</v>
      </c>
      <c r="D854" s="1" t="s">
        <v>3533</v>
      </c>
      <c r="E854" s="1" t="s">
        <v>3534</v>
      </c>
      <c r="F854" s="22" t="s">
        <v>6085</v>
      </c>
      <c r="G854" s="1" t="s">
        <v>5</v>
      </c>
      <c r="H854" s="1" t="s">
        <v>23</v>
      </c>
      <c r="I854" s="1" t="s">
        <v>26</v>
      </c>
      <c r="J854" s="1" t="s">
        <v>9</v>
      </c>
      <c r="K854" s="1" t="s">
        <v>16</v>
      </c>
      <c r="L854" s="1" t="s">
        <v>16</v>
      </c>
      <c r="M854" s="1" t="s">
        <v>78</v>
      </c>
      <c r="N854" s="11" t="s">
        <v>2089</v>
      </c>
      <c r="O854" s="1" t="s">
        <v>6037</v>
      </c>
      <c r="P854" s="1" t="s">
        <v>1456</v>
      </c>
      <c r="Q854" s="1" t="s">
        <v>5959</v>
      </c>
      <c r="R854" s="1" t="s">
        <v>4999</v>
      </c>
      <c r="S854" s="8">
        <v>46023</v>
      </c>
      <c r="T854" s="1">
        <v>3</v>
      </c>
      <c r="U854" s="1" t="s">
        <v>236</v>
      </c>
      <c r="V854" s="1" t="s">
        <v>236</v>
      </c>
      <c r="W854" s="1" t="s">
        <v>236</v>
      </c>
    </row>
    <row r="855" spans="1:23" x14ac:dyDescent="0.25">
      <c r="A855" s="1" t="s">
        <v>48</v>
      </c>
      <c r="B855" s="1" t="s">
        <v>2543</v>
      </c>
      <c r="C855" s="1" t="s">
        <v>50</v>
      </c>
      <c r="D855" s="1" t="s">
        <v>3535</v>
      </c>
      <c r="E855" s="1" t="s">
        <v>3536</v>
      </c>
      <c r="F855" s="22" t="s">
        <v>6085</v>
      </c>
      <c r="G855" s="1" t="s">
        <v>6</v>
      </c>
      <c r="H855" s="1" t="s">
        <v>24</v>
      </c>
      <c r="I855" s="1" t="s">
        <v>25</v>
      </c>
      <c r="J855" s="1" t="s">
        <v>9</v>
      </c>
      <c r="K855" s="1" t="s">
        <v>18</v>
      </c>
      <c r="L855" s="1" t="s">
        <v>18</v>
      </c>
      <c r="M855" s="1" t="s">
        <v>78</v>
      </c>
      <c r="N855" s="11" t="s">
        <v>188</v>
      </c>
      <c r="O855" s="1" t="s">
        <v>6037</v>
      </c>
      <c r="P855" s="1" t="s">
        <v>60</v>
      </c>
      <c r="Q855" s="1" t="s">
        <v>5960</v>
      </c>
      <c r="R855" s="18" t="s">
        <v>5000</v>
      </c>
      <c r="S855" s="8">
        <v>46062</v>
      </c>
      <c r="T855" s="1">
        <v>1</v>
      </c>
      <c r="U855" s="1" t="s">
        <v>5001</v>
      </c>
      <c r="V855" s="1" t="s">
        <v>1388</v>
      </c>
      <c r="W855" s="1" t="s">
        <v>1388</v>
      </c>
    </row>
    <row r="856" spans="1:23" x14ac:dyDescent="0.25">
      <c r="A856" s="1" t="s">
        <v>48</v>
      </c>
      <c r="B856" s="1" t="s">
        <v>2544</v>
      </c>
      <c r="C856" s="1" t="s">
        <v>50</v>
      </c>
      <c r="D856" s="1" t="s">
        <v>3537</v>
      </c>
      <c r="E856" s="1" t="s">
        <v>3538</v>
      </c>
      <c r="F856" s="22" t="s">
        <v>3</v>
      </c>
      <c r="G856" s="1" t="s">
        <v>6</v>
      </c>
      <c r="H856" s="1" t="s">
        <v>20</v>
      </c>
      <c r="I856" s="1" t="s">
        <v>25</v>
      </c>
      <c r="J856" s="1" t="s">
        <v>9</v>
      </c>
      <c r="K856" s="1" t="s">
        <v>12</v>
      </c>
      <c r="L856" s="1" t="s">
        <v>12</v>
      </c>
      <c r="M856" s="1" t="s">
        <v>78</v>
      </c>
      <c r="N856" s="11" t="s">
        <v>188</v>
      </c>
      <c r="O856" s="1" t="s">
        <v>6037</v>
      </c>
      <c r="P856" s="1" t="s">
        <v>247</v>
      </c>
      <c r="Q856" s="1" t="s">
        <v>5961</v>
      </c>
      <c r="R856" s="7" t="s">
        <v>5002</v>
      </c>
      <c r="S856" s="8">
        <v>45719</v>
      </c>
      <c r="T856" s="1">
        <v>1</v>
      </c>
      <c r="U856" s="1" t="s">
        <v>5003</v>
      </c>
      <c r="V856" s="1" t="s">
        <v>1388</v>
      </c>
      <c r="W856" s="1" t="s">
        <v>1388</v>
      </c>
    </row>
    <row r="857" spans="1:23" x14ac:dyDescent="0.25">
      <c r="A857" s="1" t="s">
        <v>48</v>
      </c>
      <c r="B857" s="1" t="s">
        <v>2545</v>
      </c>
      <c r="C857" s="1" t="s">
        <v>50</v>
      </c>
      <c r="D857" s="1" t="s">
        <v>3539</v>
      </c>
      <c r="E857" s="1" t="s">
        <v>3540</v>
      </c>
      <c r="F857" s="22" t="s">
        <v>3</v>
      </c>
      <c r="G857" s="1" t="s">
        <v>5</v>
      </c>
      <c r="H857" s="1" t="s">
        <v>20</v>
      </c>
      <c r="I857" s="1" t="s">
        <v>25</v>
      </c>
      <c r="J857" s="1" t="s">
        <v>9</v>
      </c>
      <c r="K857" s="1" t="s">
        <v>11</v>
      </c>
      <c r="L857" s="1" t="s">
        <v>11</v>
      </c>
      <c r="M857" s="1" t="s">
        <v>78</v>
      </c>
      <c r="N857" s="11" t="s">
        <v>188</v>
      </c>
      <c r="O857" s="1" t="s">
        <v>6037</v>
      </c>
      <c r="P857" s="1" t="s">
        <v>247</v>
      </c>
      <c r="Q857" s="1" t="s">
        <v>5962</v>
      </c>
      <c r="R857" s="7" t="s">
        <v>5004</v>
      </c>
      <c r="S857" s="8">
        <v>46030</v>
      </c>
      <c r="T857" s="1">
        <v>3</v>
      </c>
      <c r="U857" s="1" t="s">
        <v>5005</v>
      </c>
      <c r="V857" s="1" t="s">
        <v>5006</v>
      </c>
      <c r="W857" s="1" t="s">
        <v>5007</v>
      </c>
    </row>
    <row r="858" spans="1:23" x14ac:dyDescent="0.25">
      <c r="A858" s="1" t="s">
        <v>48</v>
      </c>
      <c r="B858" s="1" t="s">
        <v>2546</v>
      </c>
      <c r="C858" s="1" t="s">
        <v>50</v>
      </c>
      <c r="D858" s="1" t="s">
        <v>3541</v>
      </c>
      <c r="E858" s="1" t="s">
        <v>3542</v>
      </c>
      <c r="F858" s="22" t="s">
        <v>6085</v>
      </c>
      <c r="G858" s="1" t="s">
        <v>5</v>
      </c>
      <c r="H858" s="1" t="s">
        <v>20</v>
      </c>
      <c r="I858" s="1" t="s">
        <v>26</v>
      </c>
      <c r="J858" s="1" t="s">
        <v>9</v>
      </c>
      <c r="K858" s="1" t="s">
        <v>16</v>
      </c>
      <c r="L858" s="1" t="s">
        <v>16</v>
      </c>
      <c r="M858" s="1" t="s">
        <v>78</v>
      </c>
      <c r="N858" s="11" t="s">
        <v>188</v>
      </c>
      <c r="O858" s="1" t="s">
        <v>6037</v>
      </c>
      <c r="P858" s="1" t="s">
        <v>924</v>
      </c>
      <c r="Q858" s="1" t="s">
        <v>5963</v>
      </c>
      <c r="R858" s="1" t="s">
        <v>5008</v>
      </c>
      <c r="S858" s="8">
        <v>46023</v>
      </c>
      <c r="T858" s="1">
        <v>1</v>
      </c>
      <c r="U858" s="1" t="s">
        <v>5009</v>
      </c>
      <c r="V858" s="1" t="s">
        <v>1388</v>
      </c>
      <c r="W858" s="1" t="s">
        <v>1388</v>
      </c>
    </row>
    <row r="859" spans="1:23" x14ac:dyDescent="0.25">
      <c r="A859" s="1" t="s">
        <v>48</v>
      </c>
      <c r="B859" s="1" t="s">
        <v>2547</v>
      </c>
      <c r="C859" s="1" t="s">
        <v>50</v>
      </c>
      <c r="D859" s="1" t="s">
        <v>3543</v>
      </c>
      <c r="E859" s="1" t="s">
        <v>3544</v>
      </c>
      <c r="F859" s="22" t="s">
        <v>6085</v>
      </c>
      <c r="G859" s="1" t="s">
        <v>6</v>
      </c>
      <c r="H859" s="1" t="s">
        <v>20</v>
      </c>
      <c r="I859" s="1" t="s">
        <v>26</v>
      </c>
      <c r="J859" s="1" t="s">
        <v>9</v>
      </c>
      <c r="K859" s="1" t="s">
        <v>19</v>
      </c>
      <c r="L859" s="1" t="s">
        <v>19</v>
      </c>
      <c r="M859" s="1" t="s">
        <v>78</v>
      </c>
      <c r="N859" s="11" t="s">
        <v>188</v>
      </c>
      <c r="O859" s="1" t="s">
        <v>6037</v>
      </c>
      <c r="P859" s="1" t="s">
        <v>60</v>
      </c>
      <c r="Q859" s="1" t="s">
        <v>5964</v>
      </c>
      <c r="R859" s="1" t="s">
        <v>5010</v>
      </c>
      <c r="S859" s="8">
        <v>46067</v>
      </c>
      <c r="T859" s="1">
        <v>2</v>
      </c>
      <c r="U859" s="1" t="s">
        <v>291</v>
      </c>
      <c r="V859" s="1" t="s">
        <v>291</v>
      </c>
      <c r="W859" s="1" t="s">
        <v>1388</v>
      </c>
    </row>
    <row r="860" spans="1:23" x14ac:dyDescent="0.25">
      <c r="A860" s="1" t="s">
        <v>48</v>
      </c>
      <c r="B860" s="1" t="s">
        <v>2548</v>
      </c>
      <c r="C860" s="1" t="s">
        <v>50</v>
      </c>
      <c r="D860" s="1" t="s">
        <v>3545</v>
      </c>
      <c r="E860" s="1" t="s">
        <v>3546</v>
      </c>
      <c r="F860" s="22" t="s">
        <v>6085</v>
      </c>
      <c r="G860" s="1" t="s">
        <v>5</v>
      </c>
      <c r="H860" s="1" t="s">
        <v>20</v>
      </c>
      <c r="I860" s="1" t="s">
        <v>26</v>
      </c>
      <c r="J860" s="1" t="s">
        <v>9</v>
      </c>
      <c r="K860" s="1" t="s">
        <v>14</v>
      </c>
      <c r="L860" s="1" t="s">
        <v>14</v>
      </c>
      <c r="M860" s="1" t="s">
        <v>78</v>
      </c>
      <c r="N860" s="11" t="s">
        <v>188</v>
      </c>
      <c r="O860" s="1" t="s">
        <v>6037</v>
      </c>
      <c r="P860" s="1" t="s">
        <v>66</v>
      </c>
      <c r="Q860" s="1" t="s">
        <v>5965</v>
      </c>
      <c r="R860" s="1" t="s">
        <v>5011</v>
      </c>
      <c r="S860" s="8">
        <v>46054</v>
      </c>
      <c r="T860" s="1">
        <v>3</v>
      </c>
      <c r="U860" s="1" t="s">
        <v>5012</v>
      </c>
      <c r="V860" s="1" t="s">
        <v>1587</v>
      </c>
      <c r="W860" s="1" t="s">
        <v>810</v>
      </c>
    </row>
    <row r="861" spans="1:23" x14ac:dyDescent="0.25">
      <c r="A861" s="1" t="s">
        <v>48</v>
      </c>
      <c r="B861" s="1" t="s">
        <v>2549</v>
      </c>
      <c r="C861" s="1" t="s">
        <v>50</v>
      </c>
      <c r="D861" s="1" t="s">
        <v>3547</v>
      </c>
      <c r="E861" s="1" t="s">
        <v>3548</v>
      </c>
      <c r="F861" s="22" t="s">
        <v>6085</v>
      </c>
      <c r="G861" s="1" t="s">
        <v>5</v>
      </c>
      <c r="H861" s="1" t="s">
        <v>20</v>
      </c>
      <c r="I861" s="1" t="s">
        <v>25</v>
      </c>
      <c r="J861" s="1" t="s">
        <v>9</v>
      </c>
      <c r="K861" s="1" t="s">
        <v>14</v>
      </c>
      <c r="L861" s="1" t="s">
        <v>14</v>
      </c>
      <c r="M861" s="1" t="s">
        <v>78</v>
      </c>
      <c r="N861" s="11" t="s">
        <v>188</v>
      </c>
      <c r="O861" s="1" t="s">
        <v>6037</v>
      </c>
      <c r="P861" s="1" t="s">
        <v>126</v>
      </c>
      <c r="Q861" s="1" t="s">
        <v>5360</v>
      </c>
      <c r="R861" s="1" t="s">
        <v>5013</v>
      </c>
      <c r="S861" s="8">
        <v>46048</v>
      </c>
      <c r="T861" s="1">
        <v>3</v>
      </c>
      <c r="U861" s="1" t="s">
        <v>5014</v>
      </c>
      <c r="V861" s="1" t="s">
        <v>5014</v>
      </c>
      <c r="W861" s="1" t="s">
        <v>5014</v>
      </c>
    </row>
    <row r="862" spans="1:23" x14ac:dyDescent="0.25">
      <c r="A862" s="1" t="s">
        <v>48</v>
      </c>
      <c r="B862" s="1" t="s">
        <v>2550</v>
      </c>
      <c r="C862" s="1" t="s">
        <v>50</v>
      </c>
      <c r="D862" s="1" t="s">
        <v>3549</v>
      </c>
      <c r="E862" s="1" t="s">
        <v>3550</v>
      </c>
      <c r="F862" s="22" t="s">
        <v>6085</v>
      </c>
      <c r="G862" s="1" t="s">
        <v>5</v>
      </c>
      <c r="H862" s="1" t="s">
        <v>22</v>
      </c>
      <c r="I862" s="1" t="s">
        <v>26</v>
      </c>
      <c r="J862" s="1" t="s">
        <v>9</v>
      </c>
      <c r="K862" s="1" t="s">
        <v>16</v>
      </c>
      <c r="L862" s="1" t="s">
        <v>16</v>
      </c>
      <c r="M862" s="1" t="s">
        <v>78</v>
      </c>
      <c r="N862" s="11" t="s">
        <v>188</v>
      </c>
      <c r="O862" s="1" t="s">
        <v>6037</v>
      </c>
      <c r="P862" s="1" t="s">
        <v>247</v>
      </c>
      <c r="Q862" s="1" t="s">
        <v>5966</v>
      </c>
      <c r="R862" s="1" t="s">
        <v>5015</v>
      </c>
      <c r="S862" s="8">
        <v>45758</v>
      </c>
      <c r="T862" s="1">
        <v>2</v>
      </c>
      <c r="U862" s="1" t="s">
        <v>4566</v>
      </c>
      <c r="V862" s="1" t="s">
        <v>4566</v>
      </c>
      <c r="W862" s="1" t="s">
        <v>1388</v>
      </c>
    </row>
    <row r="863" spans="1:23" x14ac:dyDescent="0.25">
      <c r="A863" s="1" t="s">
        <v>48</v>
      </c>
      <c r="B863" s="1" t="s">
        <v>2551</v>
      </c>
      <c r="C863" s="1" t="s">
        <v>50</v>
      </c>
      <c r="D863" s="1" t="s">
        <v>3551</v>
      </c>
      <c r="E863" s="1" t="s">
        <v>3552</v>
      </c>
      <c r="F863" s="22" t="s">
        <v>6085</v>
      </c>
      <c r="G863" s="1" t="s">
        <v>5</v>
      </c>
      <c r="H863" s="1" t="s">
        <v>24</v>
      </c>
      <c r="I863" s="1" t="s">
        <v>25</v>
      </c>
      <c r="J863" s="1" t="s">
        <v>9</v>
      </c>
      <c r="K863" s="1" t="s">
        <v>10</v>
      </c>
      <c r="L863" s="1" t="s">
        <v>16</v>
      </c>
      <c r="M863" s="1" t="s">
        <v>78</v>
      </c>
      <c r="N863" s="11" t="s">
        <v>188</v>
      </c>
      <c r="O863" s="1" t="s">
        <v>6037</v>
      </c>
      <c r="P863" s="1" t="s">
        <v>60</v>
      </c>
      <c r="Q863" s="20" t="s">
        <v>5967</v>
      </c>
      <c r="R863" s="1" t="s">
        <v>5016</v>
      </c>
      <c r="S863" s="8">
        <v>44958</v>
      </c>
      <c r="T863" s="1">
        <v>1</v>
      </c>
      <c r="U863" s="1" t="s">
        <v>5017</v>
      </c>
      <c r="V863" s="1" t="s">
        <v>1388</v>
      </c>
      <c r="W863" s="1" t="s">
        <v>1388</v>
      </c>
    </row>
    <row r="864" spans="1:23" x14ac:dyDescent="0.25">
      <c r="A864" s="1" t="s">
        <v>48</v>
      </c>
      <c r="B864" s="1" t="s">
        <v>2552</v>
      </c>
      <c r="C864" s="1" t="s">
        <v>50</v>
      </c>
      <c r="D864" s="1" t="s">
        <v>3553</v>
      </c>
      <c r="E864" s="1" t="s">
        <v>3554</v>
      </c>
      <c r="F864" s="22" t="s">
        <v>6085</v>
      </c>
      <c r="G864" s="1" t="s">
        <v>5</v>
      </c>
      <c r="H864" s="1" t="s">
        <v>21</v>
      </c>
      <c r="I864" s="1" t="s">
        <v>26</v>
      </c>
      <c r="J864" s="1" t="s">
        <v>9</v>
      </c>
      <c r="K864" s="1" t="s">
        <v>14</v>
      </c>
      <c r="L864" s="1" t="s">
        <v>14</v>
      </c>
      <c r="M864" s="1" t="s">
        <v>78</v>
      </c>
      <c r="N864" s="1" t="s">
        <v>2088</v>
      </c>
      <c r="O864" s="1" t="s">
        <v>6037</v>
      </c>
      <c r="P864" s="1" t="s">
        <v>126</v>
      </c>
      <c r="Q864" s="1" t="s">
        <v>4501</v>
      </c>
      <c r="R864" s="1" t="s">
        <v>5018</v>
      </c>
      <c r="S864" s="8">
        <v>46054</v>
      </c>
      <c r="T864" s="1">
        <v>3</v>
      </c>
      <c r="U864" s="1" t="s">
        <v>5019</v>
      </c>
      <c r="V864" s="1" t="s">
        <v>5020</v>
      </c>
      <c r="W864" s="1" t="s">
        <v>5021</v>
      </c>
    </row>
    <row r="865" spans="1:23" x14ac:dyDescent="0.25">
      <c r="A865" s="1" t="s">
        <v>48</v>
      </c>
      <c r="B865" s="1" t="s">
        <v>2553</v>
      </c>
      <c r="C865" s="1" t="s">
        <v>50</v>
      </c>
      <c r="D865" s="1" t="s">
        <v>3555</v>
      </c>
      <c r="E865" s="1" t="s">
        <v>3556</v>
      </c>
      <c r="F865" s="22" t="s">
        <v>3</v>
      </c>
      <c r="G865" s="1" t="s">
        <v>7</v>
      </c>
      <c r="H865" s="1" t="s">
        <v>20</v>
      </c>
      <c r="I865" s="1" t="s">
        <v>25</v>
      </c>
      <c r="J865" s="1" t="s">
        <v>9</v>
      </c>
      <c r="K865" s="1" t="s">
        <v>13</v>
      </c>
      <c r="L865" s="1" t="s">
        <v>17</v>
      </c>
      <c r="M865" s="1" t="s">
        <v>78</v>
      </c>
      <c r="N865" s="1" t="s">
        <v>188</v>
      </c>
      <c r="O865" s="1" t="s">
        <v>6037</v>
      </c>
      <c r="P865" s="1" t="s">
        <v>162</v>
      </c>
      <c r="Q865" s="1" t="s">
        <v>7</v>
      </c>
      <c r="R865" s="7" t="s">
        <v>5022</v>
      </c>
      <c r="S865" s="8">
        <v>46082</v>
      </c>
      <c r="T865" s="1">
        <v>2</v>
      </c>
      <c r="U865" s="1" t="s">
        <v>5023</v>
      </c>
      <c r="V865" s="1" t="s">
        <v>5024</v>
      </c>
      <c r="W865" s="1" t="s">
        <v>1388</v>
      </c>
    </row>
    <row r="866" spans="1:23" x14ac:dyDescent="0.25">
      <c r="A866" s="1" t="s">
        <v>48</v>
      </c>
      <c r="B866" s="1" t="s">
        <v>2554</v>
      </c>
      <c r="C866" s="1" t="s">
        <v>50</v>
      </c>
      <c r="D866" s="1" t="s">
        <v>3557</v>
      </c>
      <c r="E866" s="1" t="s">
        <v>3558</v>
      </c>
      <c r="F866" s="22" t="s">
        <v>6085</v>
      </c>
      <c r="G866" s="1" t="s">
        <v>6</v>
      </c>
      <c r="H866" s="1" t="s">
        <v>24</v>
      </c>
      <c r="I866" s="1" t="s">
        <v>25</v>
      </c>
      <c r="J866" s="1" t="s">
        <v>9</v>
      </c>
      <c r="K866" s="1" t="s">
        <v>14</v>
      </c>
      <c r="L866" s="1" t="s">
        <v>14</v>
      </c>
      <c r="M866" s="1" t="s">
        <v>78</v>
      </c>
      <c r="N866" s="11" t="s">
        <v>188</v>
      </c>
      <c r="O866" s="1" t="s">
        <v>6037</v>
      </c>
      <c r="P866" s="1" t="s">
        <v>126</v>
      </c>
      <c r="Q866" s="18" t="s">
        <v>5968</v>
      </c>
      <c r="R866" s="1" t="s">
        <v>5025</v>
      </c>
      <c r="S866" s="8">
        <v>45706</v>
      </c>
      <c r="T866" s="1">
        <v>1</v>
      </c>
      <c r="U866" s="1" t="s">
        <v>5026</v>
      </c>
      <c r="V866" s="1" t="s">
        <v>1388</v>
      </c>
      <c r="W866" s="1" t="s">
        <v>1388</v>
      </c>
    </row>
    <row r="867" spans="1:23" x14ac:dyDescent="0.25">
      <c r="A867" s="1" t="s">
        <v>48</v>
      </c>
      <c r="B867" s="1" t="s">
        <v>2555</v>
      </c>
      <c r="C867" s="1" t="s">
        <v>50</v>
      </c>
      <c r="D867" s="1" t="s">
        <v>3559</v>
      </c>
      <c r="E867" s="1" t="s">
        <v>3560</v>
      </c>
      <c r="F867" s="22" t="s">
        <v>6085</v>
      </c>
      <c r="G867" s="1" t="s">
        <v>5</v>
      </c>
      <c r="H867" s="1" t="s">
        <v>24</v>
      </c>
      <c r="I867" s="1" t="s">
        <v>25</v>
      </c>
      <c r="J867" s="1" t="s">
        <v>8</v>
      </c>
      <c r="K867" s="1" t="s">
        <v>16</v>
      </c>
      <c r="L867" s="1" t="s">
        <v>16</v>
      </c>
      <c r="M867" s="1" t="s">
        <v>78</v>
      </c>
      <c r="N867" s="1" t="s">
        <v>188</v>
      </c>
      <c r="O867" s="1" t="s">
        <v>6037</v>
      </c>
      <c r="P867" s="1" t="s">
        <v>5027</v>
      </c>
      <c r="Q867" s="1" t="s">
        <v>5969</v>
      </c>
      <c r="R867" s="1" t="s">
        <v>5028</v>
      </c>
      <c r="S867" s="8">
        <v>46023</v>
      </c>
      <c r="T867" s="1">
        <v>3</v>
      </c>
      <c r="U867" s="1" t="s">
        <v>5029</v>
      </c>
      <c r="V867" s="1" t="s">
        <v>5029</v>
      </c>
      <c r="W867" s="1" t="s">
        <v>5029</v>
      </c>
    </row>
    <row r="868" spans="1:23" x14ac:dyDescent="0.25">
      <c r="A868" s="1" t="s">
        <v>48</v>
      </c>
      <c r="B868" s="1" t="s">
        <v>2556</v>
      </c>
      <c r="C868" s="1" t="s">
        <v>50</v>
      </c>
      <c r="D868" s="1" t="s">
        <v>3561</v>
      </c>
      <c r="E868" s="1" t="s">
        <v>3562</v>
      </c>
      <c r="F868" s="22" t="s">
        <v>6085</v>
      </c>
      <c r="G868" s="1" t="s">
        <v>6</v>
      </c>
      <c r="H868" s="1" t="s">
        <v>20</v>
      </c>
      <c r="I868" s="1" t="s">
        <v>26</v>
      </c>
      <c r="J868" s="1" t="s">
        <v>9</v>
      </c>
      <c r="K868" s="1" t="s">
        <v>16</v>
      </c>
      <c r="L868" s="1" t="s">
        <v>16</v>
      </c>
      <c r="M868" s="1" t="s">
        <v>78</v>
      </c>
      <c r="N868" s="1" t="s">
        <v>2089</v>
      </c>
      <c r="O868" s="1" t="s">
        <v>6037</v>
      </c>
      <c r="P868" s="1" t="s">
        <v>79</v>
      </c>
      <c r="Q868" s="1" t="s">
        <v>5970</v>
      </c>
      <c r="R868" s="1" t="s">
        <v>5030</v>
      </c>
      <c r="S868" s="8">
        <v>45658</v>
      </c>
      <c r="T868" s="1">
        <v>2</v>
      </c>
      <c r="U868" s="1" t="s">
        <v>158</v>
      </c>
      <c r="V868" s="1" t="s">
        <v>158</v>
      </c>
      <c r="W868" s="1" t="s">
        <v>1388</v>
      </c>
    </row>
    <row r="869" spans="1:23" x14ac:dyDescent="0.25">
      <c r="A869" s="1" t="s">
        <v>48</v>
      </c>
      <c r="B869" s="1" t="s">
        <v>2557</v>
      </c>
      <c r="C869" s="1" t="s">
        <v>50</v>
      </c>
      <c r="D869" s="1" t="s">
        <v>3563</v>
      </c>
      <c r="E869" s="1" t="s">
        <v>3564</v>
      </c>
      <c r="F869" s="22" t="s">
        <v>6085</v>
      </c>
      <c r="G869" s="1" t="s">
        <v>5</v>
      </c>
      <c r="H869" s="1" t="s">
        <v>24</v>
      </c>
      <c r="I869" s="1" t="s">
        <v>26</v>
      </c>
      <c r="J869" s="1" t="s">
        <v>9</v>
      </c>
      <c r="K869" s="1" t="s">
        <v>12</v>
      </c>
      <c r="L869" s="1" t="s">
        <v>12</v>
      </c>
      <c r="M869" s="1" t="s">
        <v>78</v>
      </c>
      <c r="N869" s="1" t="s">
        <v>188</v>
      </c>
      <c r="O869" s="1" t="s">
        <v>6037</v>
      </c>
      <c r="P869" s="1" t="s">
        <v>1384</v>
      </c>
      <c r="Q869" s="1" t="s">
        <v>5380</v>
      </c>
      <c r="R869" s="1" t="s">
        <v>5031</v>
      </c>
      <c r="S869" s="8">
        <v>46037</v>
      </c>
      <c r="T869" s="1">
        <v>2</v>
      </c>
      <c r="U869" s="1" t="s">
        <v>3856</v>
      </c>
      <c r="V869" s="1" t="s">
        <v>3856</v>
      </c>
      <c r="W869" s="1" t="s">
        <v>1388</v>
      </c>
    </row>
    <row r="870" spans="1:23" x14ac:dyDescent="0.25">
      <c r="A870" s="1" t="s">
        <v>48</v>
      </c>
      <c r="B870" s="1" t="s">
        <v>2558</v>
      </c>
      <c r="C870" s="1" t="s">
        <v>50</v>
      </c>
      <c r="D870" s="1" t="s">
        <v>3565</v>
      </c>
      <c r="E870" s="1" t="s">
        <v>3566</v>
      </c>
      <c r="F870" s="22" t="s">
        <v>6085</v>
      </c>
      <c r="G870" s="1" t="s">
        <v>6</v>
      </c>
      <c r="H870" s="1" t="s">
        <v>24</v>
      </c>
      <c r="I870" s="1" t="s">
        <v>25</v>
      </c>
      <c r="J870" s="1" t="s">
        <v>9</v>
      </c>
      <c r="K870" s="1" t="s">
        <v>13</v>
      </c>
      <c r="L870" s="1" t="s">
        <v>13</v>
      </c>
      <c r="M870" s="1" t="s">
        <v>78</v>
      </c>
      <c r="N870" s="1" t="s">
        <v>188</v>
      </c>
      <c r="O870" s="1" t="s">
        <v>6037</v>
      </c>
      <c r="P870" s="1" t="s">
        <v>126</v>
      </c>
      <c r="Q870" s="1" t="s">
        <v>5971</v>
      </c>
      <c r="R870" s="1" t="s">
        <v>5032</v>
      </c>
      <c r="S870" s="8">
        <v>46023</v>
      </c>
      <c r="T870" s="1">
        <v>1</v>
      </c>
      <c r="U870" s="1" t="s">
        <v>5033</v>
      </c>
      <c r="V870" s="1" t="s">
        <v>1388</v>
      </c>
      <c r="W870" s="1" t="s">
        <v>1388</v>
      </c>
    </row>
    <row r="871" spans="1:23" x14ac:dyDescent="0.25">
      <c r="A871" s="1" t="s">
        <v>48</v>
      </c>
      <c r="B871" s="1" t="s">
        <v>2559</v>
      </c>
      <c r="C871" s="1" t="s">
        <v>50</v>
      </c>
      <c r="D871" s="1" t="s">
        <v>3567</v>
      </c>
      <c r="E871" s="1" t="s">
        <v>3568</v>
      </c>
      <c r="F871" s="22" t="s">
        <v>6085</v>
      </c>
      <c r="G871" s="1" t="s">
        <v>6</v>
      </c>
      <c r="H871" s="1" t="s">
        <v>20</v>
      </c>
      <c r="I871" s="1" t="s">
        <v>26</v>
      </c>
      <c r="J871" s="1" t="s">
        <v>9</v>
      </c>
      <c r="K871" s="1" t="s">
        <v>11</v>
      </c>
      <c r="L871" s="1" t="s">
        <v>11</v>
      </c>
      <c r="M871" s="1" t="s">
        <v>78</v>
      </c>
      <c r="N871" s="1" t="s">
        <v>188</v>
      </c>
      <c r="O871" s="1" t="s">
        <v>6037</v>
      </c>
      <c r="P871" s="1" t="s">
        <v>5034</v>
      </c>
      <c r="Q871" s="1" t="s">
        <v>5972</v>
      </c>
      <c r="R871" s="1" t="s">
        <v>253</v>
      </c>
      <c r="S871" s="8">
        <v>46054</v>
      </c>
      <c r="T871" s="1">
        <v>2</v>
      </c>
      <c r="U871" s="1" t="s">
        <v>466</v>
      </c>
      <c r="V871" s="1" t="s">
        <v>201</v>
      </c>
      <c r="W871" s="1" t="s">
        <v>1388</v>
      </c>
    </row>
    <row r="872" spans="1:23" x14ac:dyDescent="0.25">
      <c r="A872" s="1" t="s">
        <v>48</v>
      </c>
      <c r="B872" s="1" t="s">
        <v>2560</v>
      </c>
      <c r="C872" s="1" t="s">
        <v>50</v>
      </c>
      <c r="D872" s="1" t="s">
        <v>3569</v>
      </c>
      <c r="E872" s="1" t="s">
        <v>3570</v>
      </c>
      <c r="F872" s="22" t="s">
        <v>6085</v>
      </c>
      <c r="G872" s="1" t="s">
        <v>7</v>
      </c>
      <c r="H872" s="1" t="s">
        <v>22</v>
      </c>
      <c r="I872" s="1" t="s">
        <v>26</v>
      </c>
      <c r="J872" s="1" t="s">
        <v>9</v>
      </c>
      <c r="K872" s="1" t="s">
        <v>16</v>
      </c>
      <c r="L872" s="1" t="s">
        <v>16</v>
      </c>
      <c r="M872" s="1" t="s">
        <v>78</v>
      </c>
      <c r="N872" s="1" t="s">
        <v>188</v>
      </c>
      <c r="O872" s="1" t="s">
        <v>6037</v>
      </c>
      <c r="P872" s="1" t="s">
        <v>5035</v>
      </c>
      <c r="Q872" s="1" t="s">
        <v>5973</v>
      </c>
      <c r="R872" s="1" t="s">
        <v>5036</v>
      </c>
      <c r="S872" s="8">
        <v>46023</v>
      </c>
      <c r="T872" s="1">
        <v>2</v>
      </c>
      <c r="U872" s="1" t="s">
        <v>1807</v>
      </c>
      <c r="V872" s="1" t="s">
        <v>4977</v>
      </c>
      <c r="W872" s="1" t="s">
        <v>1388</v>
      </c>
    </row>
    <row r="873" spans="1:23" x14ac:dyDescent="0.25">
      <c r="A873" s="1" t="s">
        <v>48</v>
      </c>
      <c r="B873" s="1" t="s">
        <v>2561</v>
      </c>
      <c r="C873" s="1" t="s">
        <v>50</v>
      </c>
      <c r="D873" s="1" t="s">
        <v>3571</v>
      </c>
      <c r="E873" s="1" t="s">
        <v>3572</v>
      </c>
      <c r="F873" s="22" t="s">
        <v>6085</v>
      </c>
      <c r="G873" s="1" t="s">
        <v>5</v>
      </c>
      <c r="H873" s="1" t="s">
        <v>20</v>
      </c>
      <c r="I873" s="1" t="s">
        <v>27</v>
      </c>
      <c r="J873" s="1" t="s">
        <v>9</v>
      </c>
      <c r="K873" s="1" t="s">
        <v>16</v>
      </c>
      <c r="L873" s="1" t="s">
        <v>16</v>
      </c>
      <c r="M873" s="1" t="s">
        <v>78</v>
      </c>
      <c r="N873" s="1" t="s">
        <v>188</v>
      </c>
      <c r="O873" s="1" t="s">
        <v>6037</v>
      </c>
      <c r="P873" s="1" t="s">
        <v>1456</v>
      </c>
      <c r="Q873" s="1" t="s">
        <v>5974</v>
      </c>
      <c r="R873" s="1" t="s">
        <v>5037</v>
      </c>
      <c r="S873" s="8">
        <v>46062</v>
      </c>
      <c r="T873" s="1">
        <v>3</v>
      </c>
      <c r="U873" s="1" t="s">
        <v>410</v>
      </c>
      <c r="V873" s="1" t="s">
        <v>4438</v>
      </c>
      <c r="W873" s="1" t="s">
        <v>1407</v>
      </c>
    </row>
    <row r="874" spans="1:23" x14ac:dyDescent="0.25">
      <c r="A874" s="1" t="s">
        <v>48</v>
      </c>
      <c r="B874" s="1" t="s">
        <v>2562</v>
      </c>
      <c r="C874" s="1" t="s">
        <v>50</v>
      </c>
      <c r="D874" s="1" t="s">
        <v>3573</v>
      </c>
      <c r="E874" s="1" t="s">
        <v>3574</v>
      </c>
      <c r="F874" s="22" t="s">
        <v>6085</v>
      </c>
      <c r="G874" s="1" t="s">
        <v>5</v>
      </c>
      <c r="H874" s="1" t="s">
        <v>21</v>
      </c>
      <c r="I874" s="1" t="s">
        <v>25</v>
      </c>
      <c r="J874" s="1" t="s">
        <v>9</v>
      </c>
      <c r="K874" s="1" t="s">
        <v>14</v>
      </c>
      <c r="L874" s="1" t="s">
        <v>14</v>
      </c>
      <c r="M874" s="1" t="s">
        <v>78</v>
      </c>
      <c r="N874" s="1" t="s">
        <v>188</v>
      </c>
      <c r="O874" s="1" t="s">
        <v>6037</v>
      </c>
      <c r="P874" s="1" t="s">
        <v>107</v>
      </c>
      <c r="Q874" s="1" t="s">
        <v>5659</v>
      </c>
      <c r="R874" s="1" t="s">
        <v>5038</v>
      </c>
      <c r="S874" s="8">
        <v>46062</v>
      </c>
      <c r="T874" s="1">
        <v>3</v>
      </c>
      <c r="U874" s="1" t="s">
        <v>4951</v>
      </c>
      <c r="V874" s="1" t="s">
        <v>5039</v>
      </c>
      <c r="W874" s="1" t="s">
        <v>5040</v>
      </c>
    </row>
    <row r="875" spans="1:23" x14ac:dyDescent="0.25">
      <c r="A875" s="1" t="s">
        <v>48</v>
      </c>
      <c r="B875" s="1" t="s">
        <v>2563</v>
      </c>
      <c r="C875" s="1" t="s">
        <v>50</v>
      </c>
      <c r="D875" s="1" t="s">
        <v>3575</v>
      </c>
      <c r="E875" s="1" t="s">
        <v>3576</v>
      </c>
      <c r="F875" s="22" t="s">
        <v>6085</v>
      </c>
      <c r="G875" s="1" t="s">
        <v>6</v>
      </c>
      <c r="H875" s="1" t="s">
        <v>24</v>
      </c>
      <c r="I875" s="1" t="s">
        <v>25</v>
      </c>
      <c r="J875" s="1" t="s">
        <v>9</v>
      </c>
      <c r="K875" s="1" t="s">
        <v>13</v>
      </c>
      <c r="L875" s="1" t="s">
        <v>13</v>
      </c>
      <c r="M875" s="1" t="s">
        <v>78</v>
      </c>
      <c r="N875" s="1" t="s">
        <v>188</v>
      </c>
      <c r="O875" s="1" t="s">
        <v>6037</v>
      </c>
      <c r="P875" s="1" t="s">
        <v>126</v>
      </c>
      <c r="Q875" s="1" t="s">
        <v>5975</v>
      </c>
      <c r="R875" s="1" t="s">
        <v>4754</v>
      </c>
      <c r="S875" s="8">
        <v>45698</v>
      </c>
      <c r="T875" s="1">
        <v>1</v>
      </c>
      <c r="U875" s="1" t="s">
        <v>5041</v>
      </c>
      <c r="V875" s="1" t="s">
        <v>1388</v>
      </c>
      <c r="W875" s="1" t="s">
        <v>1388</v>
      </c>
    </row>
    <row r="876" spans="1:23" x14ac:dyDescent="0.25">
      <c r="A876" s="1" t="s">
        <v>48</v>
      </c>
      <c r="B876" s="1" t="s">
        <v>2564</v>
      </c>
      <c r="C876" s="1" t="s">
        <v>50</v>
      </c>
      <c r="D876" s="1" t="s">
        <v>3577</v>
      </c>
      <c r="E876" s="1" t="s">
        <v>3578</v>
      </c>
      <c r="F876" s="22" t="s">
        <v>6085</v>
      </c>
      <c r="G876" s="1" t="s">
        <v>5</v>
      </c>
      <c r="H876" s="1" t="s">
        <v>24</v>
      </c>
      <c r="I876" s="1" t="s">
        <v>26</v>
      </c>
      <c r="J876" s="1" t="s">
        <v>9</v>
      </c>
      <c r="K876" s="1" t="s">
        <v>13</v>
      </c>
      <c r="L876" s="1" t="s">
        <v>13</v>
      </c>
      <c r="M876" s="1" t="s">
        <v>78</v>
      </c>
      <c r="N876" s="1" t="s">
        <v>188</v>
      </c>
      <c r="O876" s="1" t="s">
        <v>6037</v>
      </c>
      <c r="P876" s="1" t="s">
        <v>1456</v>
      </c>
      <c r="Q876" s="1" t="s">
        <v>5976</v>
      </c>
      <c r="R876" s="1" t="s">
        <v>5042</v>
      </c>
      <c r="S876" s="8">
        <v>45690</v>
      </c>
      <c r="T876" s="1">
        <v>2</v>
      </c>
      <c r="U876" s="1" t="s">
        <v>5043</v>
      </c>
      <c r="V876" s="1" t="s">
        <v>5044</v>
      </c>
      <c r="W876" s="1" t="s">
        <v>1388</v>
      </c>
    </row>
    <row r="877" spans="1:23" x14ac:dyDescent="0.25">
      <c r="A877" s="1" t="s">
        <v>48</v>
      </c>
      <c r="B877" s="1" t="s">
        <v>2565</v>
      </c>
      <c r="C877" s="1" t="s">
        <v>50</v>
      </c>
      <c r="D877" s="1" t="s">
        <v>3579</v>
      </c>
      <c r="E877" s="1" t="s">
        <v>3580</v>
      </c>
      <c r="F877" s="22" t="s">
        <v>6085</v>
      </c>
      <c r="G877" s="1" t="s">
        <v>6</v>
      </c>
      <c r="H877" s="1" t="s">
        <v>20</v>
      </c>
      <c r="I877" s="1" t="s">
        <v>25</v>
      </c>
      <c r="J877" s="1" t="s">
        <v>9</v>
      </c>
      <c r="K877" s="1" t="s">
        <v>11</v>
      </c>
      <c r="L877" s="1" t="s">
        <v>11</v>
      </c>
      <c r="M877" s="1" t="s">
        <v>78</v>
      </c>
      <c r="N877" s="1" t="s">
        <v>5249</v>
      </c>
      <c r="O877" s="1" t="s">
        <v>6037</v>
      </c>
      <c r="P877" s="1" t="s">
        <v>5045</v>
      </c>
      <c r="Q877" s="1" t="s">
        <v>5977</v>
      </c>
      <c r="R877" s="1" t="s">
        <v>5046</v>
      </c>
      <c r="S877" s="8">
        <v>46055</v>
      </c>
      <c r="T877" s="1">
        <v>1</v>
      </c>
      <c r="U877" s="1" t="s">
        <v>5047</v>
      </c>
      <c r="V877" s="1" t="s">
        <v>1388</v>
      </c>
      <c r="W877" s="1" t="s">
        <v>1388</v>
      </c>
    </row>
    <row r="878" spans="1:23" x14ac:dyDescent="0.25">
      <c r="A878" s="1" t="s">
        <v>48</v>
      </c>
      <c r="B878" s="1" t="s">
        <v>2566</v>
      </c>
      <c r="C878" s="1" t="s">
        <v>50</v>
      </c>
      <c r="D878" s="1" t="s">
        <v>3581</v>
      </c>
      <c r="E878" s="1" t="s">
        <v>3582</v>
      </c>
      <c r="F878" s="22" t="s">
        <v>6085</v>
      </c>
      <c r="G878" s="1" t="s">
        <v>5</v>
      </c>
      <c r="H878" s="1" t="s">
        <v>24</v>
      </c>
      <c r="I878" s="1" t="s">
        <v>26</v>
      </c>
      <c r="J878" s="1" t="s">
        <v>9</v>
      </c>
      <c r="K878" s="1" t="s">
        <v>16</v>
      </c>
      <c r="L878" s="1" t="s">
        <v>16</v>
      </c>
      <c r="M878" s="1" t="s">
        <v>78</v>
      </c>
      <c r="N878" s="1" t="s">
        <v>5250</v>
      </c>
      <c r="O878" s="1" t="s">
        <v>6037</v>
      </c>
      <c r="P878" s="1" t="s">
        <v>1456</v>
      </c>
      <c r="Q878" s="1" t="s">
        <v>5284</v>
      </c>
      <c r="R878" s="1" t="s">
        <v>5048</v>
      </c>
      <c r="S878" s="8">
        <v>46023</v>
      </c>
      <c r="T878" s="1">
        <v>3</v>
      </c>
      <c r="U878" s="1" t="s">
        <v>893</v>
      </c>
      <c r="V878" s="1" t="s">
        <v>893</v>
      </c>
      <c r="W878" s="1" t="s">
        <v>5049</v>
      </c>
    </row>
    <row r="879" spans="1:23" x14ac:dyDescent="0.25">
      <c r="A879" s="1" t="s">
        <v>48</v>
      </c>
      <c r="B879" s="1" t="s">
        <v>2567</v>
      </c>
      <c r="C879" s="1" t="s">
        <v>50</v>
      </c>
      <c r="D879" s="1" t="s">
        <v>3583</v>
      </c>
      <c r="E879" s="1" t="s">
        <v>3584</v>
      </c>
      <c r="F879" s="22" t="s">
        <v>6085</v>
      </c>
      <c r="G879" s="1" t="s">
        <v>7</v>
      </c>
      <c r="H879" s="1" t="s">
        <v>20</v>
      </c>
      <c r="I879" s="1" t="s">
        <v>26</v>
      </c>
      <c r="J879" s="1" t="s">
        <v>9</v>
      </c>
      <c r="K879" s="1" t="s">
        <v>13</v>
      </c>
      <c r="L879" s="1" t="s">
        <v>13</v>
      </c>
      <c r="M879" s="1" t="s">
        <v>78</v>
      </c>
      <c r="N879" s="1" t="s">
        <v>5250</v>
      </c>
      <c r="O879" s="1" t="s">
        <v>6037</v>
      </c>
      <c r="P879" s="1" t="s">
        <v>5050</v>
      </c>
      <c r="Q879" s="1" t="s">
        <v>5978</v>
      </c>
      <c r="R879" s="1" t="s">
        <v>5051</v>
      </c>
      <c r="S879" s="8">
        <v>46027</v>
      </c>
      <c r="T879" s="1">
        <v>2</v>
      </c>
      <c r="U879" s="1" t="s">
        <v>4802</v>
      </c>
      <c r="V879" s="1" t="s">
        <v>4802</v>
      </c>
      <c r="W879" s="1" t="s">
        <v>1388</v>
      </c>
    </row>
    <row r="880" spans="1:23" x14ac:dyDescent="0.25">
      <c r="A880" s="1" t="s">
        <v>48</v>
      </c>
      <c r="B880" s="1" t="s">
        <v>2568</v>
      </c>
      <c r="C880" s="1" t="s">
        <v>50</v>
      </c>
      <c r="D880" s="1" t="s">
        <v>3585</v>
      </c>
      <c r="E880" s="1" t="s">
        <v>3586</v>
      </c>
      <c r="F880" s="22" t="s">
        <v>6085</v>
      </c>
      <c r="G880" s="1" t="s">
        <v>6</v>
      </c>
      <c r="H880" s="1" t="s">
        <v>20</v>
      </c>
      <c r="I880" s="1" t="s">
        <v>25</v>
      </c>
      <c r="J880" s="1" t="s">
        <v>9</v>
      </c>
      <c r="K880" s="1" t="s">
        <v>13</v>
      </c>
      <c r="L880" s="1" t="s">
        <v>13</v>
      </c>
      <c r="M880" s="1" t="s">
        <v>78</v>
      </c>
      <c r="N880" s="1" t="s">
        <v>5251</v>
      </c>
      <c r="O880" s="1" t="s">
        <v>6037</v>
      </c>
      <c r="P880" s="1" t="s">
        <v>126</v>
      </c>
      <c r="Q880" s="1" t="s">
        <v>5979</v>
      </c>
      <c r="R880" s="1" t="s">
        <v>5052</v>
      </c>
      <c r="S880" s="8">
        <v>46027</v>
      </c>
      <c r="T880" s="1">
        <v>2</v>
      </c>
      <c r="U880" s="1" t="s">
        <v>5053</v>
      </c>
      <c r="V880" s="1" t="s">
        <v>5054</v>
      </c>
      <c r="W880" s="1" t="s">
        <v>1388</v>
      </c>
    </row>
    <row r="881" spans="1:23" x14ac:dyDescent="0.25">
      <c r="A881" s="1" t="s">
        <v>48</v>
      </c>
      <c r="B881" s="1" t="s">
        <v>2569</v>
      </c>
      <c r="C881" s="1" t="s">
        <v>50</v>
      </c>
      <c r="D881" s="1" t="s">
        <v>3587</v>
      </c>
      <c r="E881" s="1" t="s">
        <v>3588</v>
      </c>
      <c r="F881" s="22" t="s">
        <v>6085</v>
      </c>
      <c r="G881" s="1" t="s">
        <v>5</v>
      </c>
      <c r="H881" s="1" t="s">
        <v>22</v>
      </c>
      <c r="I881" s="1" t="s">
        <v>25</v>
      </c>
      <c r="J881" s="1" t="s">
        <v>8</v>
      </c>
      <c r="K881" s="1" t="s">
        <v>13</v>
      </c>
      <c r="L881" s="1" t="s">
        <v>13</v>
      </c>
      <c r="M881" s="1" t="s">
        <v>78</v>
      </c>
      <c r="N881" s="1" t="s">
        <v>2089</v>
      </c>
      <c r="O881" s="1" t="s">
        <v>6037</v>
      </c>
      <c r="P881" s="1" t="s">
        <v>5055</v>
      </c>
      <c r="Q881" s="1" t="s">
        <v>5380</v>
      </c>
      <c r="R881" s="1" t="s">
        <v>5056</v>
      </c>
      <c r="S881" s="8">
        <v>46174</v>
      </c>
      <c r="T881" s="1">
        <v>2</v>
      </c>
      <c r="U881" s="1" t="s">
        <v>5057</v>
      </c>
      <c r="V881" s="1" t="s">
        <v>5058</v>
      </c>
      <c r="W881" s="1" t="s">
        <v>1388</v>
      </c>
    </row>
    <row r="882" spans="1:23" x14ac:dyDescent="0.25">
      <c r="A882" s="1" t="s">
        <v>48</v>
      </c>
      <c r="B882" s="1" t="s">
        <v>2570</v>
      </c>
      <c r="C882" s="1" t="s">
        <v>50</v>
      </c>
      <c r="D882" s="1" t="s">
        <v>3589</v>
      </c>
      <c r="E882" s="1" t="s">
        <v>3590</v>
      </c>
      <c r="F882" s="22" t="s">
        <v>6085</v>
      </c>
      <c r="G882" s="1" t="s">
        <v>7</v>
      </c>
      <c r="H882" s="1" t="s">
        <v>20</v>
      </c>
      <c r="I882" s="1" t="s">
        <v>26</v>
      </c>
      <c r="J882" s="1" t="s">
        <v>9</v>
      </c>
      <c r="K882" s="1" t="s">
        <v>12</v>
      </c>
      <c r="L882" s="1" t="s">
        <v>12</v>
      </c>
      <c r="M882" s="1" t="s">
        <v>78</v>
      </c>
      <c r="N882" s="1" t="s">
        <v>188</v>
      </c>
      <c r="O882" s="1" t="s">
        <v>6037</v>
      </c>
      <c r="P882" s="1" t="s">
        <v>593</v>
      </c>
      <c r="Q882" s="1" t="s">
        <v>5546</v>
      </c>
      <c r="R882" s="1" t="s">
        <v>5059</v>
      </c>
      <c r="S882" s="8">
        <v>46023</v>
      </c>
      <c r="T882" s="1">
        <v>2</v>
      </c>
      <c r="U882" s="1" t="s">
        <v>4025</v>
      </c>
      <c r="V882" s="1" t="s">
        <v>3985</v>
      </c>
      <c r="W882" s="1" t="s">
        <v>1388</v>
      </c>
    </row>
    <row r="883" spans="1:23" x14ac:dyDescent="0.25">
      <c r="A883" s="1" t="s">
        <v>48</v>
      </c>
      <c r="B883" s="1" t="s">
        <v>2571</v>
      </c>
      <c r="C883" s="1" t="s">
        <v>50</v>
      </c>
      <c r="D883" s="1" t="s">
        <v>3591</v>
      </c>
      <c r="E883" s="1" t="s">
        <v>3592</v>
      </c>
      <c r="F883" s="22" t="s">
        <v>6085</v>
      </c>
      <c r="G883" s="1" t="s">
        <v>1383</v>
      </c>
      <c r="H883" s="1" t="s">
        <v>20</v>
      </c>
      <c r="I883" s="1" t="s">
        <v>25</v>
      </c>
      <c r="J883" s="1" t="s">
        <v>8</v>
      </c>
      <c r="K883" s="1" t="s">
        <v>13</v>
      </c>
      <c r="L883" s="1" t="s">
        <v>13</v>
      </c>
      <c r="M883" s="1" t="s">
        <v>78</v>
      </c>
      <c r="N883" s="1" t="s">
        <v>5252</v>
      </c>
      <c r="O883" s="1" t="s">
        <v>6037</v>
      </c>
      <c r="P883" s="1" t="s">
        <v>5060</v>
      </c>
      <c r="Q883" s="1" t="s">
        <v>5980</v>
      </c>
      <c r="R883" s="1" t="s">
        <v>5061</v>
      </c>
      <c r="S883" s="8">
        <v>46023</v>
      </c>
      <c r="T883" s="1">
        <v>1</v>
      </c>
      <c r="U883" s="1" t="s">
        <v>5062</v>
      </c>
      <c r="V883" s="1" t="s">
        <v>1388</v>
      </c>
      <c r="W883" s="1" t="s">
        <v>1388</v>
      </c>
    </row>
    <row r="884" spans="1:23" x14ac:dyDescent="0.25">
      <c r="A884" s="1" t="s">
        <v>48</v>
      </c>
      <c r="B884" s="1" t="s">
        <v>2572</v>
      </c>
      <c r="C884" s="1" t="s">
        <v>50</v>
      </c>
      <c r="D884" s="1" t="s">
        <v>3593</v>
      </c>
      <c r="E884" s="1" t="s">
        <v>3594</v>
      </c>
      <c r="F884" s="22" t="s">
        <v>6085</v>
      </c>
      <c r="G884" s="1" t="s">
        <v>6</v>
      </c>
      <c r="H884" s="1" t="s">
        <v>20</v>
      </c>
      <c r="I884" s="1" t="s">
        <v>26</v>
      </c>
      <c r="J884" s="1" t="s">
        <v>9</v>
      </c>
      <c r="K884" s="1" t="s">
        <v>13</v>
      </c>
      <c r="L884" s="1" t="s">
        <v>13</v>
      </c>
      <c r="M884" s="1" t="s">
        <v>78</v>
      </c>
      <c r="N884" s="1" t="s">
        <v>188</v>
      </c>
      <c r="O884" s="1" t="s">
        <v>6037</v>
      </c>
      <c r="P884" s="1" t="s">
        <v>247</v>
      </c>
      <c r="Q884" s="1" t="s">
        <v>5981</v>
      </c>
      <c r="R884" s="1" t="s">
        <v>5063</v>
      </c>
      <c r="S884" s="8">
        <v>46023</v>
      </c>
      <c r="T884" s="1">
        <v>1</v>
      </c>
      <c r="U884" s="1" t="s">
        <v>5064</v>
      </c>
      <c r="V884" s="1" t="s">
        <v>1388</v>
      </c>
      <c r="W884" s="1" t="s">
        <v>1388</v>
      </c>
    </row>
    <row r="885" spans="1:23" x14ac:dyDescent="0.25">
      <c r="A885" s="1" t="s">
        <v>48</v>
      </c>
      <c r="B885" s="1" t="s">
        <v>2573</v>
      </c>
      <c r="C885" s="1" t="s">
        <v>50</v>
      </c>
      <c r="D885" s="1" t="s">
        <v>3595</v>
      </c>
      <c r="E885" s="1" t="s">
        <v>3596</v>
      </c>
      <c r="F885" s="22" t="s">
        <v>6085</v>
      </c>
      <c r="G885" s="1" t="s">
        <v>6</v>
      </c>
      <c r="H885" s="1" t="s">
        <v>20</v>
      </c>
      <c r="I885" s="1" t="s">
        <v>25</v>
      </c>
      <c r="J885" s="1" t="s">
        <v>9</v>
      </c>
      <c r="K885" s="1" t="s">
        <v>14</v>
      </c>
      <c r="L885" s="1" t="s">
        <v>14</v>
      </c>
      <c r="M885" s="1" t="s">
        <v>78</v>
      </c>
      <c r="N885" s="11" t="s">
        <v>188</v>
      </c>
      <c r="O885" s="1" t="s">
        <v>6037</v>
      </c>
      <c r="P885" s="1" t="s">
        <v>247</v>
      </c>
      <c r="Q885" s="18" t="s">
        <v>5982</v>
      </c>
      <c r="R885" s="1" t="s">
        <v>5065</v>
      </c>
      <c r="S885" s="8">
        <v>46041</v>
      </c>
      <c r="T885" s="1">
        <v>1</v>
      </c>
      <c r="U885" s="1" t="s">
        <v>291</v>
      </c>
      <c r="V885" s="1" t="s">
        <v>1388</v>
      </c>
      <c r="W885" s="1" t="s">
        <v>1388</v>
      </c>
    </row>
    <row r="886" spans="1:23" x14ac:dyDescent="0.25">
      <c r="A886" s="1" t="s">
        <v>48</v>
      </c>
      <c r="B886" s="1" t="s">
        <v>2574</v>
      </c>
      <c r="C886" s="1" t="s">
        <v>50</v>
      </c>
      <c r="D886" s="1" t="s">
        <v>3597</v>
      </c>
      <c r="E886" s="1" t="s">
        <v>3598</v>
      </c>
      <c r="F886" s="22" t="s">
        <v>3</v>
      </c>
      <c r="G886" s="1" t="s">
        <v>5</v>
      </c>
      <c r="H886" s="1" t="s">
        <v>21</v>
      </c>
      <c r="I886" s="1" t="s">
        <v>25</v>
      </c>
      <c r="J886" s="1" t="s">
        <v>9</v>
      </c>
      <c r="K886" s="1" t="s">
        <v>14</v>
      </c>
      <c r="L886" s="1" t="s">
        <v>14</v>
      </c>
      <c r="M886" s="1" t="s">
        <v>78</v>
      </c>
      <c r="N886" s="1" t="s">
        <v>188</v>
      </c>
      <c r="O886" s="1" t="s">
        <v>6037</v>
      </c>
      <c r="P886" s="1" t="s">
        <v>66</v>
      </c>
      <c r="Q886" s="1" t="s">
        <v>5983</v>
      </c>
      <c r="R886" s="7" t="s">
        <v>5066</v>
      </c>
      <c r="S886" s="8">
        <v>46055</v>
      </c>
      <c r="T886" s="1">
        <v>3</v>
      </c>
      <c r="U886" s="1" t="s">
        <v>1812</v>
      </c>
      <c r="V886" s="1" t="s">
        <v>810</v>
      </c>
      <c r="W886" s="1" t="s">
        <v>810</v>
      </c>
    </row>
    <row r="887" spans="1:23" x14ac:dyDescent="0.25">
      <c r="A887" s="1" t="s">
        <v>48</v>
      </c>
      <c r="B887" s="1" t="s">
        <v>2575</v>
      </c>
      <c r="C887" s="1" t="s">
        <v>50</v>
      </c>
      <c r="D887" s="1" t="s">
        <v>3599</v>
      </c>
      <c r="E887" s="1" t="s">
        <v>3600</v>
      </c>
      <c r="F887" s="22" t="s">
        <v>6085</v>
      </c>
      <c r="G887" s="1" t="s">
        <v>5</v>
      </c>
      <c r="H887" s="1" t="s">
        <v>20</v>
      </c>
      <c r="I887" s="1" t="s">
        <v>26</v>
      </c>
      <c r="J887" s="1" t="s">
        <v>9</v>
      </c>
      <c r="K887" s="1" t="s">
        <v>15</v>
      </c>
      <c r="L887" s="1" t="s">
        <v>15</v>
      </c>
      <c r="M887" s="1" t="s">
        <v>78</v>
      </c>
      <c r="N887" s="1" t="s">
        <v>5251</v>
      </c>
      <c r="O887" s="1" t="s">
        <v>6037</v>
      </c>
      <c r="P887" s="1" t="s">
        <v>126</v>
      </c>
      <c r="Q887" s="1" t="s">
        <v>5984</v>
      </c>
      <c r="R887" s="1" t="s">
        <v>5067</v>
      </c>
      <c r="S887" s="8">
        <v>46023</v>
      </c>
      <c r="T887" s="1">
        <v>3</v>
      </c>
      <c r="U887" s="1" t="s">
        <v>4067</v>
      </c>
      <c r="V887" s="1" t="s">
        <v>4067</v>
      </c>
      <c r="W887" s="1" t="s">
        <v>4067</v>
      </c>
    </row>
    <row r="888" spans="1:23" x14ac:dyDescent="0.25">
      <c r="A888" s="1" t="s">
        <v>48</v>
      </c>
      <c r="B888" s="1" t="s">
        <v>2576</v>
      </c>
      <c r="C888" s="1" t="s">
        <v>50</v>
      </c>
      <c r="D888" s="1" t="s">
        <v>3601</v>
      </c>
      <c r="E888" s="1" t="s">
        <v>3602</v>
      </c>
      <c r="F888" s="22" t="s">
        <v>6085</v>
      </c>
      <c r="G888" s="1" t="s">
        <v>5</v>
      </c>
      <c r="H888" s="1" t="s">
        <v>21</v>
      </c>
      <c r="I888" s="1" t="s">
        <v>26</v>
      </c>
      <c r="J888" s="1" t="s">
        <v>9</v>
      </c>
      <c r="K888" s="1" t="s">
        <v>19</v>
      </c>
      <c r="L888" s="1" t="s">
        <v>19</v>
      </c>
      <c r="M888" s="1" t="s">
        <v>78</v>
      </c>
      <c r="N888" s="1" t="s">
        <v>5251</v>
      </c>
      <c r="O888" s="1" t="s">
        <v>6037</v>
      </c>
      <c r="P888" s="1" t="s">
        <v>5068</v>
      </c>
      <c r="Q888" s="1" t="s">
        <v>5985</v>
      </c>
      <c r="R888" s="1" t="s">
        <v>5069</v>
      </c>
      <c r="S888" s="8">
        <v>46054</v>
      </c>
      <c r="T888" s="1">
        <v>3</v>
      </c>
      <c r="U888" s="1" t="s">
        <v>5070</v>
      </c>
      <c r="V888" s="1" t="s">
        <v>5071</v>
      </c>
      <c r="W888" s="1" t="s">
        <v>5072</v>
      </c>
    </row>
    <row r="889" spans="1:23" x14ac:dyDescent="0.25">
      <c r="A889" s="1" t="s">
        <v>48</v>
      </c>
      <c r="B889" s="1" t="s">
        <v>2577</v>
      </c>
      <c r="C889" s="1" t="s">
        <v>50</v>
      </c>
      <c r="D889" s="1" t="s">
        <v>3603</v>
      </c>
      <c r="E889" s="1" t="s">
        <v>3604</v>
      </c>
      <c r="F889" s="22" t="s">
        <v>5259</v>
      </c>
      <c r="G889" s="1" t="s">
        <v>6</v>
      </c>
      <c r="H889" s="1" t="s">
        <v>20</v>
      </c>
      <c r="I889" s="1" t="s">
        <v>26</v>
      </c>
      <c r="J889" s="1" t="s">
        <v>8</v>
      </c>
      <c r="K889" s="1" t="s">
        <v>16</v>
      </c>
      <c r="L889" s="1" t="s">
        <v>16</v>
      </c>
      <c r="M889" s="1" t="s">
        <v>78</v>
      </c>
      <c r="N889" s="14" t="s">
        <v>1664</v>
      </c>
      <c r="O889" s="1" t="s">
        <v>6037</v>
      </c>
      <c r="P889" s="1" t="s">
        <v>5073</v>
      </c>
      <c r="Q889" s="1" t="s">
        <v>5986</v>
      </c>
      <c r="R889" s="1" t="s">
        <v>5074</v>
      </c>
      <c r="S889" s="9">
        <v>45153</v>
      </c>
      <c r="T889" s="1">
        <v>1</v>
      </c>
      <c r="U889" s="1" t="s">
        <v>5075</v>
      </c>
      <c r="V889" s="1" t="s">
        <v>1388</v>
      </c>
      <c r="W889" s="1" t="s">
        <v>1388</v>
      </c>
    </row>
    <row r="890" spans="1:23" x14ac:dyDescent="0.25">
      <c r="A890" s="1" t="s">
        <v>48</v>
      </c>
      <c r="B890" s="1" t="s">
        <v>2578</v>
      </c>
      <c r="C890" s="1" t="s">
        <v>50</v>
      </c>
      <c r="D890" s="1" t="s">
        <v>3605</v>
      </c>
      <c r="E890" s="1" t="s">
        <v>3606</v>
      </c>
      <c r="F890" s="22" t="s">
        <v>6085</v>
      </c>
      <c r="G890" s="1" t="s">
        <v>5</v>
      </c>
      <c r="H890" s="1" t="s">
        <v>20</v>
      </c>
      <c r="I890" s="1" t="s">
        <v>25</v>
      </c>
      <c r="J890" s="1" t="s">
        <v>9</v>
      </c>
      <c r="K890" s="1" t="s">
        <v>16</v>
      </c>
      <c r="L890" s="1" t="s">
        <v>16</v>
      </c>
      <c r="M890" s="1" t="s">
        <v>78</v>
      </c>
      <c r="N890" s="1" t="s">
        <v>188</v>
      </c>
      <c r="O890" s="1" t="s">
        <v>6037</v>
      </c>
      <c r="P890" s="1" t="s">
        <v>60</v>
      </c>
      <c r="Q890" s="1" t="s">
        <v>4016</v>
      </c>
      <c r="R890" s="1" t="s">
        <v>5076</v>
      </c>
      <c r="S890" s="8">
        <v>46037</v>
      </c>
      <c r="T890" s="1">
        <v>3</v>
      </c>
      <c r="U890" s="1" t="s">
        <v>5077</v>
      </c>
      <c r="V890" s="1" t="s">
        <v>5078</v>
      </c>
      <c r="W890" s="1" t="s">
        <v>5079</v>
      </c>
    </row>
    <row r="891" spans="1:23" x14ac:dyDescent="0.25">
      <c r="A891" s="1" t="s">
        <v>48</v>
      </c>
      <c r="B891" s="1" t="s">
        <v>2579</v>
      </c>
      <c r="C891" s="1" t="s">
        <v>50</v>
      </c>
      <c r="D891" s="1" t="s">
        <v>3607</v>
      </c>
      <c r="E891" s="1" t="s">
        <v>3608</v>
      </c>
      <c r="F891" s="22" t="s">
        <v>3</v>
      </c>
      <c r="G891" s="1" t="s">
        <v>6</v>
      </c>
      <c r="H891" s="1" t="s">
        <v>20</v>
      </c>
      <c r="I891" s="1" t="s">
        <v>25</v>
      </c>
      <c r="J891" s="1" t="s">
        <v>9</v>
      </c>
      <c r="K891" s="1" t="s">
        <v>14</v>
      </c>
      <c r="L891" s="1" t="s">
        <v>14</v>
      </c>
      <c r="M891" s="1" t="s">
        <v>78</v>
      </c>
      <c r="N891" s="1" t="s">
        <v>5250</v>
      </c>
      <c r="O891" s="1" t="s">
        <v>6037</v>
      </c>
      <c r="P891" s="1" t="s">
        <v>4496</v>
      </c>
      <c r="Q891" s="1" t="s">
        <v>5379</v>
      </c>
      <c r="R891" s="7" t="s">
        <v>5080</v>
      </c>
      <c r="S891" s="8">
        <v>46034</v>
      </c>
      <c r="T891" s="1">
        <v>2</v>
      </c>
      <c r="U891" s="1" t="s">
        <v>236</v>
      </c>
      <c r="V891" s="1" t="s">
        <v>236</v>
      </c>
      <c r="W891" s="1" t="s">
        <v>1388</v>
      </c>
    </row>
    <row r="892" spans="1:23" x14ac:dyDescent="0.25">
      <c r="A892" s="1" t="s">
        <v>48</v>
      </c>
      <c r="B892" s="1" t="s">
        <v>2580</v>
      </c>
      <c r="C892" s="1" t="s">
        <v>50</v>
      </c>
      <c r="D892" s="1" t="s">
        <v>3609</v>
      </c>
      <c r="E892" s="1" t="s">
        <v>3610</v>
      </c>
      <c r="F892" s="22" t="s">
        <v>6085</v>
      </c>
      <c r="G892" s="1" t="s">
        <v>6</v>
      </c>
      <c r="H892" s="1" t="s">
        <v>20</v>
      </c>
      <c r="I892" s="1" t="s">
        <v>25</v>
      </c>
      <c r="J892" s="1" t="s">
        <v>9</v>
      </c>
      <c r="K892" s="1" t="s">
        <v>14</v>
      </c>
      <c r="L892" s="1" t="s">
        <v>14</v>
      </c>
      <c r="M892" s="1" t="s">
        <v>78</v>
      </c>
      <c r="N892" s="1" t="s">
        <v>5253</v>
      </c>
      <c r="O892" s="1" t="s">
        <v>6037</v>
      </c>
      <c r="P892" s="1" t="s">
        <v>120</v>
      </c>
      <c r="Q892" s="1" t="s">
        <v>5987</v>
      </c>
      <c r="R892" s="1" t="s">
        <v>5081</v>
      </c>
      <c r="S892" s="8">
        <v>46042</v>
      </c>
      <c r="T892" s="1">
        <v>1</v>
      </c>
      <c r="U892" s="1" t="s">
        <v>730</v>
      </c>
      <c r="V892" s="1" t="s">
        <v>1388</v>
      </c>
      <c r="W892" s="1" t="s">
        <v>1388</v>
      </c>
    </row>
    <row r="893" spans="1:23" x14ac:dyDescent="0.25">
      <c r="A893" s="1" t="s">
        <v>48</v>
      </c>
      <c r="B893" s="1" t="s">
        <v>2581</v>
      </c>
      <c r="C893" s="1" t="s">
        <v>50</v>
      </c>
      <c r="D893" s="1" t="s">
        <v>3611</v>
      </c>
      <c r="E893" s="1" t="s">
        <v>3612</v>
      </c>
      <c r="F893" s="22" t="s">
        <v>6085</v>
      </c>
      <c r="G893" s="1" t="s">
        <v>6</v>
      </c>
      <c r="H893" s="1" t="s">
        <v>20</v>
      </c>
      <c r="I893" s="1" t="s">
        <v>25</v>
      </c>
      <c r="J893" s="1" t="s">
        <v>9</v>
      </c>
      <c r="K893" s="1" t="s">
        <v>14</v>
      </c>
      <c r="L893" s="1" t="s">
        <v>14</v>
      </c>
      <c r="M893" s="1" t="s">
        <v>78</v>
      </c>
      <c r="N893" s="1" t="s">
        <v>188</v>
      </c>
      <c r="O893" s="1" t="s">
        <v>6037</v>
      </c>
      <c r="P893" s="1" t="s">
        <v>5082</v>
      </c>
      <c r="Q893" s="1" t="s">
        <v>5284</v>
      </c>
      <c r="R893" s="1" t="s">
        <v>5083</v>
      </c>
      <c r="S893" s="8">
        <v>46027</v>
      </c>
      <c r="T893" s="1">
        <v>2</v>
      </c>
      <c r="U893" s="1" t="s">
        <v>5084</v>
      </c>
      <c r="V893" s="1" t="s">
        <v>5085</v>
      </c>
      <c r="W893" s="1" t="s">
        <v>1388</v>
      </c>
    </row>
    <row r="894" spans="1:23" x14ac:dyDescent="0.25">
      <c r="A894" s="1" t="s">
        <v>48</v>
      </c>
      <c r="B894" s="1" t="s">
        <v>2582</v>
      </c>
      <c r="C894" s="1" t="s">
        <v>50</v>
      </c>
      <c r="D894" s="1" t="s">
        <v>3613</v>
      </c>
      <c r="E894" s="1" t="s">
        <v>3614</v>
      </c>
      <c r="F894" s="22" t="s">
        <v>6085</v>
      </c>
      <c r="G894" s="1" t="s">
        <v>5</v>
      </c>
      <c r="H894" s="1" t="s">
        <v>24</v>
      </c>
      <c r="I894" s="1" t="s">
        <v>25</v>
      </c>
      <c r="J894" s="1" t="s">
        <v>9</v>
      </c>
      <c r="K894" s="1" t="s">
        <v>14</v>
      </c>
      <c r="L894" s="1" t="s">
        <v>14</v>
      </c>
      <c r="M894" s="1" t="s">
        <v>78</v>
      </c>
      <c r="N894" s="1" t="s">
        <v>188</v>
      </c>
      <c r="O894" s="1" t="s">
        <v>6037</v>
      </c>
      <c r="P894" s="1" t="s">
        <v>126</v>
      </c>
      <c r="Q894" s="1" t="s">
        <v>5988</v>
      </c>
      <c r="R894" s="1" t="s">
        <v>5086</v>
      </c>
      <c r="S894" s="8">
        <v>46023</v>
      </c>
      <c r="T894" s="1">
        <v>2</v>
      </c>
      <c r="U894" s="1" t="s">
        <v>5087</v>
      </c>
      <c r="V894" s="1" t="s">
        <v>5087</v>
      </c>
      <c r="W894" s="1" t="s">
        <v>1388</v>
      </c>
    </row>
    <row r="895" spans="1:23" x14ac:dyDescent="0.25">
      <c r="A895" s="1" t="s">
        <v>48</v>
      </c>
      <c r="B895" s="1" t="s">
        <v>2583</v>
      </c>
      <c r="C895" s="1" t="s">
        <v>50</v>
      </c>
      <c r="D895" s="1" t="s">
        <v>3615</v>
      </c>
      <c r="E895" s="1" t="s">
        <v>3616</v>
      </c>
      <c r="F895" s="22" t="s">
        <v>6085</v>
      </c>
      <c r="G895" s="1" t="s">
        <v>6</v>
      </c>
      <c r="H895" s="1" t="s">
        <v>20</v>
      </c>
      <c r="I895" s="1" t="s">
        <v>25</v>
      </c>
      <c r="J895" s="1" t="s">
        <v>9</v>
      </c>
      <c r="K895" s="1" t="s">
        <v>16</v>
      </c>
      <c r="L895" s="1" t="s">
        <v>16</v>
      </c>
      <c r="M895" s="1" t="s">
        <v>78</v>
      </c>
      <c r="N895" s="1" t="s">
        <v>188</v>
      </c>
      <c r="O895" s="1" t="s">
        <v>6037</v>
      </c>
      <c r="P895" s="1" t="s">
        <v>5088</v>
      </c>
      <c r="Q895" s="1" t="s">
        <v>5989</v>
      </c>
      <c r="R895" s="1" t="s">
        <v>5089</v>
      </c>
      <c r="S895" s="8">
        <v>46055</v>
      </c>
      <c r="T895" s="1">
        <v>2</v>
      </c>
      <c r="U895" s="1" t="s">
        <v>5090</v>
      </c>
      <c r="V895" s="1" t="s">
        <v>5091</v>
      </c>
      <c r="W895" s="1" t="s">
        <v>1388</v>
      </c>
    </row>
    <row r="896" spans="1:23" x14ac:dyDescent="0.25">
      <c r="A896" s="1" t="s">
        <v>48</v>
      </c>
      <c r="B896" s="1" t="s">
        <v>2584</v>
      </c>
      <c r="C896" s="1" t="s">
        <v>50</v>
      </c>
      <c r="D896" s="1" t="s">
        <v>3617</v>
      </c>
      <c r="E896" s="1" t="s">
        <v>3618</v>
      </c>
      <c r="F896" s="22" t="s">
        <v>6085</v>
      </c>
      <c r="G896" s="1" t="s">
        <v>5</v>
      </c>
      <c r="H896" s="1" t="s">
        <v>22</v>
      </c>
      <c r="I896" s="1" t="s">
        <v>26</v>
      </c>
      <c r="J896" s="1" t="s">
        <v>9</v>
      </c>
      <c r="K896" s="1" t="s">
        <v>16</v>
      </c>
      <c r="L896" s="1" t="s">
        <v>17</v>
      </c>
      <c r="M896" s="1" t="s">
        <v>78</v>
      </c>
      <c r="N896" s="1" t="s">
        <v>5254</v>
      </c>
      <c r="O896" s="1" t="s">
        <v>6037</v>
      </c>
      <c r="P896" s="1" t="s">
        <v>377</v>
      </c>
      <c r="Q896" s="1" t="s">
        <v>5990</v>
      </c>
      <c r="R896" s="1" t="s">
        <v>5092</v>
      </c>
      <c r="S896" s="8">
        <v>46055</v>
      </c>
      <c r="T896" s="1">
        <v>2</v>
      </c>
      <c r="U896" s="1" t="s">
        <v>5093</v>
      </c>
      <c r="V896" s="1" t="s">
        <v>5094</v>
      </c>
      <c r="W896" s="1" t="s">
        <v>1388</v>
      </c>
    </row>
    <row r="897" spans="1:23" x14ac:dyDescent="0.25">
      <c r="A897" s="1" t="s">
        <v>48</v>
      </c>
      <c r="B897" s="1" t="s">
        <v>2585</v>
      </c>
      <c r="C897" s="1" t="s">
        <v>50</v>
      </c>
      <c r="D897" s="1" t="s">
        <v>3619</v>
      </c>
      <c r="E897" s="1" t="s">
        <v>3620</v>
      </c>
      <c r="F897" s="22" t="s">
        <v>6085</v>
      </c>
      <c r="G897" s="1" t="s">
        <v>6</v>
      </c>
      <c r="H897" s="1" t="s">
        <v>20</v>
      </c>
      <c r="I897" s="1" t="s">
        <v>25</v>
      </c>
      <c r="J897" s="1" t="s">
        <v>9</v>
      </c>
      <c r="K897" s="1" t="s">
        <v>13</v>
      </c>
      <c r="L897" s="1" t="s">
        <v>13</v>
      </c>
      <c r="M897" s="1" t="s">
        <v>78</v>
      </c>
      <c r="N897" s="1" t="s">
        <v>188</v>
      </c>
      <c r="O897" s="1" t="s">
        <v>6037</v>
      </c>
      <c r="P897" s="1" t="s">
        <v>593</v>
      </c>
      <c r="Q897" s="1" t="s">
        <v>6</v>
      </c>
      <c r="R897" s="1" t="s">
        <v>5095</v>
      </c>
      <c r="S897" s="8">
        <v>46048</v>
      </c>
      <c r="T897" s="1">
        <v>2</v>
      </c>
      <c r="U897" s="1" t="s">
        <v>4437</v>
      </c>
      <c r="V897" s="1" t="s">
        <v>5096</v>
      </c>
      <c r="W897" s="1" t="s">
        <v>1388</v>
      </c>
    </row>
    <row r="898" spans="1:23" x14ac:dyDescent="0.25">
      <c r="A898" s="1" t="s">
        <v>48</v>
      </c>
      <c r="B898" s="1" t="s">
        <v>2586</v>
      </c>
      <c r="C898" s="1" t="s">
        <v>50</v>
      </c>
      <c r="D898" s="1" t="s">
        <v>3621</v>
      </c>
      <c r="E898" s="1" t="s">
        <v>3622</v>
      </c>
      <c r="F898" s="22" t="s">
        <v>3</v>
      </c>
      <c r="G898" s="1" t="s">
        <v>6</v>
      </c>
      <c r="H898" s="1" t="s">
        <v>20</v>
      </c>
      <c r="I898" s="1" t="s">
        <v>25</v>
      </c>
      <c r="J898" s="1" t="s">
        <v>9</v>
      </c>
      <c r="K898" s="1" t="s">
        <v>13</v>
      </c>
      <c r="L898" s="1" t="s">
        <v>13</v>
      </c>
      <c r="M898" s="1" t="s">
        <v>78</v>
      </c>
      <c r="N898" s="1" t="s">
        <v>188</v>
      </c>
      <c r="O898" s="1" t="s">
        <v>6037</v>
      </c>
      <c r="P898" s="1" t="s">
        <v>247</v>
      </c>
      <c r="Q898" s="1" t="s">
        <v>5991</v>
      </c>
      <c r="R898" s="7" t="s">
        <v>5097</v>
      </c>
      <c r="S898" s="8">
        <v>45691</v>
      </c>
      <c r="T898" s="1">
        <v>2</v>
      </c>
      <c r="U898" s="1" t="s">
        <v>5098</v>
      </c>
      <c r="V898" s="1" t="s">
        <v>744</v>
      </c>
      <c r="W898" s="1" t="s">
        <v>1388</v>
      </c>
    </row>
    <row r="899" spans="1:23" x14ac:dyDescent="0.25">
      <c r="A899" s="1" t="s">
        <v>48</v>
      </c>
      <c r="B899" s="1" t="s">
        <v>2587</v>
      </c>
      <c r="C899" s="1" t="s">
        <v>50</v>
      </c>
      <c r="D899" s="1" t="s">
        <v>3623</v>
      </c>
      <c r="E899" s="1" t="s">
        <v>3624</v>
      </c>
      <c r="F899" s="22" t="s">
        <v>3</v>
      </c>
      <c r="G899" s="1" t="s">
        <v>7</v>
      </c>
      <c r="H899" s="1" t="s">
        <v>20</v>
      </c>
      <c r="I899" s="1" t="s">
        <v>26</v>
      </c>
      <c r="J899" s="1" t="s">
        <v>9</v>
      </c>
      <c r="K899" s="1" t="s">
        <v>12</v>
      </c>
      <c r="L899" s="1" t="s">
        <v>12</v>
      </c>
      <c r="M899" s="1" t="s">
        <v>78</v>
      </c>
      <c r="N899" s="1" t="s">
        <v>5259</v>
      </c>
      <c r="O899" s="1" t="s">
        <v>6037</v>
      </c>
      <c r="P899" s="1" t="s">
        <v>247</v>
      </c>
      <c r="Q899" s="1" t="s">
        <v>5961</v>
      </c>
      <c r="R899" s="7" t="s">
        <v>5099</v>
      </c>
      <c r="S899" s="8">
        <v>46023</v>
      </c>
      <c r="T899" s="1">
        <v>2</v>
      </c>
      <c r="U899" s="1" t="s">
        <v>5100</v>
      </c>
      <c r="V899" s="1" t="s">
        <v>3885</v>
      </c>
      <c r="W899" s="1" t="s">
        <v>1388</v>
      </c>
    </row>
    <row r="900" spans="1:23" x14ac:dyDescent="0.25">
      <c r="A900" s="1" t="s">
        <v>48</v>
      </c>
      <c r="B900" s="1" t="s">
        <v>2588</v>
      </c>
      <c r="C900" s="1" t="s">
        <v>50</v>
      </c>
      <c r="D900" s="1" t="s">
        <v>3625</v>
      </c>
      <c r="E900" s="1" t="s">
        <v>3626</v>
      </c>
      <c r="F900" s="22" t="s">
        <v>6085</v>
      </c>
      <c r="G900" s="1" t="s">
        <v>5</v>
      </c>
      <c r="H900" s="1" t="s">
        <v>22</v>
      </c>
      <c r="I900" s="1" t="s">
        <v>25</v>
      </c>
      <c r="J900" s="1" t="s">
        <v>9</v>
      </c>
      <c r="K900" s="1" t="s">
        <v>13</v>
      </c>
      <c r="L900" s="1" t="s">
        <v>13</v>
      </c>
      <c r="M900" s="1" t="s">
        <v>78</v>
      </c>
      <c r="N900" s="7" t="s">
        <v>5261</v>
      </c>
      <c r="O900" s="1" t="s">
        <v>6037</v>
      </c>
      <c r="P900" s="1" t="s">
        <v>247</v>
      </c>
      <c r="Q900" s="1" t="s">
        <v>5992</v>
      </c>
      <c r="R900" s="1" t="s">
        <v>5101</v>
      </c>
      <c r="S900" s="8">
        <v>45658</v>
      </c>
      <c r="T900" s="1">
        <v>3</v>
      </c>
      <c r="U900" s="1" t="s">
        <v>5102</v>
      </c>
      <c r="V900" s="1" t="s">
        <v>5102</v>
      </c>
      <c r="W900" s="1" t="s">
        <v>5103</v>
      </c>
    </row>
    <row r="901" spans="1:23" x14ac:dyDescent="0.25">
      <c r="A901" s="1" t="s">
        <v>48</v>
      </c>
      <c r="B901" s="1" t="s">
        <v>2589</v>
      </c>
      <c r="C901" s="1" t="s">
        <v>50</v>
      </c>
      <c r="D901" s="1" t="s">
        <v>585</v>
      </c>
      <c r="E901" s="1" t="s">
        <v>586</v>
      </c>
      <c r="F901" s="22" t="s">
        <v>6085</v>
      </c>
      <c r="G901" s="1" t="s">
        <v>6</v>
      </c>
      <c r="H901" s="1" t="s">
        <v>20</v>
      </c>
      <c r="I901" s="1" t="s">
        <v>26</v>
      </c>
      <c r="J901" s="1" t="s">
        <v>9</v>
      </c>
      <c r="K901" s="1" t="s">
        <v>14</v>
      </c>
      <c r="L901" s="1" t="s">
        <v>14</v>
      </c>
      <c r="M901" s="1" t="s">
        <v>78</v>
      </c>
      <c r="N901" s="1" t="s">
        <v>1015</v>
      </c>
      <c r="O901" s="1" t="s">
        <v>6037</v>
      </c>
      <c r="P901" s="1" t="s">
        <v>126</v>
      </c>
      <c r="Q901" s="1" t="s">
        <v>5354</v>
      </c>
      <c r="R901" s="1" t="s">
        <v>5104</v>
      </c>
      <c r="S901" s="8">
        <v>46034</v>
      </c>
      <c r="T901" s="1">
        <v>2</v>
      </c>
      <c r="U901" s="1" t="s">
        <v>5105</v>
      </c>
      <c r="V901" s="1" t="s">
        <v>5106</v>
      </c>
      <c r="W901" s="1" t="s">
        <v>1388</v>
      </c>
    </row>
    <row r="902" spans="1:23" x14ac:dyDescent="0.25">
      <c r="A902" s="1" t="s">
        <v>48</v>
      </c>
      <c r="B902" s="1" t="s">
        <v>2590</v>
      </c>
      <c r="C902" s="1" t="s">
        <v>50</v>
      </c>
      <c r="D902" s="1" t="s">
        <v>3627</v>
      </c>
      <c r="E902" s="1" t="s">
        <v>3628</v>
      </c>
      <c r="F902" s="22" t="s">
        <v>3</v>
      </c>
      <c r="G902" s="1" t="s">
        <v>6</v>
      </c>
      <c r="H902" s="1" t="s">
        <v>21</v>
      </c>
      <c r="I902" s="1" t="s">
        <v>25</v>
      </c>
      <c r="J902" s="1" t="s">
        <v>9</v>
      </c>
      <c r="K902" s="1" t="s">
        <v>13</v>
      </c>
      <c r="L902" s="1" t="s">
        <v>13</v>
      </c>
      <c r="M902" s="1" t="s">
        <v>78</v>
      </c>
      <c r="N902" s="1" t="s">
        <v>1664</v>
      </c>
      <c r="O902" s="1" t="s">
        <v>6037</v>
      </c>
      <c r="P902" s="1" t="s">
        <v>139</v>
      </c>
      <c r="Q902" s="1" t="s">
        <v>5993</v>
      </c>
      <c r="R902" s="1" t="s">
        <v>5107</v>
      </c>
      <c r="S902" s="8">
        <v>45292</v>
      </c>
      <c r="T902" s="1">
        <v>1</v>
      </c>
      <c r="U902" s="1" t="s">
        <v>1613</v>
      </c>
      <c r="V902" s="1" t="s">
        <v>1388</v>
      </c>
      <c r="W902" s="1" t="s">
        <v>1388</v>
      </c>
    </row>
    <row r="903" spans="1:23" x14ac:dyDescent="0.25">
      <c r="A903" s="1" t="s">
        <v>48</v>
      </c>
      <c r="B903" s="1" t="s">
        <v>2591</v>
      </c>
      <c r="C903" s="1" t="s">
        <v>50</v>
      </c>
      <c r="D903" s="1" t="s">
        <v>3629</v>
      </c>
      <c r="E903" s="1" t="s">
        <v>3630</v>
      </c>
      <c r="F903" s="22" t="s">
        <v>6085</v>
      </c>
      <c r="G903" s="1" t="s">
        <v>7</v>
      </c>
      <c r="H903" s="1" t="s">
        <v>20</v>
      </c>
      <c r="I903" s="1" t="s">
        <v>26</v>
      </c>
      <c r="J903" s="1" t="s">
        <v>9</v>
      </c>
      <c r="K903" s="1" t="s">
        <v>16</v>
      </c>
      <c r="L903" s="1" t="s">
        <v>16</v>
      </c>
      <c r="M903" s="1" t="s">
        <v>78</v>
      </c>
      <c r="N903" s="1" t="s">
        <v>5262</v>
      </c>
      <c r="O903" s="1" t="s">
        <v>6037</v>
      </c>
      <c r="P903" s="1" t="s">
        <v>5108</v>
      </c>
      <c r="Q903" s="1" t="s">
        <v>5603</v>
      </c>
      <c r="R903" s="1" t="s">
        <v>5109</v>
      </c>
      <c r="S903" s="8">
        <v>46034</v>
      </c>
      <c r="T903" s="1">
        <v>2</v>
      </c>
      <c r="U903" s="1" t="s">
        <v>4096</v>
      </c>
      <c r="V903" s="1" t="s">
        <v>4096</v>
      </c>
      <c r="W903" s="1" t="s">
        <v>1388</v>
      </c>
    </row>
    <row r="904" spans="1:23" x14ac:dyDescent="0.25">
      <c r="A904" s="1" t="s">
        <v>48</v>
      </c>
      <c r="B904" s="1" t="s">
        <v>2592</v>
      </c>
      <c r="C904" s="1" t="s">
        <v>50</v>
      </c>
      <c r="D904" s="1" t="s">
        <v>3631</v>
      </c>
      <c r="E904" s="1" t="s">
        <v>3632</v>
      </c>
      <c r="F904" s="22" t="s">
        <v>3</v>
      </c>
      <c r="G904" s="1" t="s">
        <v>6</v>
      </c>
      <c r="H904" s="1" t="s">
        <v>20</v>
      </c>
      <c r="I904" s="1" t="s">
        <v>25</v>
      </c>
      <c r="J904" s="1" t="s">
        <v>9</v>
      </c>
      <c r="K904" s="1" t="s">
        <v>12</v>
      </c>
      <c r="L904" s="1" t="s">
        <v>12</v>
      </c>
      <c r="M904" s="1" t="s">
        <v>78</v>
      </c>
      <c r="N904" s="1" t="s">
        <v>5259</v>
      </c>
      <c r="O904" s="1" t="s">
        <v>6235</v>
      </c>
      <c r="P904" s="1" t="s">
        <v>235</v>
      </c>
      <c r="Q904" s="1" t="s">
        <v>6</v>
      </c>
      <c r="R904" s="7" t="s">
        <v>5110</v>
      </c>
      <c r="S904" s="8">
        <v>46037</v>
      </c>
      <c r="T904" s="1">
        <v>1</v>
      </c>
      <c r="U904" s="1" t="s">
        <v>5111</v>
      </c>
      <c r="V904" s="1" t="s">
        <v>1388</v>
      </c>
      <c r="W904" s="1" t="s">
        <v>1388</v>
      </c>
    </row>
    <row r="905" spans="1:23" x14ac:dyDescent="0.25">
      <c r="A905" s="1" t="s">
        <v>48</v>
      </c>
      <c r="B905" s="1" t="s">
        <v>2593</v>
      </c>
      <c r="C905" s="1" t="s">
        <v>50</v>
      </c>
      <c r="D905" s="1" t="s">
        <v>3633</v>
      </c>
      <c r="E905" s="1" t="s">
        <v>3634</v>
      </c>
      <c r="F905" s="22" t="s">
        <v>3</v>
      </c>
      <c r="G905" s="1" t="s">
        <v>5</v>
      </c>
      <c r="H905" s="1" t="s">
        <v>20</v>
      </c>
      <c r="I905" s="1" t="s">
        <v>25</v>
      </c>
      <c r="J905" s="1" t="s">
        <v>9</v>
      </c>
      <c r="K905" s="1" t="s">
        <v>11</v>
      </c>
      <c r="L905" s="1" t="s">
        <v>17</v>
      </c>
      <c r="M905" s="1" t="s">
        <v>78</v>
      </c>
      <c r="N905" s="1" t="s">
        <v>5259</v>
      </c>
      <c r="O905" s="1" t="s">
        <v>6037</v>
      </c>
      <c r="P905" s="1" t="s">
        <v>1456</v>
      </c>
      <c r="Q905" s="1" t="s">
        <v>5994</v>
      </c>
      <c r="R905" s="7" t="s">
        <v>5112</v>
      </c>
      <c r="S905" s="8">
        <v>46023</v>
      </c>
      <c r="T905" s="1">
        <v>2</v>
      </c>
      <c r="U905" s="1" t="s">
        <v>5113</v>
      </c>
      <c r="V905" s="1" t="s">
        <v>5114</v>
      </c>
      <c r="W905" s="1" t="s">
        <v>1388</v>
      </c>
    </row>
    <row r="906" spans="1:23" x14ac:dyDescent="0.25">
      <c r="A906" s="1" t="s">
        <v>48</v>
      </c>
      <c r="B906" s="1" t="s">
        <v>2594</v>
      </c>
      <c r="C906" s="1" t="s">
        <v>50</v>
      </c>
      <c r="D906" s="1" t="s">
        <v>3635</v>
      </c>
      <c r="E906" s="1" t="s">
        <v>3636</v>
      </c>
      <c r="F906" s="22" t="s">
        <v>6085</v>
      </c>
      <c r="G906" s="1" t="s">
        <v>6</v>
      </c>
      <c r="H906" s="1" t="s">
        <v>24</v>
      </c>
      <c r="I906" s="1" t="s">
        <v>26</v>
      </c>
      <c r="J906" s="1" t="s">
        <v>9</v>
      </c>
      <c r="K906" s="1" t="s">
        <v>16</v>
      </c>
      <c r="L906" s="1" t="s">
        <v>16</v>
      </c>
      <c r="M906" s="1" t="s">
        <v>78</v>
      </c>
      <c r="N906" s="1" t="s">
        <v>188</v>
      </c>
      <c r="O906" s="1" t="s">
        <v>6037</v>
      </c>
      <c r="P906" s="1" t="s">
        <v>139</v>
      </c>
      <c r="Q906" s="1" t="s">
        <v>5995</v>
      </c>
      <c r="R906" s="1" t="s">
        <v>5115</v>
      </c>
      <c r="S906" s="8">
        <v>46023</v>
      </c>
      <c r="T906" s="1">
        <v>2</v>
      </c>
      <c r="U906" s="1" t="s">
        <v>4385</v>
      </c>
      <c r="V906" s="1" t="s">
        <v>4385</v>
      </c>
      <c r="W906" s="1" t="s">
        <v>1388</v>
      </c>
    </row>
    <row r="907" spans="1:23" x14ac:dyDescent="0.25">
      <c r="A907" s="1" t="s">
        <v>48</v>
      </c>
      <c r="B907" s="1" t="s">
        <v>2595</v>
      </c>
      <c r="C907" s="1" t="s">
        <v>50</v>
      </c>
      <c r="D907" s="1" t="s">
        <v>3637</v>
      </c>
      <c r="E907" s="1" t="s">
        <v>3638</v>
      </c>
      <c r="F907" s="22" t="s">
        <v>6085</v>
      </c>
      <c r="G907" s="1" t="s">
        <v>7</v>
      </c>
      <c r="H907" s="1" t="s">
        <v>20</v>
      </c>
      <c r="I907" s="1" t="s">
        <v>26</v>
      </c>
      <c r="J907" s="1" t="s">
        <v>9</v>
      </c>
      <c r="K907" s="1" t="s">
        <v>13</v>
      </c>
      <c r="L907" s="1" t="s">
        <v>13</v>
      </c>
      <c r="M907" s="1" t="s">
        <v>78</v>
      </c>
      <c r="N907" s="1" t="s">
        <v>5251</v>
      </c>
      <c r="O907" s="1" t="s">
        <v>6037</v>
      </c>
      <c r="P907" s="1" t="s">
        <v>126</v>
      </c>
      <c r="Q907" s="1" t="s">
        <v>5854</v>
      </c>
      <c r="R907" s="1" t="s">
        <v>5116</v>
      </c>
      <c r="S907" s="8">
        <v>46083</v>
      </c>
      <c r="T907" s="1">
        <v>2</v>
      </c>
      <c r="U907" s="1" t="s">
        <v>3854</v>
      </c>
      <c r="V907" s="1" t="s">
        <v>3854</v>
      </c>
      <c r="W907" s="1" t="s">
        <v>1388</v>
      </c>
    </row>
    <row r="908" spans="1:23" x14ac:dyDescent="0.25">
      <c r="A908" s="1" t="s">
        <v>48</v>
      </c>
      <c r="B908" s="1" t="s">
        <v>2596</v>
      </c>
      <c r="C908" s="1" t="s">
        <v>50</v>
      </c>
      <c r="D908" s="1" t="s">
        <v>3639</v>
      </c>
      <c r="E908" s="1" t="s">
        <v>3640</v>
      </c>
      <c r="F908" s="22" t="s">
        <v>6085</v>
      </c>
      <c r="G908" s="1" t="s">
        <v>7</v>
      </c>
      <c r="H908" s="1" t="s">
        <v>20</v>
      </c>
      <c r="I908" s="1" t="s">
        <v>25</v>
      </c>
      <c r="J908" s="1" t="s">
        <v>9</v>
      </c>
      <c r="K908" s="1" t="s">
        <v>10</v>
      </c>
      <c r="L908" s="1" t="s">
        <v>16</v>
      </c>
      <c r="M908" s="1" t="s">
        <v>78</v>
      </c>
      <c r="N908" s="1" t="s">
        <v>188</v>
      </c>
      <c r="O908" s="1" t="s">
        <v>6037</v>
      </c>
      <c r="P908" s="1" t="s">
        <v>593</v>
      </c>
      <c r="Q908" s="20" t="s">
        <v>5591</v>
      </c>
      <c r="R908" s="1" t="s">
        <v>5117</v>
      </c>
      <c r="S908" s="8">
        <v>46023</v>
      </c>
      <c r="T908" s="1">
        <v>2</v>
      </c>
      <c r="U908" s="1" t="s">
        <v>1453</v>
      </c>
      <c r="V908" s="1" t="s">
        <v>1453</v>
      </c>
      <c r="W908" s="1" t="s">
        <v>1388</v>
      </c>
    </row>
    <row r="909" spans="1:23" x14ac:dyDescent="0.25">
      <c r="A909" s="1" t="s">
        <v>48</v>
      </c>
      <c r="B909" s="1" t="s">
        <v>2597</v>
      </c>
      <c r="C909" s="1" t="s">
        <v>50</v>
      </c>
      <c r="D909" s="1" t="s">
        <v>3641</v>
      </c>
      <c r="E909" s="1" t="s">
        <v>3642</v>
      </c>
      <c r="F909" s="22" t="s">
        <v>6085</v>
      </c>
      <c r="G909" s="1" t="s">
        <v>5</v>
      </c>
      <c r="H909" s="1" t="s">
        <v>24</v>
      </c>
      <c r="I909" s="1" t="s">
        <v>25</v>
      </c>
      <c r="J909" s="1" t="s">
        <v>9</v>
      </c>
      <c r="K909" s="1" t="s">
        <v>16</v>
      </c>
      <c r="L909" s="1" t="s">
        <v>16</v>
      </c>
      <c r="M909" s="1" t="s">
        <v>78</v>
      </c>
      <c r="N909" s="1" t="s">
        <v>5251</v>
      </c>
      <c r="O909" s="1" t="s">
        <v>6037</v>
      </c>
      <c r="P909" s="1" t="s">
        <v>79</v>
      </c>
      <c r="Q909" s="1" t="s">
        <v>5284</v>
      </c>
      <c r="R909" s="1" t="s">
        <v>5118</v>
      </c>
      <c r="S909" s="8">
        <v>46037</v>
      </c>
      <c r="T909" s="1">
        <v>3</v>
      </c>
      <c r="U909" s="1" t="s">
        <v>5119</v>
      </c>
      <c r="V909" s="1" t="s">
        <v>5120</v>
      </c>
      <c r="W909" s="1" t="s">
        <v>5121</v>
      </c>
    </row>
    <row r="910" spans="1:23" x14ac:dyDescent="0.25">
      <c r="A910" s="1" t="s">
        <v>48</v>
      </c>
      <c r="B910" s="1" t="s">
        <v>2598</v>
      </c>
      <c r="C910" s="1" t="s">
        <v>50</v>
      </c>
      <c r="D910" s="1" t="s">
        <v>3643</v>
      </c>
      <c r="E910" s="1" t="s">
        <v>3644</v>
      </c>
      <c r="F910" s="22" t="s">
        <v>6085</v>
      </c>
      <c r="G910" s="1" t="s">
        <v>5</v>
      </c>
      <c r="H910" s="1" t="s">
        <v>20</v>
      </c>
      <c r="I910" s="1" t="s">
        <v>25</v>
      </c>
      <c r="J910" s="1" t="s">
        <v>9</v>
      </c>
      <c r="K910" s="1" t="s">
        <v>16</v>
      </c>
      <c r="L910" s="1" t="s">
        <v>16</v>
      </c>
      <c r="M910" s="1" t="s">
        <v>78</v>
      </c>
      <c r="N910" s="1" t="s">
        <v>188</v>
      </c>
      <c r="O910" s="2" t="s">
        <v>6235</v>
      </c>
      <c r="P910" s="1" t="s">
        <v>656</v>
      </c>
      <c r="Q910" s="1" t="s">
        <v>5996</v>
      </c>
      <c r="R910" s="1" t="s">
        <v>5122</v>
      </c>
      <c r="S910" s="8">
        <v>46025</v>
      </c>
      <c r="T910" s="1">
        <v>3</v>
      </c>
      <c r="U910" s="1" t="s">
        <v>5123</v>
      </c>
      <c r="V910" s="1" t="s">
        <v>5123</v>
      </c>
      <c r="W910" s="1" t="s">
        <v>5124</v>
      </c>
    </row>
    <row r="911" spans="1:23" x14ac:dyDescent="0.25">
      <c r="A911" s="1" t="s">
        <v>48</v>
      </c>
      <c r="B911" s="1" t="s">
        <v>2599</v>
      </c>
      <c r="C911" s="1" t="s">
        <v>50</v>
      </c>
      <c r="D911" s="1" t="s">
        <v>3645</v>
      </c>
      <c r="E911" s="1" t="s">
        <v>3646</v>
      </c>
      <c r="F911" s="22" t="s">
        <v>6085</v>
      </c>
      <c r="G911" s="1" t="s">
        <v>7</v>
      </c>
      <c r="H911" s="1" t="s">
        <v>20</v>
      </c>
      <c r="I911" s="1" t="s">
        <v>25</v>
      </c>
      <c r="J911" s="1" t="s">
        <v>9</v>
      </c>
      <c r="K911" s="1" t="s">
        <v>16</v>
      </c>
      <c r="L911" s="1" t="s">
        <v>10</v>
      </c>
      <c r="M911" s="1" t="s">
        <v>78</v>
      </c>
      <c r="N911" s="1" t="s">
        <v>188</v>
      </c>
      <c r="O911" s="1" t="s">
        <v>6037</v>
      </c>
      <c r="P911" s="1" t="s">
        <v>126</v>
      </c>
      <c r="Q911" s="1" t="s">
        <v>5873</v>
      </c>
      <c r="R911" s="1" t="s">
        <v>5125</v>
      </c>
      <c r="S911" s="8">
        <v>46023</v>
      </c>
      <c r="T911" s="1">
        <v>2</v>
      </c>
      <c r="U911" s="1" t="s">
        <v>3884</v>
      </c>
      <c r="V911" s="1" t="s">
        <v>3884</v>
      </c>
      <c r="W911" s="1" t="s">
        <v>1388</v>
      </c>
    </row>
    <row r="912" spans="1:23" x14ac:dyDescent="0.25">
      <c r="A912" s="1" t="s">
        <v>48</v>
      </c>
      <c r="B912" s="1" t="s">
        <v>2600</v>
      </c>
      <c r="C912" s="1" t="s">
        <v>50</v>
      </c>
      <c r="D912" s="1" t="s">
        <v>3647</v>
      </c>
      <c r="E912" s="1" t="s">
        <v>3648</v>
      </c>
      <c r="F912" s="22" t="s">
        <v>6085</v>
      </c>
      <c r="G912" s="1" t="s">
        <v>5</v>
      </c>
      <c r="H912" s="1" t="s">
        <v>20</v>
      </c>
      <c r="I912" s="1" t="s">
        <v>25</v>
      </c>
      <c r="J912" s="1" t="s">
        <v>9</v>
      </c>
      <c r="K912" s="1" t="s">
        <v>19</v>
      </c>
      <c r="L912" s="1" t="s">
        <v>19</v>
      </c>
      <c r="M912" s="1" t="s">
        <v>78</v>
      </c>
      <c r="N912" s="1" t="s">
        <v>188</v>
      </c>
      <c r="O912" s="1" t="s">
        <v>6037</v>
      </c>
      <c r="P912" s="1" t="s">
        <v>593</v>
      </c>
      <c r="Q912" s="1" t="s">
        <v>5997</v>
      </c>
      <c r="R912" s="1" t="s">
        <v>5126</v>
      </c>
      <c r="S912" s="8">
        <v>46062</v>
      </c>
      <c r="T912" s="1">
        <v>3</v>
      </c>
      <c r="U912" s="1" t="s">
        <v>5127</v>
      </c>
      <c r="V912" s="1" t="s">
        <v>5128</v>
      </c>
      <c r="W912" s="1" t="s">
        <v>5128</v>
      </c>
    </row>
    <row r="913" spans="1:23" x14ac:dyDescent="0.25">
      <c r="A913" s="1" t="s">
        <v>48</v>
      </c>
      <c r="B913" s="1" t="s">
        <v>2601</v>
      </c>
      <c r="C913" s="1" t="s">
        <v>50</v>
      </c>
      <c r="D913" s="1" t="s">
        <v>3649</v>
      </c>
      <c r="E913" s="1" t="s">
        <v>3650</v>
      </c>
      <c r="F913" s="22" t="s">
        <v>6085</v>
      </c>
      <c r="G913" s="1" t="s">
        <v>6</v>
      </c>
      <c r="H913" s="1" t="s">
        <v>20</v>
      </c>
      <c r="I913" s="1" t="s">
        <v>25</v>
      </c>
      <c r="J913" s="1" t="s">
        <v>9</v>
      </c>
      <c r="K913" s="1" t="s">
        <v>14</v>
      </c>
      <c r="L913" s="1" t="s">
        <v>14</v>
      </c>
      <c r="M913" s="1" t="s">
        <v>78</v>
      </c>
      <c r="N913" s="11" t="s">
        <v>188</v>
      </c>
      <c r="O913" s="1" t="s">
        <v>6037</v>
      </c>
      <c r="P913" s="1" t="s">
        <v>1456</v>
      </c>
      <c r="Q913" s="18" t="s">
        <v>5998</v>
      </c>
      <c r="R913" s="1" t="s">
        <v>5129</v>
      </c>
      <c r="S913" s="8">
        <v>46027</v>
      </c>
      <c r="T913" s="1">
        <v>2</v>
      </c>
      <c r="U913" s="1" t="s">
        <v>5130</v>
      </c>
      <c r="V913" s="1" t="s">
        <v>5130</v>
      </c>
      <c r="W913" s="1" t="s">
        <v>1388</v>
      </c>
    </row>
    <row r="914" spans="1:23" x14ac:dyDescent="0.25">
      <c r="A914" s="1" t="s">
        <v>48</v>
      </c>
      <c r="B914" s="1" t="s">
        <v>2602</v>
      </c>
      <c r="C914" s="1" t="s">
        <v>50</v>
      </c>
      <c r="D914" s="1" t="s">
        <v>3651</v>
      </c>
      <c r="E914" s="1" t="s">
        <v>3652</v>
      </c>
      <c r="F914" s="22" t="s">
        <v>6085</v>
      </c>
      <c r="G914" s="1" t="s">
        <v>6</v>
      </c>
      <c r="H914" s="1" t="s">
        <v>20</v>
      </c>
      <c r="I914" s="1" t="s">
        <v>26</v>
      </c>
      <c r="J914" s="1" t="s">
        <v>9</v>
      </c>
      <c r="K914" s="1" t="s">
        <v>16</v>
      </c>
      <c r="L914" s="1" t="s">
        <v>16</v>
      </c>
      <c r="M914" s="1" t="s">
        <v>78</v>
      </c>
      <c r="N914" s="1" t="s">
        <v>188</v>
      </c>
      <c r="O914" s="1" t="s">
        <v>6037</v>
      </c>
      <c r="P914" s="1" t="s">
        <v>1456</v>
      </c>
      <c r="Q914" s="1" t="s">
        <v>6</v>
      </c>
      <c r="R914" s="1" t="s">
        <v>4225</v>
      </c>
      <c r="S914" s="8">
        <v>46042</v>
      </c>
      <c r="T914" s="1">
        <v>1</v>
      </c>
      <c r="U914" s="1" t="s">
        <v>5131</v>
      </c>
      <c r="V914" s="1" t="s">
        <v>1388</v>
      </c>
      <c r="W914" s="1" t="s">
        <v>1388</v>
      </c>
    </row>
    <row r="915" spans="1:23" x14ac:dyDescent="0.25">
      <c r="A915" s="1" t="s">
        <v>48</v>
      </c>
      <c r="B915" s="1" t="s">
        <v>2603</v>
      </c>
      <c r="C915" s="1" t="s">
        <v>50</v>
      </c>
      <c r="D915" s="1" t="s">
        <v>3653</v>
      </c>
      <c r="E915" s="1" t="s">
        <v>3654</v>
      </c>
      <c r="F915" s="22" t="s">
        <v>6085</v>
      </c>
      <c r="G915" s="1" t="s">
        <v>5</v>
      </c>
      <c r="H915" s="1" t="s">
        <v>22</v>
      </c>
      <c r="I915" s="1" t="s">
        <v>26</v>
      </c>
      <c r="J915" s="1" t="s">
        <v>9</v>
      </c>
      <c r="K915" s="1" t="s">
        <v>10</v>
      </c>
      <c r="L915" s="1" t="s">
        <v>10</v>
      </c>
      <c r="M915" s="1" t="s">
        <v>78</v>
      </c>
      <c r="N915" s="1" t="s">
        <v>188</v>
      </c>
      <c r="O915" s="1" t="s">
        <v>6037</v>
      </c>
      <c r="P915" s="1" t="s">
        <v>5132</v>
      </c>
      <c r="Q915" s="18" t="s">
        <v>5999</v>
      </c>
      <c r="R915" s="1" t="s">
        <v>5133</v>
      </c>
      <c r="S915" s="8">
        <v>46023</v>
      </c>
      <c r="T915" s="1">
        <v>2</v>
      </c>
      <c r="U915" s="1" t="s">
        <v>5134</v>
      </c>
      <c r="V915" s="1" t="s">
        <v>5135</v>
      </c>
      <c r="W915" s="1" t="s">
        <v>1388</v>
      </c>
    </row>
    <row r="916" spans="1:23" x14ac:dyDescent="0.25">
      <c r="A916" s="1" t="s">
        <v>48</v>
      </c>
      <c r="B916" s="1" t="s">
        <v>2604</v>
      </c>
      <c r="C916" s="1" t="s">
        <v>50</v>
      </c>
      <c r="D916" s="1" t="s">
        <v>3655</v>
      </c>
      <c r="E916" s="1" t="s">
        <v>3656</v>
      </c>
      <c r="F916" s="22" t="s">
        <v>6085</v>
      </c>
      <c r="G916" s="1" t="s">
        <v>5</v>
      </c>
      <c r="H916" s="1" t="s">
        <v>20</v>
      </c>
      <c r="I916" s="1" t="s">
        <v>26</v>
      </c>
      <c r="J916" s="1" t="s">
        <v>9</v>
      </c>
      <c r="K916" s="1" t="s">
        <v>16</v>
      </c>
      <c r="L916" s="1" t="s">
        <v>16</v>
      </c>
      <c r="M916" s="1" t="s">
        <v>78</v>
      </c>
      <c r="N916" s="1" t="s">
        <v>188</v>
      </c>
      <c r="O916" s="1" t="s">
        <v>6037</v>
      </c>
      <c r="P916" s="1" t="s">
        <v>306</v>
      </c>
      <c r="Q916" s="1" t="s">
        <v>5963</v>
      </c>
      <c r="R916" s="1" t="s">
        <v>5136</v>
      </c>
      <c r="S916" s="8">
        <v>46034</v>
      </c>
      <c r="T916" s="1">
        <v>3</v>
      </c>
      <c r="U916" s="1" t="s">
        <v>5137</v>
      </c>
      <c r="V916" s="1" t="s">
        <v>5138</v>
      </c>
      <c r="W916" s="1" t="s">
        <v>5139</v>
      </c>
    </row>
    <row r="917" spans="1:23" x14ac:dyDescent="0.25">
      <c r="A917" s="1" t="s">
        <v>48</v>
      </c>
      <c r="B917" s="1" t="s">
        <v>2605</v>
      </c>
      <c r="C917" s="1" t="s">
        <v>50</v>
      </c>
      <c r="D917" s="1" t="s">
        <v>3657</v>
      </c>
      <c r="E917" s="1" t="s">
        <v>3658</v>
      </c>
      <c r="F917" s="22" t="s">
        <v>6085</v>
      </c>
      <c r="G917" s="1" t="s">
        <v>7</v>
      </c>
      <c r="H917" s="1" t="s">
        <v>20</v>
      </c>
      <c r="I917" s="1" t="s">
        <v>26</v>
      </c>
      <c r="J917" s="1" t="s">
        <v>9</v>
      </c>
      <c r="K917" s="1" t="s">
        <v>16</v>
      </c>
      <c r="L917" s="1" t="s">
        <v>16</v>
      </c>
      <c r="M917" s="1" t="s">
        <v>78</v>
      </c>
      <c r="N917" s="1" t="s">
        <v>188</v>
      </c>
      <c r="O917" s="1" t="s">
        <v>6037</v>
      </c>
      <c r="P917" s="1" t="s">
        <v>5140</v>
      </c>
      <c r="Q917" s="1" t="s">
        <v>6000</v>
      </c>
      <c r="R917" s="1" t="s">
        <v>5141</v>
      </c>
      <c r="S917" s="8">
        <v>46023</v>
      </c>
      <c r="T917" s="1">
        <v>2</v>
      </c>
      <c r="U917" s="1" t="s">
        <v>5142</v>
      </c>
      <c r="V917" s="1" t="s">
        <v>5143</v>
      </c>
      <c r="W917" s="1" t="s">
        <v>1388</v>
      </c>
    </row>
    <row r="918" spans="1:23" x14ac:dyDescent="0.25">
      <c r="A918" s="1" t="s">
        <v>48</v>
      </c>
      <c r="B918" s="1" t="s">
        <v>2606</v>
      </c>
      <c r="C918" s="1" t="s">
        <v>50</v>
      </c>
      <c r="D918" s="1" t="s">
        <v>3659</v>
      </c>
      <c r="E918" s="1" t="s">
        <v>3660</v>
      </c>
      <c r="F918" s="22" t="s">
        <v>6085</v>
      </c>
      <c r="G918" s="1" t="s">
        <v>6</v>
      </c>
      <c r="H918" s="1" t="s">
        <v>24</v>
      </c>
      <c r="I918" s="1" t="s">
        <v>25</v>
      </c>
      <c r="J918" s="1" t="s">
        <v>9</v>
      </c>
      <c r="K918" s="1" t="s">
        <v>13</v>
      </c>
      <c r="L918" s="1" t="s">
        <v>13</v>
      </c>
      <c r="M918" s="1" t="s">
        <v>78</v>
      </c>
      <c r="N918" s="1" t="s">
        <v>188</v>
      </c>
      <c r="O918" s="1" t="s">
        <v>6037</v>
      </c>
      <c r="P918" s="1" t="s">
        <v>656</v>
      </c>
      <c r="Q918" s="1" t="s">
        <v>5555</v>
      </c>
      <c r="R918" s="1" t="s">
        <v>5144</v>
      </c>
      <c r="S918" s="8">
        <v>45658</v>
      </c>
      <c r="T918" s="1">
        <v>1</v>
      </c>
      <c r="U918" s="1" t="s">
        <v>5145</v>
      </c>
      <c r="V918" s="1" t="s">
        <v>1388</v>
      </c>
      <c r="W918" s="1" t="s">
        <v>1388</v>
      </c>
    </row>
    <row r="919" spans="1:23" x14ac:dyDescent="0.25">
      <c r="A919" s="1" t="s">
        <v>48</v>
      </c>
      <c r="B919" s="1" t="s">
        <v>2607</v>
      </c>
      <c r="C919" s="1" t="s">
        <v>50</v>
      </c>
      <c r="D919" s="1" t="s">
        <v>3661</v>
      </c>
      <c r="E919" s="1" t="s">
        <v>3662</v>
      </c>
      <c r="F919" s="22" t="s">
        <v>3</v>
      </c>
      <c r="G919" s="1" t="s">
        <v>6</v>
      </c>
      <c r="H919" s="1" t="s">
        <v>20</v>
      </c>
      <c r="I919" s="1" t="s">
        <v>25</v>
      </c>
      <c r="J919" s="1" t="s">
        <v>9</v>
      </c>
      <c r="K919" s="1" t="s">
        <v>12</v>
      </c>
      <c r="L919" s="1" t="s">
        <v>12</v>
      </c>
      <c r="M919" s="1" t="s">
        <v>78</v>
      </c>
      <c r="N919" s="1" t="s">
        <v>188</v>
      </c>
      <c r="O919" s="1" t="s">
        <v>6037</v>
      </c>
      <c r="P919" s="1" t="s">
        <v>593</v>
      </c>
      <c r="Q919" s="1" t="s">
        <v>6001</v>
      </c>
      <c r="R919" s="7" t="s">
        <v>5146</v>
      </c>
      <c r="S919" s="8">
        <v>45748</v>
      </c>
      <c r="T919" s="1">
        <v>1</v>
      </c>
      <c r="U919" s="1" t="s">
        <v>5147</v>
      </c>
      <c r="V919" s="1" t="s">
        <v>1388</v>
      </c>
      <c r="W919" s="1" t="s">
        <v>1388</v>
      </c>
    </row>
    <row r="920" spans="1:23" x14ac:dyDescent="0.25">
      <c r="A920" s="1" t="s">
        <v>48</v>
      </c>
      <c r="B920" s="1" t="s">
        <v>2608</v>
      </c>
      <c r="C920" s="1" t="s">
        <v>50</v>
      </c>
      <c r="D920" s="1" t="s">
        <v>3663</v>
      </c>
      <c r="E920" s="1" t="s">
        <v>3664</v>
      </c>
      <c r="F920" s="22" t="s">
        <v>6085</v>
      </c>
      <c r="G920" s="1" t="s">
        <v>6</v>
      </c>
      <c r="H920" s="1" t="s">
        <v>20</v>
      </c>
      <c r="I920" s="1" t="s">
        <v>25</v>
      </c>
      <c r="J920" s="1" t="s">
        <v>9</v>
      </c>
      <c r="K920" s="1" t="s">
        <v>13</v>
      </c>
      <c r="L920" s="1" t="s">
        <v>13</v>
      </c>
      <c r="M920" s="1" t="s">
        <v>78</v>
      </c>
      <c r="N920" s="1" t="s">
        <v>188</v>
      </c>
      <c r="O920" s="1" t="s">
        <v>6037</v>
      </c>
      <c r="P920" s="1" t="s">
        <v>247</v>
      </c>
      <c r="Q920" s="1" t="s">
        <v>5301</v>
      </c>
      <c r="R920" s="1" t="s">
        <v>5148</v>
      </c>
      <c r="S920" s="8">
        <v>46041</v>
      </c>
      <c r="T920" s="1">
        <v>1</v>
      </c>
      <c r="U920" s="1" t="s">
        <v>5149</v>
      </c>
      <c r="V920" s="1" t="s">
        <v>1388</v>
      </c>
      <c r="W920" s="1" t="s">
        <v>1388</v>
      </c>
    </row>
    <row r="921" spans="1:23" x14ac:dyDescent="0.25">
      <c r="A921" s="1" t="s">
        <v>48</v>
      </c>
      <c r="B921" s="1" t="s">
        <v>2609</v>
      </c>
      <c r="C921" s="1" t="s">
        <v>50</v>
      </c>
      <c r="D921" s="1" t="s">
        <v>3665</v>
      </c>
      <c r="E921" s="1" t="s">
        <v>3666</v>
      </c>
      <c r="F921" s="22" t="s">
        <v>6085</v>
      </c>
      <c r="G921" s="1" t="s">
        <v>5</v>
      </c>
      <c r="H921" s="1" t="s">
        <v>24</v>
      </c>
      <c r="I921" s="1" t="s">
        <v>26</v>
      </c>
      <c r="J921" s="1" t="s">
        <v>9</v>
      </c>
      <c r="K921" s="1" t="s">
        <v>10</v>
      </c>
      <c r="L921" s="1" t="s">
        <v>16</v>
      </c>
      <c r="M921" s="1" t="s">
        <v>78</v>
      </c>
      <c r="N921" s="1" t="s">
        <v>188</v>
      </c>
      <c r="O921" s="1" t="s">
        <v>6037</v>
      </c>
      <c r="P921" s="1" t="s">
        <v>126</v>
      </c>
      <c r="Q921" s="20" t="s">
        <v>6002</v>
      </c>
      <c r="R921" s="1" t="s">
        <v>5150</v>
      </c>
      <c r="S921" s="8">
        <v>45670</v>
      </c>
      <c r="T921" s="1">
        <v>2</v>
      </c>
      <c r="U921" s="1" t="s">
        <v>5151</v>
      </c>
      <c r="V921" s="1" t="s">
        <v>1682</v>
      </c>
      <c r="W921" s="1" t="s">
        <v>1388</v>
      </c>
    </row>
    <row r="922" spans="1:23" x14ac:dyDescent="0.25">
      <c r="A922" s="1" t="s">
        <v>48</v>
      </c>
      <c r="B922" s="1" t="s">
        <v>2610</v>
      </c>
      <c r="C922" s="1" t="s">
        <v>50</v>
      </c>
      <c r="D922" s="1" t="s">
        <v>3667</v>
      </c>
      <c r="E922" s="1" t="s">
        <v>3668</v>
      </c>
      <c r="F922" s="22" t="s">
        <v>6085</v>
      </c>
      <c r="G922" s="1" t="s">
        <v>6</v>
      </c>
      <c r="H922" s="1" t="s">
        <v>24</v>
      </c>
      <c r="I922" s="1" t="s">
        <v>26</v>
      </c>
      <c r="J922" s="1" t="s">
        <v>9</v>
      </c>
      <c r="K922" s="1" t="s">
        <v>16</v>
      </c>
      <c r="L922" s="1" t="s">
        <v>16</v>
      </c>
      <c r="M922" s="1" t="s">
        <v>78</v>
      </c>
      <c r="N922" s="1" t="s">
        <v>188</v>
      </c>
      <c r="O922" s="1" t="s">
        <v>6037</v>
      </c>
      <c r="P922" s="1" t="s">
        <v>5152</v>
      </c>
      <c r="Q922" s="1" t="s">
        <v>5902</v>
      </c>
      <c r="R922" s="1" t="s">
        <v>5153</v>
      </c>
      <c r="S922" s="8">
        <v>46023</v>
      </c>
      <c r="T922" s="1">
        <v>2</v>
      </c>
      <c r="U922" s="1" t="s">
        <v>5154</v>
      </c>
      <c r="V922" s="1" t="s">
        <v>5154</v>
      </c>
      <c r="W922" s="1" t="s">
        <v>1388</v>
      </c>
    </row>
    <row r="923" spans="1:23" x14ac:dyDescent="0.25">
      <c r="A923" s="1" t="s">
        <v>48</v>
      </c>
      <c r="B923" s="1" t="s">
        <v>2611</v>
      </c>
      <c r="C923" s="1" t="s">
        <v>50</v>
      </c>
      <c r="D923" s="1" t="s">
        <v>3669</v>
      </c>
      <c r="E923" s="1" t="s">
        <v>3670</v>
      </c>
      <c r="F923" s="22" t="s">
        <v>6085</v>
      </c>
      <c r="G923" s="1" t="s">
        <v>1383</v>
      </c>
      <c r="H923" s="1" t="s">
        <v>24</v>
      </c>
      <c r="I923" s="1" t="s">
        <v>26</v>
      </c>
      <c r="J923" s="1" t="s">
        <v>8</v>
      </c>
      <c r="K923" s="1" t="s">
        <v>12</v>
      </c>
      <c r="L923" s="1" t="s">
        <v>12</v>
      </c>
      <c r="M923" s="1" t="s">
        <v>78</v>
      </c>
      <c r="N923" s="1" t="s">
        <v>5250</v>
      </c>
      <c r="O923" s="1" t="s">
        <v>6037</v>
      </c>
      <c r="P923" s="1" t="s">
        <v>5155</v>
      </c>
      <c r="Q923" s="1" t="s">
        <v>6003</v>
      </c>
      <c r="R923" s="1" t="s">
        <v>5156</v>
      </c>
      <c r="S923" s="8">
        <v>46143</v>
      </c>
      <c r="T923" s="1">
        <v>1</v>
      </c>
      <c r="U923" s="1" t="s">
        <v>302</v>
      </c>
      <c r="V923" s="1" t="s">
        <v>1388</v>
      </c>
      <c r="W923" s="1" t="s">
        <v>1388</v>
      </c>
    </row>
    <row r="924" spans="1:23" x14ac:dyDescent="0.25">
      <c r="A924" s="1" t="s">
        <v>48</v>
      </c>
      <c r="B924" s="1" t="s">
        <v>2612</v>
      </c>
      <c r="C924" s="1" t="s">
        <v>50</v>
      </c>
      <c r="D924" s="1" t="s">
        <v>3671</v>
      </c>
      <c r="E924" s="1" t="s">
        <v>3672</v>
      </c>
      <c r="F924" s="22" t="s">
        <v>6085</v>
      </c>
      <c r="G924" s="1" t="s">
        <v>6</v>
      </c>
      <c r="H924" s="1" t="s">
        <v>20</v>
      </c>
      <c r="I924" s="1" t="s">
        <v>26</v>
      </c>
      <c r="J924" s="1" t="s">
        <v>9</v>
      </c>
      <c r="K924" s="1" t="s">
        <v>16</v>
      </c>
      <c r="L924" s="1" t="s">
        <v>16</v>
      </c>
      <c r="M924" s="1" t="s">
        <v>78</v>
      </c>
      <c r="N924" s="1" t="s">
        <v>188</v>
      </c>
      <c r="O924" s="1" t="s">
        <v>6037</v>
      </c>
      <c r="P924" s="1" t="s">
        <v>1456</v>
      </c>
      <c r="Q924" s="1" t="s">
        <v>6004</v>
      </c>
      <c r="R924" s="1" t="s">
        <v>5157</v>
      </c>
      <c r="S924" s="8">
        <v>46027</v>
      </c>
      <c r="T924" s="1">
        <v>2</v>
      </c>
      <c r="U924" s="1" t="s">
        <v>5158</v>
      </c>
      <c r="V924" s="1" t="s">
        <v>4583</v>
      </c>
      <c r="W924" s="1" t="s">
        <v>1388</v>
      </c>
    </row>
    <row r="925" spans="1:23" x14ac:dyDescent="0.25">
      <c r="A925" s="1" t="s">
        <v>48</v>
      </c>
      <c r="B925" s="1" t="s">
        <v>2613</v>
      </c>
      <c r="C925" s="1" t="s">
        <v>50</v>
      </c>
      <c r="D925" s="1" t="s">
        <v>3673</v>
      </c>
      <c r="E925" s="1" t="s">
        <v>3674</v>
      </c>
      <c r="F925" s="22" t="s">
        <v>6085</v>
      </c>
      <c r="G925" s="1" t="s">
        <v>6</v>
      </c>
      <c r="H925" s="1" t="s">
        <v>20</v>
      </c>
      <c r="I925" s="1" t="s">
        <v>25</v>
      </c>
      <c r="J925" s="1" t="s">
        <v>9</v>
      </c>
      <c r="K925" s="1" t="s">
        <v>18</v>
      </c>
      <c r="L925" s="1" t="s">
        <v>14</v>
      </c>
      <c r="M925" s="1" t="s">
        <v>78</v>
      </c>
      <c r="N925" s="1" t="s">
        <v>188</v>
      </c>
      <c r="O925" s="1" t="s">
        <v>6037</v>
      </c>
      <c r="P925" s="1" t="s">
        <v>247</v>
      </c>
      <c r="Q925" s="1" t="s">
        <v>6005</v>
      </c>
      <c r="R925" s="19" t="s">
        <v>5159</v>
      </c>
      <c r="S925" s="8">
        <v>46048</v>
      </c>
      <c r="T925" s="1">
        <v>1</v>
      </c>
      <c r="U925" s="1" t="s">
        <v>170</v>
      </c>
      <c r="V925" s="1" t="s">
        <v>1388</v>
      </c>
      <c r="W925" s="1" t="s">
        <v>1388</v>
      </c>
    </row>
    <row r="926" spans="1:23" x14ac:dyDescent="0.25">
      <c r="A926" s="1" t="s">
        <v>48</v>
      </c>
      <c r="B926" s="1" t="s">
        <v>2614</v>
      </c>
      <c r="C926" s="1" t="s">
        <v>50</v>
      </c>
      <c r="D926" s="1" t="s">
        <v>3675</v>
      </c>
      <c r="E926" s="1" t="s">
        <v>3676</v>
      </c>
      <c r="F926" s="22" t="s">
        <v>6085</v>
      </c>
      <c r="G926" s="1" t="s">
        <v>6</v>
      </c>
      <c r="H926" s="1" t="s">
        <v>20</v>
      </c>
      <c r="I926" s="1" t="s">
        <v>25</v>
      </c>
      <c r="J926" s="1" t="s">
        <v>9</v>
      </c>
      <c r="K926" s="1" t="s">
        <v>14</v>
      </c>
      <c r="L926" s="1" t="s">
        <v>14</v>
      </c>
      <c r="M926" s="1" t="s">
        <v>78</v>
      </c>
      <c r="N926" s="1" t="s">
        <v>5250</v>
      </c>
      <c r="O926" s="1" t="s">
        <v>6037</v>
      </c>
      <c r="P926" s="1" t="s">
        <v>581</v>
      </c>
      <c r="Q926" s="1" t="s">
        <v>6006</v>
      </c>
      <c r="R926" s="1" t="s">
        <v>5160</v>
      </c>
      <c r="S926" s="8">
        <v>46036</v>
      </c>
      <c r="T926" s="1">
        <v>2</v>
      </c>
      <c r="U926" s="1" t="s">
        <v>5161</v>
      </c>
      <c r="V926" s="1" t="s">
        <v>5162</v>
      </c>
      <c r="W926" s="1" t="s">
        <v>1388</v>
      </c>
    </row>
    <row r="927" spans="1:23" x14ac:dyDescent="0.25">
      <c r="A927" s="1" t="s">
        <v>48</v>
      </c>
      <c r="B927" s="1" t="s">
        <v>2615</v>
      </c>
      <c r="C927" s="1" t="s">
        <v>50</v>
      </c>
      <c r="D927" s="1" t="s">
        <v>3677</v>
      </c>
      <c r="E927" s="1" t="s">
        <v>3678</v>
      </c>
      <c r="F927" s="22" t="s">
        <v>6085</v>
      </c>
      <c r="G927" s="1" t="s">
        <v>5</v>
      </c>
      <c r="H927" s="1" t="s">
        <v>20</v>
      </c>
      <c r="I927" s="1" t="s">
        <v>26</v>
      </c>
      <c r="J927" s="1" t="s">
        <v>9</v>
      </c>
      <c r="K927" s="1" t="s">
        <v>14</v>
      </c>
      <c r="L927" s="1" t="s">
        <v>16</v>
      </c>
      <c r="M927" s="1" t="s">
        <v>78</v>
      </c>
      <c r="N927" s="1" t="s">
        <v>188</v>
      </c>
      <c r="O927" s="1" t="s">
        <v>6037</v>
      </c>
      <c r="P927" s="1" t="s">
        <v>107</v>
      </c>
      <c r="Q927" s="1" t="s">
        <v>6007</v>
      </c>
      <c r="R927" s="1" t="s">
        <v>5163</v>
      </c>
      <c r="S927" s="8">
        <v>45747</v>
      </c>
      <c r="T927" s="1">
        <v>2</v>
      </c>
      <c r="U927" s="1" t="s">
        <v>5164</v>
      </c>
      <c r="V927" s="1" t="s">
        <v>4173</v>
      </c>
      <c r="W927" s="1" t="s">
        <v>1388</v>
      </c>
    </row>
    <row r="928" spans="1:23" x14ac:dyDescent="0.25">
      <c r="A928" s="1" t="s">
        <v>48</v>
      </c>
      <c r="B928" s="1" t="s">
        <v>2616</v>
      </c>
      <c r="C928" s="1" t="s">
        <v>50</v>
      </c>
      <c r="D928" s="1" t="s">
        <v>3679</v>
      </c>
      <c r="E928" s="1" t="s">
        <v>3680</v>
      </c>
      <c r="F928" s="22" t="s">
        <v>6085</v>
      </c>
      <c r="G928" s="1" t="s">
        <v>5</v>
      </c>
      <c r="H928" s="1" t="s">
        <v>20</v>
      </c>
      <c r="I928" s="1" t="s">
        <v>26</v>
      </c>
      <c r="J928" s="1" t="s">
        <v>9</v>
      </c>
      <c r="K928" s="1" t="s">
        <v>19</v>
      </c>
      <c r="L928" s="1" t="s">
        <v>19</v>
      </c>
      <c r="M928" s="1" t="s">
        <v>78</v>
      </c>
      <c r="N928" s="1" t="s">
        <v>188</v>
      </c>
      <c r="O928" s="1" t="s">
        <v>6037</v>
      </c>
      <c r="P928" s="1" t="s">
        <v>1519</v>
      </c>
      <c r="Q928" s="1" t="s">
        <v>5985</v>
      </c>
      <c r="R928" s="1" t="s">
        <v>5165</v>
      </c>
      <c r="S928" s="8">
        <v>46036</v>
      </c>
      <c r="T928" s="1">
        <v>2</v>
      </c>
      <c r="U928" s="1" t="s">
        <v>5166</v>
      </c>
      <c r="V928" s="1" t="s">
        <v>4666</v>
      </c>
      <c r="W928" s="1" t="s">
        <v>1388</v>
      </c>
    </row>
    <row r="929" spans="1:23" x14ac:dyDescent="0.25">
      <c r="A929" s="1" t="s">
        <v>48</v>
      </c>
      <c r="B929" s="1" t="s">
        <v>2617</v>
      </c>
      <c r="C929" s="1" t="s">
        <v>50</v>
      </c>
      <c r="D929" s="1" t="s">
        <v>3681</v>
      </c>
      <c r="E929" s="1" t="s">
        <v>3682</v>
      </c>
      <c r="F929" s="22" t="s">
        <v>6085</v>
      </c>
      <c r="G929" s="1" t="s">
        <v>5</v>
      </c>
      <c r="H929" s="1" t="s">
        <v>20</v>
      </c>
      <c r="I929" s="1" t="s">
        <v>25</v>
      </c>
      <c r="J929" s="1" t="s">
        <v>9</v>
      </c>
      <c r="K929" s="1" t="s">
        <v>16</v>
      </c>
      <c r="L929" s="1" t="s">
        <v>16</v>
      </c>
      <c r="M929" s="1" t="s">
        <v>78</v>
      </c>
      <c r="N929" s="1" t="s">
        <v>188</v>
      </c>
      <c r="O929" s="1" t="s">
        <v>6037</v>
      </c>
      <c r="P929" s="1" t="s">
        <v>1456</v>
      </c>
      <c r="Q929" s="1" t="s">
        <v>6008</v>
      </c>
      <c r="R929" s="1" t="s">
        <v>5167</v>
      </c>
      <c r="S929" s="8">
        <v>45505</v>
      </c>
      <c r="T929" s="1">
        <v>2</v>
      </c>
      <c r="U929" s="1" t="s">
        <v>5168</v>
      </c>
      <c r="V929" s="1" t="s">
        <v>5169</v>
      </c>
      <c r="W929" s="1" t="s">
        <v>1388</v>
      </c>
    </row>
    <row r="930" spans="1:23" x14ac:dyDescent="0.25">
      <c r="A930" s="1" t="s">
        <v>48</v>
      </c>
      <c r="B930" s="1" t="s">
        <v>2618</v>
      </c>
      <c r="C930" s="1" t="s">
        <v>50</v>
      </c>
      <c r="D930" s="1" t="s">
        <v>3683</v>
      </c>
      <c r="E930" s="1" t="s">
        <v>3684</v>
      </c>
      <c r="F930" s="22" t="s">
        <v>6085</v>
      </c>
      <c r="G930" s="1" t="s">
        <v>5</v>
      </c>
      <c r="H930" s="1" t="s">
        <v>20</v>
      </c>
      <c r="I930" s="1" t="s">
        <v>26</v>
      </c>
      <c r="J930" s="1" t="s">
        <v>9</v>
      </c>
      <c r="K930" s="1" t="s">
        <v>10</v>
      </c>
      <c r="L930" s="1" t="s">
        <v>16</v>
      </c>
      <c r="M930" s="1" t="s">
        <v>78</v>
      </c>
      <c r="N930" s="1" t="s">
        <v>188</v>
      </c>
      <c r="O930" s="1" t="s">
        <v>6037</v>
      </c>
      <c r="P930" s="1" t="s">
        <v>306</v>
      </c>
      <c r="Q930" s="18" t="s">
        <v>5747</v>
      </c>
      <c r="R930" s="1" t="s">
        <v>5170</v>
      </c>
      <c r="S930" s="8">
        <v>45920</v>
      </c>
      <c r="T930" s="1">
        <v>3</v>
      </c>
      <c r="U930" s="1" t="s">
        <v>5171</v>
      </c>
      <c r="V930" s="1" t="s">
        <v>5171</v>
      </c>
      <c r="W930" s="1" t="s">
        <v>5171</v>
      </c>
    </row>
    <row r="931" spans="1:23" x14ac:dyDescent="0.25">
      <c r="A931" s="1" t="s">
        <v>48</v>
      </c>
      <c r="B931" s="1" t="s">
        <v>2619</v>
      </c>
      <c r="C931" s="1" t="s">
        <v>50</v>
      </c>
      <c r="D931" s="1" t="s">
        <v>3685</v>
      </c>
      <c r="E931" s="1" t="s">
        <v>3686</v>
      </c>
      <c r="F931" s="22" t="s">
        <v>6085</v>
      </c>
      <c r="G931" s="1" t="s">
        <v>6</v>
      </c>
      <c r="H931" s="1" t="s">
        <v>20</v>
      </c>
      <c r="I931" s="1" t="s">
        <v>26</v>
      </c>
      <c r="J931" s="1" t="s">
        <v>9</v>
      </c>
      <c r="K931" s="1" t="s">
        <v>14</v>
      </c>
      <c r="L931" s="1" t="s">
        <v>14</v>
      </c>
      <c r="M931" s="1" t="s">
        <v>78</v>
      </c>
      <c r="N931" s="1" t="s">
        <v>5250</v>
      </c>
      <c r="O931" s="1" t="s">
        <v>6037</v>
      </c>
      <c r="P931" s="1" t="s">
        <v>5172</v>
      </c>
      <c r="Q931" s="1" t="s">
        <v>6009</v>
      </c>
      <c r="R931" s="1" t="s">
        <v>5173</v>
      </c>
      <c r="S931" s="8">
        <v>46023</v>
      </c>
      <c r="T931" s="1">
        <v>2</v>
      </c>
      <c r="U931" s="1" t="s">
        <v>4237</v>
      </c>
      <c r="V931" s="1" t="s">
        <v>4828</v>
      </c>
      <c r="W931" s="1" t="s">
        <v>1388</v>
      </c>
    </row>
    <row r="932" spans="1:23" x14ac:dyDescent="0.25">
      <c r="A932" s="1" t="s">
        <v>48</v>
      </c>
      <c r="B932" s="1" t="s">
        <v>2620</v>
      </c>
      <c r="C932" s="1" t="s">
        <v>50</v>
      </c>
      <c r="D932" s="1" t="s">
        <v>3687</v>
      </c>
      <c r="E932" s="1" t="s">
        <v>3688</v>
      </c>
      <c r="F932" s="22" t="s">
        <v>6085</v>
      </c>
      <c r="G932" s="1" t="s">
        <v>5</v>
      </c>
      <c r="H932" s="1" t="s">
        <v>20</v>
      </c>
      <c r="I932" s="1" t="s">
        <v>26</v>
      </c>
      <c r="J932" s="1" t="s">
        <v>9</v>
      </c>
      <c r="K932" s="1" t="s">
        <v>13</v>
      </c>
      <c r="L932" s="1" t="s">
        <v>13</v>
      </c>
      <c r="M932" s="1" t="s">
        <v>78</v>
      </c>
      <c r="N932" s="1" t="s">
        <v>188</v>
      </c>
      <c r="O932" s="1" t="s">
        <v>6235</v>
      </c>
      <c r="P932" s="1" t="s">
        <v>126</v>
      </c>
      <c r="Q932" s="1" t="s">
        <v>6010</v>
      </c>
      <c r="R932" s="1" t="s">
        <v>5174</v>
      </c>
      <c r="S932" s="8">
        <v>46045</v>
      </c>
      <c r="T932" s="1">
        <v>3</v>
      </c>
      <c r="U932" s="1" t="s">
        <v>5175</v>
      </c>
      <c r="V932" s="1" t="s">
        <v>5176</v>
      </c>
      <c r="W932" s="1" t="s">
        <v>5175</v>
      </c>
    </row>
    <row r="933" spans="1:23" x14ac:dyDescent="0.25">
      <c r="A933" s="1" t="s">
        <v>48</v>
      </c>
      <c r="B933" s="1" t="s">
        <v>2621</v>
      </c>
      <c r="C933" s="1" t="s">
        <v>50</v>
      </c>
      <c r="D933" s="1" t="s">
        <v>3689</v>
      </c>
      <c r="E933" s="1" t="s">
        <v>3690</v>
      </c>
      <c r="F933" s="22" t="s">
        <v>6085</v>
      </c>
      <c r="G933" s="1" t="s">
        <v>6</v>
      </c>
      <c r="H933" s="1" t="s">
        <v>21</v>
      </c>
      <c r="I933" s="1" t="s">
        <v>25</v>
      </c>
      <c r="J933" s="1" t="s">
        <v>9</v>
      </c>
      <c r="K933" s="1" t="s">
        <v>13</v>
      </c>
      <c r="L933" s="1" t="s">
        <v>13</v>
      </c>
      <c r="M933" s="1" t="s">
        <v>78</v>
      </c>
      <c r="O933" s="1" t="s">
        <v>6037</v>
      </c>
      <c r="P933" s="1" t="s">
        <v>126</v>
      </c>
      <c r="Q933" s="1" t="s">
        <v>6011</v>
      </c>
      <c r="R933" s="1" t="s">
        <v>5177</v>
      </c>
      <c r="S933" s="8">
        <v>45663</v>
      </c>
      <c r="T933" s="1">
        <v>1</v>
      </c>
      <c r="U933" s="1" t="s">
        <v>5178</v>
      </c>
      <c r="V933" s="1" t="s">
        <v>1388</v>
      </c>
      <c r="W933" s="1" t="s">
        <v>1388</v>
      </c>
    </row>
    <row r="934" spans="1:23" x14ac:dyDescent="0.25">
      <c r="A934" s="1" t="s">
        <v>48</v>
      </c>
      <c r="B934" s="1" t="s">
        <v>2622</v>
      </c>
      <c r="C934" s="1" t="s">
        <v>50</v>
      </c>
      <c r="D934" s="1" t="s">
        <v>3691</v>
      </c>
      <c r="E934" s="1" t="s">
        <v>3692</v>
      </c>
      <c r="F934" s="22" t="s">
        <v>3</v>
      </c>
      <c r="G934" s="1" t="s">
        <v>6</v>
      </c>
      <c r="H934" s="1" t="s">
        <v>20</v>
      </c>
      <c r="I934" s="1" t="s">
        <v>25</v>
      </c>
      <c r="J934" s="1" t="s">
        <v>9</v>
      </c>
      <c r="K934" s="1" t="s">
        <v>16</v>
      </c>
      <c r="L934" s="1" t="s">
        <v>10</v>
      </c>
      <c r="M934" s="1" t="s">
        <v>78</v>
      </c>
      <c r="O934" s="1" t="s">
        <v>6037</v>
      </c>
      <c r="P934" s="1" t="s">
        <v>5179</v>
      </c>
      <c r="Q934" s="1">
        <v>1</v>
      </c>
      <c r="R934" s="7" t="s">
        <v>5180</v>
      </c>
      <c r="S934" s="8">
        <v>46023</v>
      </c>
      <c r="T934" s="1">
        <v>2</v>
      </c>
      <c r="U934" s="1" t="s">
        <v>3976</v>
      </c>
      <c r="V934" s="1" t="s">
        <v>3976</v>
      </c>
      <c r="W934" s="1" t="s">
        <v>1388</v>
      </c>
    </row>
    <row r="935" spans="1:23" x14ac:dyDescent="0.25">
      <c r="A935" s="1" t="s">
        <v>48</v>
      </c>
      <c r="B935" s="1" t="s">
        <v>2623</v>
      </c>
      <c r="C935" s="1" t="s">
        <v>50</v>
      </c>
      <c r="D935" s="1" t="s">
        <v>3693</v>
      </c>
      <c r="E935" s="1" t="s">
        <v>3694</v>
      </c>
      <c r="F935" s="22" t="s">
        <v>6085</v>
      </c>
      <c r="G935" s="1" t="s">
        <v>5</v>
      </c>
      <c r="H935" s="1" t="s">
        <v>22</v>
      </c>
      <c r="I935" s="1" t="s">
        <v>25</v>
      </c>
      <c r="J935" s="1" t="s">
        <v>9</v>
      </c>
      <c r="K935" s="1" t="s">
        <v>13</v>
      </c>
      <c r="L935" s="1" t="s">
        <v>13</v>
      </c>
      <c r="M935" s="1" t="s">
        <v>78</v>
      </c>
      <c r="O935" s="1" t="s">
        <v>6037</v>
      </c>
      <c r="P935" s="1" t="s">
        <v>126</v>
      </c>
      <c r="Q935" s="1" t="s">
        <v>6012</v>
      </c>
      <c r="R935" s="1" t="s">
        <v>5181</v>
      </c>
      <c r="S935" s="8">
        <v>45874</v>
      </c>
      <c r="T935" s="1">
        <v>3</v>
      </c>
      <c r="U935" s="1" t="s">
        <v>5182</v>
      </c>
      <c r="V935" s="1" t="s">
        <v>5183</v>
      </c>
      <c r="W935" s="1" t="s">
        <v>5184</v>
      </c>
    </row>
    <row r="936" spans="1:23" x14ac:dyDescent="0.25">
      <c r="A936" s="1" t="s">
        <v>48</v>
      </c>
      <c r="B936" s="1" t="s">
        <v>2624</v>
      </c>
      <c r="C936" s="1" t="s">
        <v>50</v>
      </c>
      <c r="D936" s="1" t="s">
        <v>3695</v>
      </c>
      <c r="E936" s="1" t="s">
        <v>3696</v>
      </c>
      <c r="F936" s="22" t="s">
        <v>6085</v>
      </c>
      <c r="G936" s="1" t="s">
        <v>5</v>
      </c>
      <c r="H936" s="1" t="s">
        <v>24</v>
      </c>
      <c r="I936" s="1" t="s">
        <v>26</v>
      </c>
      <c r="J936" s="1" t="s">
        <v>9</v>
      </c>
      <c r="K936" s="1" t="s">
        <v>16</v>
      </c>
      <c r="L936" s="1" t="s">
        <v>16</v>
      </c>
      <c r="M936" s="1" t="s">
        <v>78</v>
      </c>
      <c r="O936" s="1" t="s">
        <v>6037</v>
      </c>
      <c r="P936" s="1" t="s">
        <v>162</v>
      </c>
      <c r="Q936" s="1" t="s">
        <v>6013</v>
      </c>
      <c r="R936" s="1" t="s">
        <v>5185</v>
      </c>
      <c r="S936" s="8">
        <v>46027</v>
      </c>
      <c r="T936" s="1">
        <v>3</v>
      </c>
      <c r="U936" s="1" t="s">
        <v>5186</v>
      </c>
      <c r="V936" s="1" t="s">
        <v>5187</v>
      </c>
      <c r="W936" s="1" t="s">
        <v>5187</v>
      </c>
    </row>
    <row r="937" spans="1:23" x14ac:dyDescent="0.25">
      <c r="A937" s="1" t="s">
        <v>48</v>
      </c>
      <c r="B937" s="1" t="s">
        <v>2625</v>
      </c>
      <c r="C937" s="1" t="s">
        <v>50</v>
      </c>
      <c r="D937" s="1" t="s">
        <v>3697</v>
      </c>
      <c r="E937" s="1" t="s">
        <v>3698</v>
      </c>
      <c r="F937" s="22" t="s">
        <v>3</v>
      </c>
      <c r="G937" s="1" t="s">
        <v>6</v>
      </c>
      <c r="H937" s="1" t="s">
        <v>20</v>
      </c>
      <c r="I937" s="1" t="s">
        <v>25</v>
      </c>
      <c r="J937" s="1" t="s">
        <v>9</v>
      </c>
      <c r="K937" s="1" t="s">
        <v>14</v>
      </c>
      <c r="L937" s="1" t="s">
        <v>14</v>
      </c>
      <c r="M937" s="1" t="s">
        <v>78</v>
      </c>
      <c r="O937" s="1" t="s">
        <v>6037</v>
      </c>
      <c r="P937" s="1" t="s">
        <v>247</v>
      </c>
      <c r="Q937" s="1" t="s">
        <v>6</v>
      </c>
      <c r="R937" s="7" t="s">
        <v>5188</v>
      </c>
      <c r="S937" s="8">
        <v>46055</v>
      </c>
      <c r="T937" s="1">
        <v>2</v>
      </c>
      <c r="U937" s="1" t="s">
        <v>3800</v>
      </c>
      <c r="V937" s="1" t="s">
        <v>3800</v>
      </c>
      <c r="W937" s="1" t="s">
        <v>1388</v>
      </c>
    </row>
    <row r="938" spans="1:23" x14ac:dyDescent="0.25">
      <c r="A938" s="1" t="s">
        <v>48</v>
      </c>
      <c r="B938" s="1" t="s">
        <v>2626</v>
      </c>
      <c r="C938" s="1" t="s">
        <v>50</v>
      </c>
      <c r="D938" s="1" t="s">
        <v>3699</v>
      </c>
      <c r="E938" s="1" t="s">
        <v>3700</v>
      </c>
      <c r="F938" s="22" t="s">
        <v>6085</v>
      </c>
      <c r="G938" s="1" t="s">
        <v>6</v>
      </c>
      <c r="H938" s="1" t="s">
        <v>20</v>
      </c>
      <c r="I938" s="1" t="s">
        <v>25</v>
      </c>
      <c r="J938" s="1" t="s">
        <v>9</v>
      </c>
      <c r="K938" s="1" t="s">
        <v>12</v>
      </c>
      <c r="L938" s="1" t="s">
        <v>12</v>
      </c>
      <c r="M938" s="1" t="s">
        <v>78</v>
      </c>
      <c r="O938" s="1" t="s">
        <v>6037</v>
      </c>
      <c r="P938" s="1" t="s">
        <v>126</v>
      </c>
      <c r="Q938" s="1" t="s">
        <v>6014</v>
      </c>
      <c r="R938" s="1" t="s">
        <v>5189</v>
      </c>
      <c r="S938" s="8">
        <v>46041</v>
      </c>
      <c r="T938" s="1">
        <v>1</v>
      </c>
      <c r="U938" s="1" t="s">
        <v>5190</v>
      </c>
      <c r="V938" s="1" t="s">
        <v>1388</v>
      </c>
      <c r="W938" s="1" t="s">
        <v>1388</v>
      </c>
    </row>
    <row r="939" spans="1:23" x14ac:dyDescent="0.25">
      <c r="A939" s="1" t="s">
        <v>48</v>
      </c>
      <c r="B939" s="1" t="s">
        <v>2627</v>
      </c>
      <c r="C939" s="1" t="s">
        <v>50</v>
      </c>
      <c r="D939" s="1" t="s">
        <v>3701</v>
      </c>
      <c r="E939" s="1" t="s">
        <v>3702</v>
      </c>
      <c r="F939" s="22" t="s">
        <v>3</v>
      </c>
      <c r="G939" s="1" t="s">
        <v>6</v>
      </c>
      <c r="H939" s="1" t="s">
        <v>20</v>
      </c>
      <c r="I939" s="1" t="s">
        <v>25</v>
      </c>
      <c r="J939" s="1" t="s">
        <v>9</v>
      </c>
      <c r="K939" s="1" t="s">
        <v>14</v>
      </c>
      <c r="L939" s="1" t="s">
        <v>14</v>
      </c>
      <c r="M939" s="1" t="s">
        <v>78</v>
      </c>
      <c r="O939" s="1" t="s">
        <v>6037</v>
      </c>
      <c r="P939" s="1" t="s">
        <v>4553</v>
      </c>
      <c r="Q939" s="1" t="s">
        <v>6015</v>
      </c>
      <c r="R939" s="7" t="s">
        <v>5191</v>
      </c>
      <c r="S939" s="8">
        <v>46055</v>
      </c>
      <c r="T939" s="1">
        <v>2</v>
      </c>
      <c r="U939" s="1" t="s">
        <v>201</v>
      </c>
      <c r="V939" s="1" t="s">
        <v>201</v>
      </c>
      <c r="W939" s="1" t="s">
        <v>1388</v>
      </c>
    </row>
    <row r="940" spans="1:23" x14ac:dyDescent="0.25">
      <c r="A940" s="1" t="s">
        <v>48</v>
      </c>
      <c r="B940" s="1" t="s">
        <v>2628</v>
      </c>
      <c r="C940" s="1" t="s">
        <v>50</v>
      </c>
      <c r="D940" s="1" t="s">
        <v>3703</v>
      </c>
      <c r="E940" s="1" t="s">
        <v>3704</v>
      </c>
      <c r="F940" s="22" t="s">
        <v>6085</v>
      </c>
      <c r="G940" s="1" t="s">
        <v>5</v>
      </c>
      <c r="H940" s="1" t="s">
        <v>20</v>
      </c>
      <c r="I940" s="1" t="s">
        <v>26</v>
      </c>
      <c r="J940" s="1" t="s">
        <v>9</v>
      </c>
      <c r="K940" s="1" t="s">
        <v>10</v>
      </c>
      <c r="L940" s="1" t="s">
        <v>10</v>
      </c>
      <c r="M940" s="1" t="s">
        <v>78</v>
      </c>
      <c r="O940" s="1" t="s">
        <v>6037</v>
      </c>
      <c r="P940" s="1" t="s">
        <v>247</v>
      </c>
      <c r="Q940" s="19" t="s">
        <v>5714</v>
      </c>
      <c r="R940" s="1" t="s">
        <v>5192</v>
      </c>
      <c r="S940" s="8">
        <v>46023</v>
      </c>
      <c r="T940" s="1">
        <v>3</v>
      </c>
      <c r="U940" s="1" t="s">
        <v>5193</v>
      </c>
      <c r="V940" s="1" t="s">
        <v>5194</v>
      </c>
      <c r="W940" s="1" t="s">
        <v>5195</v>
      </c>
    </row>
    <row r="941" spans="1:23" x14ac:dyDescent="0.25">
      <c r="A941" s="1" t="s">
        <v>48</v>
      </c>
      <c r="B941" s="1" t="s">
        <v>2629</v>
      </c>
      <c r="C941" s="1" t="s">
        <v>50</v>
      </c>
      <c r="D941" s="1" t="s">
        <v>3705</v>
      </c>
      <c r="E941" s="1" t="s">
        <v>3706</v>
      </c>
      <c r="F941" s="22" t="s">
        <v>3</v>
      </c>
      <c r="G941" s="1" t="s">
        <v>5</v>
      </c>
      <c r="H941" s="1" t="s">
        <v>22</v>
      </c>
      <c r="I941" s="1" t="s">
        <v>26</v>
      </c>
      <c r="J941" s="1" t="s">
        <v>9</v>
      </c>
      <c r="K941" s="1" t="s">
        <v>12</v>
      </c>
      <c r="L941" s="1" t="s">
        <v>12</v>
      </c>
      <c r="M941" s="1" t="s">
        <v>78</v>
      </c>
      <c r="O941" s="1" t="s">
        <v>6037</v>
      </c>
      <c r="P941" s="1" t="s">
        <v>3822</v>
      </c>
      <c r="Q941" s="1" t="s">
        <v>6016</v>
      </c>
      <c r="R941" s="7" t="s">
        <v>5196</v>
      </c>
      <c r="S941" s="8">
        <v>46076</v>
      </c>
      <c r="T941" s="1">
        <v>3</v>
      </c>
      <c r="U941" s="1" t="s">
        <v>5197</v>
      </c>
      <c r="V941" s="1" t="s">
        <v>5197</v>
      </c>
      <c r="W941" s="1" t="s">
        <v>5197</v>
      </c>
    </row>
    <row r="942" spans="1:23" x14ac:dyDescent="0.25">
      <c r="A942" s="1" t="s">
        <v>48</v>
      </c>
      <c r="B942" s="1" t="s">
        <v>2630</v>
      </c>
      <c r="C942" s="1" t="s">
        <v>50</v>
      </c>
      <c r="D942" s="1" t="s">
        <v>3707</v>
      </c>
      <c r="E942" s="1" t="s">
        <v>3708</v>
      </c>
      <c r="F942" s="22" t="s">
        <v>6085</v>
      </c>
      <c r="G942" s="1" t="s">
        <v>5</v>
      </c>
      <c r="H942" s="1" t="s">
        <v>21</v>
      </c>
      <c r="I942" s="1" t="s">
        <v>25</v>
      </c>
      <c r="J942" s="1" t="s">
        <v>9</v>
      </c>
      <c r="K942" s="1" t="s">
        <v>13</v>
      </c>
      <c r="L942" s="1" t="s">
        <v>13</v>
      </c>
      <c r="M942" s="1" t="s">
        <v>78</v>
      </c>
      <c r="O942" s="1" t="s">
        <v>6037</v>
      </c>
      <c r="P942" s="1" t="s">
        <v>247</v>
      </c>
      <c r="Q942" s="1" t="s">
        <v>6017</v>
      </c>
      <c r="R942" s="1" t="s">
        <v>5198</v>
      </c>
      <c r="S942" s="8">
        <v>46027</v>
      </c>
      <c r="T942" s="1">
        <v>3</v>
      </c>
      <c r="U942" s="1" t="s">
        <v>3913</v>
      </c>
      <c r="V942" s="1" t="s">
        <v>3913</v>
      </c>
      <c r="W942" s="1" t="s">
        <v>3913</v>
      </c>
    </row>
    <row r="943" spans="1:23" x14ac:dyDescent="0.25">
      <c r="A943" s="1" t="s">
        <v>48</v>
      </c>
      <c r="B943" s="1" t="s">
        <v>2631</v>
      </c>
      <c r="C943" s="1" t="s">
        <v>50</v>
      </c>
      <c r="D943" s="1" t="s">
        <v>3709</v>
      </c>
      <c r="E943" s="1" t="s">
        <v>3710</v>
      </c>
      <c r="F943" s="22" t="s">
        <v>6085</v>
      </c>
      <c r="G943" s="1" t="s">
        <v>6</v>
      </c>
      <c r="H943" s="1" t="s">
        <v>20</v>
      </c>
      <c r="I943" s="1" t="s">
        <v>25</v>
      </c>
      <c r="J943" s="1" t="s">
        <v>9</v>
      </c>
      <c r="K943" s="1" t="s">
        <v>13</v>
      </c>
      <c r="L943" s="1" t="s">
        <v>13</v>
      </c>
      <c r="M943" s="1" t="s">
        <v>78</v>
      </c>
      <c r="O943" s="1" t="s">
        <v>6037</v>
      </c>
      <c r="P943" s="1" t="s">
        <v>126</v>
      </c>
      <c r="Q943" s="1" t="s">
        <v>6018</v>
      </c>
      <c r="R943" s="1" t="s">
        <v>5148</v>
      </c>
      <c r="S943" s="8">
        <v>46027</v>
      </c>
      <c r="T943" s="1">
        <v>2</v>
      </c>
      <c r="U943" s="1" t="s">
        <v>5199</v>
      </c>
      <c r="V943" s="1" t="s">
        <v>5200</v>
      </c>
      <c r="W943" s="1" t="s">
        <v>1388</v>
      </c>
    </row>
    <row r="944" spans="1:23" x14ac:dyDescent="0.25">
      <c r="A944" s="1" t="s">
        <v>48</v>
      </c>
      <c r="B944" s="1" t="s">
        <v>2632</v>
      </c>
      <c r="C944" s="1" t="s">
        <v>50</v>
      </c>
      <c r="D944" s="1" t="s">
        <v>3711</v>
      </c>
      <c r="E944" s="1" t="s">
        <v>3712</v>
      </c>
      <c r="F944" s="22" t="s">
        <v>6085</v>
      </c>
      <c r="G944" s="1" t="s">
        <v>6</v>
      </c>
      <c r="H944" s="1" t="s">
        <v>20</v>
      </c>
      <c r="I944" s="1" t="s">
        <v>26</v>
      </c>
      <c r="J944" s="1" t="s">
        <v>9</v>
      </c>
      <c r="K944" s="1" t="s">
        <v>14</v>
      </c>
      <c r="L944" s="1" t="s">
        <v>14</v>
      </c>
      <c r="M944" s="1" t="s">
        <v>78</v>
      </c>
      <c r="O944" s="1" t="s">
        <v>6037</v>
      </c>
      <c r="P944" s="1" t="s">
        <v>66</v>
      </c>
      <c r="Q944" s="1" t="s">
        <v>6</v>
      </c>
      <c r="R944" s="1" t="s">
        <v>5201</v>
      </c>
      <c r="S944" s="8">
        <v>46063</v>
      </c>
      <c r="T944" s="1">
        <v>2</v>
      </c>
      <c r="U944" s="1" t="s">
        <v>5202</v>
      </c>
      <c r="V944" s="1" t="s">
        <v>5203</v>
      </c>
      <c r="W944" s="1" t="s">
        <v>1388</v>
      </c>
    </row>
    <row r="945" spans="1:23" x14ac:dyDescent="0.25">
      <c r="A945" s="1" t="s">
        <v>48</v>
      </c>
      <c r="B945" s="1" t="s">
        <v>2633</v>
      </c>
      <c r="C945" s="1" t="s">
        <v>50</v>
      </c>
      <c r="D945" s="1" t="s">
        <v>3713</v>
      </c>
      <c r="E945" s="1" t="s">
        <v>3714</v>
      </c>
      <c r="F945" s="22" t="s">
        <v>6085</v>
      </c>
      <c r="G945" s="1" t="s">
        <v>5</v>
      </c>
      <c r="H945" s="1" t="s">
        <v>17</v>
      </c>
      <c r="I945" s="1" t="s">
        <v>26</v>
      </c>
      <c r="J945" s="1" t="s">
        <v>9</v>
      </c>
      <c r="K945" s="1" t="s">
        <v>13</v>
      </c>
      <c r="L945" s="1" t="s">
        <v>13</v>
      </c>
      <c r="M945" s="1" t="s">
        <v>78</v>
      </c>
      <c r="O945" s="1" t="s">
        <v>6037</v>
      </c>
      <c r="P945" s="1" t="s">
        <v>1456</v>
      </c>
      <c r="Q945" s="1" t="s">
        <v>5887</v>
      </c>
      <c r="R945" s="1" t="s">
        <v>5204</v>
      </c>
      <c r="S945" s="8">
        <v>46034</v>
      </c>
      <c r="T945" s="1">
        <v>3</v>
      </c>
      <c r="U945" s="1" t="s">
        <v>3975</v>
      </c>
      <c r="V945" s="1" t="s">
        <v>5205</v>
      </c>
      <c r="W945" s="1" t="s">
        <v>5206</v>
      </c>
    </row>
    <row r="946" spans="1:23" x14ac:dyDescent="0.25">
      <c r="A946" s="1" t="s">
        <v>48</v>
      </c>
      <c r="B946" s="1" t="s">
        <v>2634</v>
      </c>
      <c r="C946" s="1" t="s">
        <v>50</v>
      </c>
      <c r="D946" s="1" t="s">
        <v>3715</v>
      </c>
      <c r="E946" s="1" t="s">
        <v>3716</v>
      </c>
      <c r="F946" s="22" t="s">
        <v>6085</v>
      </c>
      <c r="G946" s="1" t="s">
        <v>6</v>
      </c>
      <c r="H946" s="1" t="s">
        <v>20</v>
      </c>
      <c r="I946" s="1" t="s">
        <v>25</v>
      </c>
      <c r="J946" s="1" t="s">
        <v>9</v>
      </c>
      <c r="K946" s="1" t="s">
        <v>14</v>
      </c>
      <c r="L946" s="1" t="s">
        <v>14</v>
      </c>
      <c r="M946" s="1" t="s">
        <v>78</v>
      </c>
      <c r="O946" s="1" t="s">
        <v>6037</v>
      </c>
      <c r="P946" s="1" t="s">
        <v>1456</v>
      </c>
      <c r="Q946" s="1" t="s">
        <v>5354</v>
      </c>
      <c r="R946" s="1" t="s">
        <v>5207</v>
      </c>
      <c r="S946" s="8">
        <v>46055</v>
      </c>
      <c r="T946" s="1">
        <v>2</v>
      </c>
      <c r="U946" s="1" t="s">
        <v>5208</v>
      </c>
      <c r="V946" s="1" t="s">
        <v>5208</v>
      </c>
      <c r="W946" s="1" t="s">
        <v>1388</v>
      </c>
    </row>
    <row r="947" spans="1:23" x14ac:dyDescent="0.25">
      <c r="A947" s="1" t="s">
        <v>48</v>
      </c>
      <c r="B947" s="1" t="s">
        <v>2635</v>
      </c>
      <c r="C947" s="1" t="s">
        <v>50</v>
      </c>
      <c r="D947" s="1" t="s">
        <v>3717</v>
      </c>
      <c r="E947" s="1" t="s">
        <v>3718</v>
      </c>
      <c r="F947" s="22" t="s">
        <v>6085</v>
      </c>
      <c r="G947" s="1" t="s">
        <v>6</v>
      </c>
      <c r="H947" s="1" t="s">
        <v>24</v>
      </c>
      <c r="I947" s="1" t="s">
        <v>26</v>
      </c>
      <c r="J947" s="1" t="s">
        <v>9</v>
      </c>
      <c r="K947" s="1" t="s">
        <v>16</v>
      </c>
      <c r="L947" s="1" t="s">
        <v>16</v>
      </c>
      <c r="M947" s="1" t="s">
        <v>78</v>
      </c>
      <c r="O947" s="1" t="s">
        <v>6037</v>
      </c>
      <c r="P947" s="1" t="s">
        <v>60</v>
      </c>
      <c r="Q947" s="1" t="s">
        <v>5392</v>
      </c>
      <c r="R947" s="1" t="s">
        <v>1397</v>
      </c>
      <c r="S947" s="8">
        <v>46055</v>
      </c>
      <c r="T947" s="1">
        <v>2</v>
      </c>
      <c r="U947" s="1" t="s">
        <v>4793</v>
      </c>
      <c r="V947" s="1" t="s">
        <v>4793</v>
      </c>
      <c r="W947" s="1" t="s">
        <v>1388</v>
      </c>
    </row>
    <row r="948" spans="1:23" x14ac:dyDescent="0.25">
      <c r="A948" s="2" t="s">
        <v>48</v>
      </c>
      <c r="B948" s="1" t="s">
        <v>3928</v>
      </c>
      <c r="C948" s="1" t="s">
        <v>50</v>
      </c>
      <c r="D948" s="1" t="s">
        <v>3929</v>
      </c>
      <c r="E948" s="13" t="s">
        <v>5235</v>
      </c>
      <c r="F948" s="22" t="s">
        <v>5259</v>
      </c>
      <c r="G948" s="1" t="s">
        <v>6</v>
      </c>
      <c r="H948" s="1" t="s">
        <v>20</v>
      </c>
      <c r="I948" s="1" t="s">
        <v>25</v>
      </c>
      <c r="J948" s="1" t="s">
        <v>8</v>
      </c>
      <c r="K948" s="1" t="s">
        <v>12</v>
      </c>
      <c r="L948" s="1" t="s">
        <v>12</v>
      </c>
      <c r="M948" s="1" t="s">
        <v>5236</v>
      </c>
      <c r="N948" s="14" t="s">
        <v>1664</v>
      </c>
      <c r="O948" s="1" t="s">
        <v>6037</v>
      </c>
      <c r="P948" s="1" t="s">
        <v>5232</v>
      </c>
      <c r="Q948" s="1" t="s">
        <v>6019</v>
      </c>
      <c r="R948" s="1" t="s">
        <v>5233</v>
      </c>
      <c r="S948" s="1" t="s">
        <v>5234</v>
      </c>
      <c r="T948" s="1">
        <v>2</v>
      </c>
      <c r="U948" s="1">
        <v>0</v>
      </c>
      <c r="V948" s="1">
        <v>0</v>
      </c>
      <c r="W948" s="1">
        <v>0</v>
      </c>
    </row>
    <row r="949" spans="1:23" x14ac:dyDescent="0.25">
      <c r="A949" s="2" t="s">
        <v>48</v>
      </c>
      <c r="B949" s="1" t="s">
        <v>3930</v>
      </c>
      <c r="C949" s="1" t="s">
        <v>50</v>
      </c>
      <c r="D949" s="1" t="s">
        <v>3931</v>
      </c>
      <c r="F949" s="22" t="s">
        <v>5259</v>
      </c>
      <c r="G949" s="1" t="s">
        <v>6</v>
      </c>
      <c r="H949" s="2" t="s">
        <v>20</v>
      </c>
      <c r="I949" s="2" t="s">
        <v>25</v>
      </c>
      <c r="J949" s="2" t="s">
        <v>8</v>
      </c>
      <c r="K949" s="1" t="s">
        <v>11</v>
      </c>
      <c r="L949" s="1" t="s">
        <v>11</v>
      </c>
      <c r="M949" s="1" t="s">
        <v>5236</v>
      </c>
      <c r="N949" s="14" t="s">
        <v>1702</v>
      </c>
      <c r="O949" s="1" t="s">
        <v>6037</v>
      </c>
      <c r="P949" s="1" t="s">
        <v>991</v>
      </c>
      <c r="Q949" s="1" t="s">
        <v>6020</v>
      </c>
      <c r="R949" s="1" t="s">
        <v>5209</v>
      </c>
      <c r="S949" s="8">
        <v>45931</v>
      </c>
      <c r="T949" s="1">
        <v>2</v>
      </c>
      <c r="U949" s="1" t="s">
        <v>4993</v>
      </c>
      <c r="V949" s="1" t="s">
        <v>5210</v>
      </c>
      <c r="W949" s="1" t="s">
        <v>1388</v>
      </c>
    </row>
    <row r="950" spans="1:23" x14ac:dyDescent="0.25">
      <c r="A950" s="2" t="s">
        <v>48</v>
      </c>
      <c r="B950" s="1" t="s">
        <v>3932</v>
      </c>
      <c r="C950" s="1" t="s">
        <v>50</v>
      </c>
      <c r="D950" s="1" t="s">
        <v>3933</v>
      </c>
      <c r="F950" s="22" t="s">
        <v>6085</v>
      </c>
      <c r="G950" s="1" t="s">
        <v>5</v>
      </c>
      <c r="H950" s="2" t="s">
        <v>20</v>
      </c>
      <c r="I950" s="2" t="s">
        <v>25</v>
      </c>
      <c r="J950" s="2" t="s">
        <v>9</v>
      </c>
      <c r="K950" s="1" t="s">
        <v>19</v>
      </c>
      <c r="L950" s="1" t="s">
        <v>19</v>
      </c>
      <c r="M950" s="1" t="s">
        <v>5236</v>
      </c>
      <c r="O950" s="1" t="s">
        <v>6037</v>
      </c>
      <c r="P950" s="1" t="s">
        <v>60</v>
      </c>
      <c r="Q950" s="18" t="s">
        <v>5914</v>
      </c>
      <c r="R950" s="1" t="s">
        <v>5211</v>
      </c>
      <c r="S950" s="8">
        <v>46041</v>
      </c>
      <c r="T950" s="1">
        <v>3</v>
      </c>
      <c r="U950" s="1" t="s">
        <v>5212</v>
      </c>
      <c r="V950" s="1" t="s">
        <v>5213</v>
      </c>
      <c r="W950" s="1" t="s">
        <v>5214</v>
      </c>
    </row>
    <row r="951" spans="1:23" x14ac:dyDescent="0.25">
      <c r="A951" s="2" t="s">
        <v>48</v>
      </c>
      <c r="B951" s="1" t="s">
        <v>3934</v>
      </c>
      <c r="C951" s="1" t="s">
        <v>50</v>
      </c>
      <c r="D951" s="1" t="s">
        <v>3935</v>
      </c>
      <c r="F951" s="22" t="s">
        <v>6085</v>
      </c>
      <c r="G951" s="1" t="s">
        <v>5</v>
      </c>
      <c r="H951" s="1" t="s">
        <v>20</v>
      </c>
      <c r="I951" s="1" t="s">
        <v>25</v>
      </c>
      <c r="J951" s="1" t="s">
        <v>9</v>
      </c>
      <c r="K951" s="1" t="s">
        <v>18</v>
      </c>
      <c r="L951" s="1" t="s">
        <v>18</v>
      </c>
      <c r="M951" s="1" t="s">
        <v>5236</v>
      </c>
      <c r="O951" s="2" t="s">
        <v>6235</v>
      </c>
      <c r="P951" s="1" t="s">
        <v>107</v>
      </c>
      <c r="Q951" s="1" t="s">
        <v>6021</v>
      </c>
      <c r="R951" s="18" t="s">
        <v>5215</v>
      </c>
      <c r="S951" s="8">
        <v>46062</v>
      </c>
      <c r="T951" s="1">
        <v>3</v>
      </c>
      <c r="U951" s="1" t="s">
        <v>5216</v>
      </c>
      <c r="V951" s="1" t="s">
        <v>5217</v>
      </c>
      <c r="W951" s="1" t="s">
        <v>5218</v>
      </c>
    </row>
    <row r="952" spans="1:23" x14ac:dyDescent="0.25">
      <c r="A952" s="2" t="s">
        <v>48</v>
      </c>
      <c r="B952" s="1" t="s">
        <v>3936</v>
      </c>
      <c r="C952" s="1" t="s">
        <v>50</v>
      </c>
      <c r="D952" s="1" t="s">
        <v>3937</v>
      </c>
      <c r="F952" s="22" t="s">
        <v>6085</v>
      </c>
      <c r="G952" s="1" t="s">
        <v>1383</v>
      </c>
      <c r="H952" s="1" t="s">
        <v>20</v>
      </c>
      <c r="I952" s="1" t="s">
        <v>26</v>
      </c>
      <c r="J952" s="1" t="s">
        <v>8</v>
      </c>
      <c r="K952" s="1" t="s">
        <v>10</v>
      </c>
      <c r="L952" s="1" t="s">
        <v>12</v>
      </c>
      <c r="M952" s="1" t="s">
        <v>5236</v>
      </c>
      <c r="O952" s="2" t="s">
        <v>6235</v>
      </c>
      <c r="P952" s="1" t="s">
        <v>5219</v>
      </c>
      <c r="Q952" s="19" t="s">
        <v>1383</v>
      </c>
      <c r="R952" s="1" t="s">
        <v>5220</v>
      </c>
      <c r="S952" s="8">
        <v>45691</v>
      </c>
      <c r="T952" s="1">
        <v>1</v>
      </c>
      <c r="U952" s="1" t="s">
        <v>1686</v>
      </c>
      <c r="V952" s="1" t="s">
        <v>1388</v>
      </c>
      <c r="W952" s="1" t="s">
        <v>1388</v>
      </c>
    </row>
    <row r="953" spans="1:23" x14ac:dyDescent="0.25">
      <c r="A953" s="2" t="s">
        <v>48</v>
      </c>
      <c r="B953" s="1" t="s">
        <v>5221</v>
      </c>
      <c r="C953" s="2" t="s">
        <v>50</v>
      </c>
      <c r="D953" s="1" t="s">
        <v>5222</v>
      </c>
      <c r="F953" s="22" t="s">
        <v>6085</v>
      </c>
      <c r="G953" s="1" t="s">
        <v>7</v>
      </c>
      <c r="H953" s="1" t="s">
        <v>20</v>
      </c>
      <c r="I953" s="1" t="s">
        <v>26</v>
      </c>
      <c r="J953" s="1" t="s">
        <v>9</v>
      </c>
      <c r="K953" s="1" t="s">
        <v>14</v>
      </c>
      <c r="L953" s="1" t="s">
        <v>14</v>
      </c>
      <c r="M953" s="1" t="s">
        <v>5236</v>
      </c>
      <c r="O953" s="2" t="s">
        <v>6235</v>
      </c>
      <c r="P953" s="1" t="s">
        <v>247</v>
      </c>
      <c r="Q953" s="1" t="s">
        <v>6022</v>
      </c>
      <c r="R953" s="1" t="s">
        <v>5223</v>
      </c>
      <c r="S953" s="8">
        <v>45992</v>
      </c>
      <c r="T953" s="1">
        <v>2</v>
      </c>
      <c r="U953" s="1">
        <v>500000</v>
      </c>
      <c r="V953" s="1">
        <v>500000</v>
      </c>
    </row>
    <row r="960" spans="1:23" x14ac:dyDescent="0.25">
      <c r="Q960" s="1" t="s">
        <v>6029</v>
      </c>
      <c r="R960" s="1">
        <v>14</v>
      </c>
    </row>
    <row r="961" spans="17:18" x14ac:dyDescent="0.25">
      <c r="Q961" s="1" t="s">
        <v>4621</v>
      </c>
      <c r="R961" s="1">
        <v>33</v>
      </c>
    </row>
    <row r="962" spans="17:18" x14ac:dyDescent="0.25">
      <c r="Q962" s="1" t="s">
        <v>6035</v>
      </c>
      <c r="R962" s="1">
        <v>8</v>
      </c>
    </row>
    <row r="963" spans="17:18" x14ac:dyDescent="0.25">
      <c r="Q963" s="1" t="s">
        <v>6030</v>
      </c>
      <c r="R963" s="1">
        <v>11</v>
      </c>
    </row>
  </sheetData>
  <mergeCells count="3">
    <mergeCell ref="B1:K1"/>
    <mergeCell ref="M1:O1"/>
    <mergeCell ref="P1:W1"/>
  </mergeCells>
  <phoneticPr fontId="4" type="noConversion"/>
  <hyperlinks>
    <hyperlink ref="E358" r:id="rId1" xr:uid="{1A16F91E-8D3F-435B-B844-0D544593B820}"/>
    <hyperlink ref="E376" r:id="rId2" xr:uid="{D3EA9533-D457-4BCF-BB99-7FD3B0812991}"/>
    <hyperlink ref="E375" r:id="rId3" xr:uid="{E829CDE5-DE61-4A19-9BD8-9ED2B672B119}"/>
    <hyperlink ref="E398" r:id="rId4" xr:uid="{B4C7D715-D109-47DB-B370-B01A9C436B51}"/>
    <hyperlink ref="E948" r:id="rId5" xr:uid="{48EFB4F1-AAD5-4748-8A3F-6AD9BC94726B}"/>
  </hyperlinks>
  <pageMargins left="0.75" right="0.75" top="1" bottom="1" header="0.5" footer="0.5"/>
  <pageSetup orientation="portrait"/>
  <headerFooter alignWithMargins="0"/>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632F2-2150-4141-9593-C88875DB677A}">
  <dimension ref="A1:O706"/>
  <sheetViews>
    <sheetView topLeftCell="E1" workbookViewId="0">
      <selection activeCell="H27" sqref="H27"/>
    </sheetView>
  </sheetViews>
  <sheetFormatPr defaultRowHeight="13.2" x14ac:dyDescent="0.25"/>
  <cols>
    <col min="1" max="1" width="15" bestFit="1" customWidth="1"/>
    <col min="2" max="2" width="14.109375" style="24" bestFit="1" customWidth="1"/>
    <col min="3" max="3" width="14.109375" style="16" bestFit="1" customWidth="1"/>
    <col min="4" max="4" width="14.109375" style="24" bestFit="1" customWidth="1"/>
    <col min="5" max="5" width="14.109375" bestFit="1" customWidth="1"/>
    <col min="6" max="6" width="18.21875" bestFit="1" customWidth="1"/>
    <col min="7" max="9" width="14.109375" bestFit="1" customWidth="1"/>
    <col min="11" max="11" width="15" bestFit="1" customWidth="1"/>
    <col min="12" max="12" width="21.44140625" bestFit="1" customWidth="1"/>
    <col min="13" max="15" width="19.88671875" bestFit="1" customWidth="1"/>
  </cols>
  <sheetData>
    <row r="1" spans="1:15" x14ac:dyDescent="0.25">
      <c r="A1" s="4" t="s">
        <v>6217</v>
      </c>
      <c r="B1" t="s">
        <v>6221</v>
      </c>
      <c r="F1" s="4" t="s">
        <v>6222</v>
      </c>
      <c r="G1" t="s">
        <v>6221</v>
      </c>
      <c r="H1" s="24"/>
      <c r="I1" s="24"/>
      <c r="K1" s="4" t="s">
        <v>6227</v>
      </c>
      <c r="L1" t="s">
        <v>6221</v>
      </c>
      <c r="M1" s="24"/>
      <c r="N1" s="24"/>
    </row>
    <row r="2" spans="1:15" x14ac:dyDescent="0.25">
      <c r="G2" s="24"/>
      <c r="H2" s="24"/>
      <c r="I2" s="24"/>
      <c r="L2" s="24"/>
      <c r="M2" s="24"/>
      <c r="N2" s="24"/>
    </row>
    <row r="3" spans="1:15" x14ac:dyDescent="0.25">
      <c r="A3" s="4" t="s">
        <v>0</v>
      </c>
      <c r="B3" t="s">
        <v>6218</v>
      </c>
      <c r="C3" t="s">
        <v>6219</v>
      </c>
      <c r="D3" t="s">
        <v>6220</v>
      </c>
      <c r="F3" s="4" t="s">
        <v>0</v>
      </c>
      <c r="G3" t="s">
        <v>6218</v>
      </c>
      <c r="H3" t="s">
        <v>6219</v>
      </c>
      <c r="I3" t="s">
        <v>6220</v>
      </c>
      <c r="K3" s="4" t="s">
        <v>0</v>
      </c>
      <c r="L3" t="s">
        <v>1</v>
      </c>
      <c r="M3" t="s">
        <v>6228</v>
      </c>
      <c r="N3" t="s">
        <v>6229</v>
      </c>
      <c r="O3" t="s">
        <v>6230</v>
      </c>
    </row>
    <row r="4" spans="1:15" x14ac:dyDescent="0.25">
      <c r="A4" s="5" t="s">
        <v>5</v>
      </c>
      <c r="B4" s="36">
        <v>29285940.240600001</v>
      </c>
      <c r="C4" s="36">
        <v>28800608.610354699</v>
      </c>
      <c r="D4" s="36">
        <v>22871482.654211815</v>
      </c>
      <c r="F4" s="5" t="s">
        <v>5</v>
      </c>
      <c r="G4" s="36">
        <v>22267890.520600006</v>
      </c>
      <c r="H4" s="36">
        <v>22880906.530354701</v>
      </c>
      <c r="I4" s="36">
        <v>18493192.834211815</v>
      </c>
      <c r="K4" s="5" t="s">
        <v>5</v>
      </c>
      <c r="L4">
        <v>20</v>
      </c>
      <c r="M4" s="36">
        <v>4404000</v>
      </c>
      <c r="N4" s="36">
        <v>4558000</v>
      </c>
      <c r="O4" s="36">
        <v>2876000</v>
      </c>
    </row>
    <row r="5" spans="1:15" x14ac:dyDescent="0.25">
      <c r="A5" s="6" t="s">
        <v>8</v>
      </c>
      <c r="B5" s="36">
        <v>4560590.2206000006</v>
      </c>
      <c r="C5" s="36">
        <v>4131069.5203546998</v>
      </c>
      <c r="D5" s="36">
        <v>4301319.4942118144</v>
      </c>
      <c r="F5" s="6" t="s">
        <v>8</v>
      </c>
      <c r="G5" s="36">
        <v>4560590.2206000006</v>
      </c>
      <c r="H5" s="36">
        <v>4131069.5203546998</v>
      </c>
      <c r="I5" s="36">
        <v>4301319.4942118144</v>
      </c>
      <c r="K5" s="6" t="s">
        <v>8</v>
      </c>
      <c r="L5">
        <v>1</v>
      </c>
      <c r="M5" s="36">
        <v>750000</v>
      </c>
      <c r="N5" s="36">
        <v>750000</v>
      </c>
      <c r="O5" s="36">
        <v>750000</v>
      </c>
    </row>
    <row r="6" spans="1:15" x14ac:dyDescent="0.25">
      <c r="A6" s="6" t="s">
        <v>9</v>
      </c>
      <c r="B6" s="36">
        <v>24725350.02</v>
      </c>
      <c r="C6" s="36">
        <v>24669539.09</v>
      </c>
      <c r="D6" s="36">
        <v>18570163.16</v>
      </c>
      <c r="F6" s="6" t="s">
        <v>9</v>
      </c>
      <c r="G6" s="36">
        <v>17707300.300000004</v>
      </c>
      <c r="H6" s="36">
        <v>18749837.010000002</v>
      </c>
      <c r="I6" s="36">
        <v>14191873.34</v>
      </c>
      <c r="K6" s="6" t="s">
        <v>9</v>
      </c>
      <c r="L6">
        <v>19</v>
      </c>
      <c r="M6" s="36">
        <v>3654000</v>
      </c>
      <c r="N6" s="36">
        <v>3808000</v>
      </c>
      <c r="O6" s="36">
        <v>2126000</v>
      </c>
    </row>
    <row r="7" spans="1:15" x14ac:dyDescent="0.25">
      <c r="A7" s="5" t="s">
        <v>6</v>
      </c>
      <c r="B7" s="36">
        <v>20851447.370000001</v>
      </c>
      <c r="C7" s="36">
        <v>11365537.539999999</v>
      </c>
      <c r="D7" s="36">
        <v>0</v>
      </c>
      <c r="F7" s="5" t="s">
        <v>6</v>
      </c>
      <c r="G7" s="36">
        <v>14946754.609999999</v>
      </c>
      <c r="H7" s="36">
        <v>7462345.04</v>
      </c>
      <c r="I7" s="36">
        <v>0</v>
      </c>
      <c r="K7" s="5" t="s">
        <v>6</v>
      </c>
      <c r="L7">
        <v>27</v>
      </c>
      <c r="M7" s="36">
        <v>5629000</v>
      </c>
      <c r="N7" s="36">
        <v>2283000</v>
      </c>
      <c r="O7" s="36">
        <v>0</v>
      </c>
    </row>
    <row r="8" spans="1:15" x14ac:dyDescent="0.25">
      <c r="A8" s="6" t="s">
        <v>8</v>
      </c>
      <c r="B8" s="36">
        <v>2517811.12</v>
      </c>
      <c r="C8" s="36">
        <v>1205504.8700000001</v>
      </c>
      <c r="D8" s="36">
        <v>0</v>
      </c>
      <c r="F8" s="6" t="s">
        <v>8</v>
      </c>
      <c r="G8" s="36">
        <v>2059398.62</v>
      </c>
      <c r="H8" s="36">
        <v>747092.37</v>
      </c>
      <c r="I8" s="36">
        <v>0</v>
      </c>
      <c r="K8" s="6" t="s">
        <v>8</v>
      </c>
      <c r="L8">
        <v>2</v>
      </c>
      <c r="M8" s="36">
        <v>1498000</v>
      </c>
      <c r="N8" s="36">
        <v>748000</v>
      </c>
      <c r="O8" s="36">
        <v>0</v>
      </c>
    </row>
    <row r="9" spans="1:15" x14ac:dyDescent="0.25">
      <c r="A9" s="6" t="s">
        <v>9</v>
      </c>
      <c r="B9" s="36">
        <v>18333636.25</v>
      </c>
      <c r="C9" s="36">
        <v>10160032.67</v>
      </c>
      <c r="D9" s="36">
        <v>0</v>
      </c>
      <c r="F9" s="6" t="s">
        <v>9</v>
      </c>
      <c r="G9" s="36">
        <v>12887355.989999998</v>
      </c>
      <c r="H9" s="36">
        <v>6715252.6699999999</v>
      </c>
      <c r="I9" s="36">
        <v>0</v>
      </c>
      <c r="K9" s="6" t="s">
        <v>9</v>
      </c>
      <c r="L9">
        <v>25</v>
      </c>
      <c r="M9" s="36">
        <v>4131000</v>
      </c>
      <c r="N9" s="36">
        <v>1535000</v>
      </c>
      <c r="O9" s="36">
        <v>0</v>
      </c>
    </row>
    <row r="10" spans="1:15" x14ac:dyDescent="0.25">
      <c r="A10" s="5" t="s">
        <v>7</v>
      </c>
      <c r="B10" s="36">
        <v>15204566.15</v>
      </c>
      <c r="C10" s="36">
        <v>12904965.699999999</v>
      </c>
      <c r="D10" s="36">
        <v>304600</v>
      </c>
      <c r="F10" s="5" t="s">
        <v>7</v>
      </c>
      <c r="G10" s="36">
        <v>9807519.75</v>
      </c>
      <c r="H10" s="36">
        <v>7606398.5</v>
      </c>
      <c r="I10" s="36">
        <v>275000</v>
      </c>
      <c r="K10" s="5" t="s">
        <v>7</v>
      </c>
      <c r="L10">
        <v>8</v>
      </c>
      <c r="M10" s="36">
        <v>2716000</v>
      </c>
      <c r="N10" s="36">
        <v>2676000</v>
      </c>
      <c r="O10" s="36">
        <v>0</v>
      </c>
    </row>
    <row r="11" spans="1:15" x14ac:dyDescent="0.25">
      <c r="A11" s="6" t="s">
        <v>8</v>
      </c>
      <c r="B11" s="36">
        <v>520039.5</v>
      </c>
      <c r="C11" s="36">
        <v>0</v>
      </c>
      <c r="D11" s="36">
        <v>0</v>
      </c>
      <c r="F11" s="6" t="s">
        <v>8</v>
      </c>
      <c r="G11" s="36">
        <v>520039.5</v>
      </c>
      <c r="H11" s="36">
        <v>0</v>
      </c>
      <c r="I11" s="36">
        <v>0</v>
      </c>
      <c r="K11" s="6" t="s">
        <v>9</v>
      </c>
      <c r="L11">
        <v>8</v>
      </c>
      <c r="M11" s="36">
        <v>2716000</v>
      </c>
      <c r="N11" s="36">
        <v>2676000</v>
      </c>
      <c r="O11" s="36">
        <v>0</v>
      </c>
    </row>
    <row r="12" spans="1:15" x14ac:dyDescent="0.25">
      <c r="A12" s="6" t="s">
        <v>9</v>
      </c>
      <c r="B12" s="36">
        <v>14684526.65</v>
      </c>
      <c r="C12" s="36">
        <v>12904965.699999999</v>
      </c>
      <c r="D12" s="36">
        <v>304600</v>
      </c>
      <c r="F12" s="6" t="s">
        <v>9</v>
      </c>
      <c r="G12" s="36">
        <v>9287480.25</v>
      </c>
      <c r="H12" s="36">
        <v>7606398.5</v>
      </c>
      <c r="I12" s="36">
        <v>275000</v>
      </c>
      <c r="K12" s="5" t="s">
        <v>1383</v>
      </c>
      <c r="L12">
        <v>3</v>
      </c>
      <c r="M12" s="36">
        <v>1044000</v>
      </c>
      <c r="N12" s="36">
        <v>0</v>
      </c>
      <c r="O12" s="36">
        <v>0</v>
      </c>
    </row>
    <row r="13" spans="1:15" x14ac:dyDescent="0.25">
      <c r="A13" s="5" t="s">
        <v>1383</v>
      </c>
      <c r="B13" s="36">
        <v>4749731.8900000006</v>
      </c>
      <c r="C13" s="36">
        <v>0</v>
      </c>
      <c r="D13" s="36">
        <v>0</v>
      </c>
      <c r="F13" s="5" t="s">
        <v>1383</v>
      </c>
      <c r="G13" s="36">
        <v>2599365.14</v>
      </c>
      <c r="H13" s="36">
        <v>0</v>
      </c>
      <c r="I13" s="36">
        <v>0</v>
      </c>
      <c r="K13" s="6" t="s">
        <v>8</v>
      </c>
      <c r="L13">
        <v>3</v>
      </c>
      <c r="M13" s="36">
        <v>1044000</v>
      </c>
      <c r="N13" s="36">
        <v>0</v>
      </c>
      <c r="O13" s="36">
        <v>0</v>
      </c>
    </row>
    <row r="14" spans="1:15" x14ac:dyDescent="0.25">
      <c r="A14" s="6" t="s">
        <v>8</v>
      </c>
      <c r="B14" s="36">
        <v>3093075.49</v>
      </c>
      <c r="C14" s="36">
        <v>0</v>
      </c>
      <c r="D14" s="36">
        <v>0</v>
      </c>
      <c r="F14" s="6" t="s">
        <v>8</v>
      </c>
      <c r="G14" s="36">
        <v>2599365.14</v>
      </c>
      <c r="H14" s="36">
        <v>0</v>
      </c>
      <c r="I14" s="36">
        <v>0</v>
      </c>
      <c r="K14" s="5" t="s">
        <v>4</v>
      </c>
      <c r="L14">
        <v>58</v>
      </c>
      <c r="M14" s="36">
        <v>13793000</v>
      </c>
      <c r="N14" s="36">
        <v>9517000</v>
      </c>
      <c r="O14" s="36">
        <v>2876000</v>
      </c>
    </row>
    <row r="15" spans="1:15" x14ac:dyDescent="0.25">
      <c r="A15" s="6" t="s">
        <v>9</v>
      </c>
      <c r="B15" s="36">
        <v>1656656.4</v>
      </c>
      <c r="C15" s="36">
        <v>0</v>
      </c>
      <c r="D15" s="36">
        <v>0</v>
      </c>
      <c r="F15" s="5" t="s">
        <v>4</v>
      </c>
      <c r="G15" s="36">
        <v>49621530.020600006</v>
      </c>
      <c r="H15" s="36">
        <v>37949650.0703547</v>
      </c>
      <c r="I15" s="36">
        <v>18768192.834211815</v>
      </c>
    </row>
    <row r="16" spans="1:15" x14ac:dyDescent="0.25">
      <c r="A16" s="5" t="s">
        <v>4</v>
      </c>
      <c r="B16" s="36">
        <v>70091685.650600001</v>
      </c>
      <c r="C16" s="36">
        <v>53071111.850354701</v>
      </c>
      <c r="D16" s="36">
        <v>23176082.654211815</v>
      </c>
    </row>
    <row r="19" spans="1:15" x14ac:dyDescent="0.25">
      <c r="B19"/>
    </row>
    <row r="20" spans="1:15" x14ac:dyDescent="0.25">
      <c r="K20" s="4" t="s">
        <v>6227</v>
      </c>
      <c r="L20" t="s">
        <v>6221</v>
      </c>
      <c r="M20" s="24"/>
      <c r="N20" s="24"/>
    </row>
    <row r="21" spans="1:15" x14ac:dyDescent="0.25">
      <c r="A21" s="4" t="s">
        <v>0</v>
      </c>
      <c r="B21" t="s">
        <v>1</v>
      </c>
      <c r="D21"/>
      <c r="L21" s="24"/>
      <c r="M21" s="24"/>
      <c r="N21" s="24"/>
    </row>
    <row r="22" spans="1:15" x14ac:dyDescent="0.25">
      <c r="A22" s="5" t="s">
        <v>10</v>
      </c>
      <c r="B22">
        <v>65</v>
      </c>
      <c r="D22"/>
      <c r="K22" s="4" t="s">
        <v>0</v>
      </c>
      <c r="L22" t="s">
        <v>6231</v>
      </c>
      <c r="M22" t="s">
        <v>6228</v>
      </c>
      <c r="N22" t="s">
        <v>6229</v>
      </c>
      <c r="O22" t="s">
        <v>6230</v>
      </c>
    </row>
    <row r="23" spans="1:15" x14ac:dyDescent="0.25">
      <c r="A23" s="5" t="s">
        <v>11</v>
      </c>
      <c r="B23">
        <v>31</v>
      </c>
      <c r="C23" s="16" t="e">
        <f>GETPIVOTDATA("Application ID",$A$21,"Faculty","Applied Sciences","Final shortlist","Yes")/GETPIVOTDATA("Application ID",$A$21,"Faculty","Applied Sciences")</f>
        <v>#REF!</v>
      </c>
      <c r="D23"/>
      <c r="K23" s="5" t="s">
        <v>10</v>
      </c>
      <c r="L23">
        <v>8</v>
      </c>
      <c r="M23" s="36">
        <v>1782000</v>
      </c>
      <c r="N23" s="36">
        <v>705000</v>
      </c>
      <c r="O23" s="36">
        <v>147000</v>
      </c>
    </row>
    <row r="24" spans="1:15" x14ac:dyDescent="0.25">
      <c r="A24" s="5" t="s">
        <v>12</v>
      </c>
      <c r="B24">
        <v>33</v>
      </c>
      <c r="D24"/>
      <c r="K24" s="6" t="s">
        <v>5</v>
      </c>
      <c r="L24">
        <v>4</v>
      </c>
      <c r="M24" s="36">
        <v>526000</v>
      </c>
      <c r="N24" s="36">
        <v>540000</v>
      </c>
      <c r="O24" s="36">
        <v>147000</v>
      </c>
    </row>
    <row r="25" spans="1:15" x14ac:dyDescent="0.25">
      <c r="A25" s="5" t="s">
        <v>13</v>
      </c>
      <c r="B25">
        <v>189</v>
      </c>
      <c r="D25"/>
      <c r="K25" s="6" t="s">
        <v>6</v>
      </c>
      <c r="L25">
        <v>4</v>
      </c>
      <c r="M25" s="36">
        <v>1256000</v>
      </c>
      <c r="N25" s="36">
        <v>165000</v>
      </c>
      <c r="O25" s="36">
        <v>0</v>
      </c>
    </row>
    <row r="26" spans="1:15" x14ac:dyDescent="0.25">
      <c r="A26" s="5" t="s">
        <v>14</v>
      </c>
      <c r="B26">
        <v>134</v>
      </c>
      <c r="C26" s="16" t="e">
        <f>GETPIVOTDATA("Application ID",$A$21,"Faculty","Commerce &amp; Management","Final shortlist","Yes")/GETPIVOTDATA("Application ID",$A$21,"Faculty","Commerce &amp; Management")</f>
        <v>#REF!</v>
      </c>
      <c r="D26"/>
      <c r="K26" s="5" t="s">
        <v>11</v>
      </c>
      <c r="L26">
        <v>2</v>
      </c>
      <c r="M26" s="36">
        <v>335000</v>
      </c>
      <c r="N26" s="36">
        <v>0</v>
      </c>
      <c r="O26" s="36">
        <v>0</v>
      </c>
    </row>
    <row r="27" spans="1:15" x14ac:dyDescent="0.25">
      <c r="A27" s="5" t="s">
        <v>15</v>
      </c>
      <c r="B27">
        <v>17</v>
      </c>
      <c r="D27"/>
      <c r="K27" s="6" t="s">
        <v>6</v>
      </c>
      <c r="L27">
        <v>1</v>
      </c>
      <c r="M27" s="36">
        <v>123000</v>
      </c>
      <c r="N27" s="36">
        <v>0</v>
      </c>
      <c r="O27" s="36">
        <v>0</v>
      </c>
    </row>
    <row r="28" spans="1:15" x14ac:dyDescent="0.25">
      <c r="A28" s="5" t="s">
        <v>16</v>
      </c>
      <c r="B28">
        <v>129</v>
      </c>
      <c r="D28"/>
      <c r="K28" s="6" t="s">
        <v>1383</v>
      </c>
      <c r="L28">
        <v>1</v>
      </c>
      <c r="M28" s="36">
        <v>212000</v>
      </c>
      <c r="N28" s="36">
        <v>0</v>
      </c>
      <c r="O28" s="36">
        <v>0</v>
      </c>
    </row>
    <row r="29" spans="1:15" x14ac:dyDescent="0.25">
      <c r="A29" s="5" t="s">
        <v>18</v>
      </c>
      <c r="B29">
        <v>26</v>
      </c>
      <c r="D29"/>
      <c r="K29" s="5" t="s">
        <v>12</v>
      </c>
      <c r="L29">
        <v>4</v>
      </c>
      <c r="M29" s="36">
        <v>856000</v>
      </c>
      <c r="N29" s="36">
        <v>611000</v>
      </c>
      <c r="O29" s="36">
        <v>0</v>
      </c>
    </row>
    <row r="30" spans="1:15" x14ac:dyDescent="0.25">
      <c r="A30" s="5" t="s">
        <v>19</v>
      </c>
      <c r="B30">
        <v>45</v>
      </c>
      <c r="C30" s="16" t="e">
        <f>GETPIVOTDATA("Application ID",$A$21,"Faculty","Engineering &amp; the Built Environment","Final shortlist","Yes")/GETPIVOTDATA("Application ID",$A$21,"Faculty","Engineering &amp; the Built Environment")</f>
        <v>#REF!</v>
      </c>
      <c r="D30"/>
      <c r="K30" s="6" t="s">
        <v>5</v>
      </c>
      <c r="L30">
        <v>2</v>
      </c>
      <c r="M30" s="36">
        <v>525000</v>
      </c>
      <c r="N30" s="36">
        <v>525000</v>
      </c>
      <c r="O30" s="36">
        <v>0</v>
      </c>
    </row>
    <row r="31" spans="1:15" x14ac:dyDescent="0.25">
      <c r="A31" s="5" t="s">
        <v>4</v>
      </c>
      <c r="B31">
        <v>669</v>
      </c>
      <c r="D31"/>
      <c r="K31" s="6" t="s">
        <v>6</v>
      </c>
      <c r="L31">
        <v>2</v>
      </c>
      <c r="M31" s="36">
        <v>331000</v>
      </c>
      <c r="N31" s="36">
        <v>86000</v>
      </c>
      <c r="O31" s="36">
        <v>0</v>
      </c>
    </row>
    <row r="32" spans="1:15" x14ac:dyDescent="0.25">
      <c r="B32"/>
      <c r="D32"/>
      <c r="K32" s="5" t="s">
        <v>13</v>
      </c>
      <c r="L32">
        <v>16</v>
      </c>
      <c r="M32" s="36">
        <v>4301000</v>
      </c>
      <c r="N32" s="36">
        <v>2431000</v>
      </c>
      <c r="O32" s="36">
        <v>889000</v>
      </c>
    </row>
    <row r="33" spans="2:15" x14ac:dyDescent="0.25">
      <c r="B33"/>
      <c r="D33"/>
      <c r="K33" s="6" t="s">
        <v>5</v>
      </c>
      <c r="L33">
        <v>6</v>
      </c>
      <c r="M33" s="36">
        <v>966000</v>
      </c>
      <c r="N33" s="36">
        <v>1117000</v>
      </c>
      <c r="O33" s="36">
        <v>889000</v>
      </c>
    </row>
    <row r="34" spans="2:15" x14ac:dyDescent="0.25">
      <c r="B34"/>
      <c r="C34" s="16" t="e">
        <f>GETPIVOTDATA("Application ID",$A$21,"Faculty","Health Sciences","Final shortlist","Yes")/GETPIVOTDATA("Application ID",$A$21,"Faculty","Health Sciences")</f>
        <v>#REF!</v>
      </c>
      <c r="D34"/>
      <c r="K34" s="6" t="s">
        <v>6</v>
      </c>
      <c r="L34">
        <v>6</v>
      </c>
      <c r="M34" s="36">
        <v>1311000</v>
      </c>
      <c r="N34" s="36">
        <v>0</v>
      </c>
      <c r="O34" s="36">
        <v>0</v>
      </c>
    </row>
    <row r="35" spans="2:15" x14ac:dyDescent="0.25">
      <c r="B35"/>
      <c r="D35"/>
      <c r="K35" s="6" t="s">
        <v>7</v>
      </c>
      <c r="L35">
        <v>3</v>
      </c>
      <c r="M35" s="36">
        <v>1274000</v>
      </c>
      <c r="N35" s="36">
        <v>1314000</v>
      </c>
      <c r="O35" s="36">
        <v>0</v>
      </c>
    </row>
    <row r="36" spans="2:15" x14ac:dyDescent="0.25">
      <c r="B36"/>
      <c r="D36"/>
      <c r="K36" s="6" t="s">
        <v>1383</v>
      </c>
      <c r="L36">
        <v>1</v>
      </c>
      <c r="M36" s="36">
        <v>750000</v>
      </c>
      <c r="N36" s="36">
        <v>0</v>
      </c>
      <c r="O36" s="36">
        <v>0</v>
      </c>
    </row>
    <row r="37" spans="2:15" x14ac:dyDescent="0.25">
      <c r="B37"/>
      <c r="D37"/>
      <c r="K37" s="5" t="s">
        <v>14</v>
      </c>
      <c r="L37">
        <v>7</v>
      </c>
      <c r="M37" s="36">
        <v>1072000</v>
      </c>
      <c r="N37" s="36">
        <v>827000</v>
      </c>
      <c r="O37" s="36">
        <v>269000</v>
      </c>
    </row>
    <row r="38" spans="2:15" x14ac:dyDescent="0.25">
      <c r="B38"/>
      <c r="C38" s="16" t="e">
        <f>GETPIVOTDATA("Application ID",$A$21,"Faculty","Humanities","Final shortlist","Yes")/GETPIVOTDATA("Application ID",$A$21,"Faculty","Humanities")</f>
        <v>#REF!</v>
      </c>
      <c r="D38" s="16" t="e">
        <f>(GETPIVOTDATA("Application ID",$A$21,"Faculty","Humanities","Final shortlist","Yes")+GETPIVOTDATA("Application ID",$A$21,"Faculty","Social Sciences","Final shortlist","Yes"))/(GETPIVOTDATA("Application ID",$A$21,"Faculty","Social Sciences")+GETPIVOTDATA("Application ID",$A$21,"Faculty","Humanities"))</f>
        <v>#REF!</v>
      </c>
      <c r="K38" s="6" t="s">
        <v>5</v>
      </c>
      <c r="L38">
        <v>2</v>
      </c>
      <c r="M38" s="36">
        <v>430000</v>
      </c>
      <c r="N38" s="36">
        <v>492000</v>
      </c>
      <c r="O38" s="36">
        <v>269000</v>
      </c>
    </row>
    <row r="39" spans="2:15" x14ac:dyDescent="0.25">
      <c r="B39"/>
      <c r="D39"/>
      <c r="K39" s="6" t="s">
        <v>6</v>
      </c>
      <c r="L39">
        <v>5</v>
      </c>
      <c r="M39" s="36">
        <v>642000</v>
      </c>
      <c r="N39" s="36">
        <v>335000</v>
      </c>
      <c r="O39" s="36">
        <v>0</v>
      </c>
    </row>
    <row r="40" spans="2:15" x14ac:dyDescent="0.25">
      <c r="B40"/>
      <c r="D40"/>
      <c r="K40" s="5" t="s">
        <v>15</v>
      </c>
      <c r="L40">
        <v>2</v>
      </c>
      <c r="M40" s="36">
        <v>584000</v>
      </c>
      <c r="N40" s="36">
        <v>350000</v>
      </c>
      <c r="O40" s="36">
        <v>350000</v>
      </c>
    </row>
    <row r="41" spans="2:15" x14ac:dyDescent="0.25">
      <c r="B41"/>
      <c r="C41" s="16" t="e">
        <f>GETPIVOTDATA("Application ID",$A$21,"Faculty","Law","Final shortlist","Yes")/GETPIVOTDATA("Application ID",$A$21,"Faculty","Law")</f>
        <v>#REF!</v>
      </c>
      <c r="D41"/>
      <c r="K41" s="6" t="s">
        <v>5</v>
      </c>
      <c r="L41">
        <v>1</v>
      </c>
      <c r="M41" s="36">
        <v>350000</v>
      </c>
      <c r="N41" s="36">
        <v>350000</v>
      </c>
      <c r="O41" s="36">
        <v>350000</v>
      </c>
    </row>
    <row r="42" spans="2:15" x14ac:dyDescent="0.25">
      <c r="B42"/>
      <c r="D42"/>
      <c r="K42" s="6" t="s">
        <v>6</v>
      </c>
      <c r="L42">
        <v>1</v>
      </c>
      <c r="M42" s="36">
        <v>234000</v>
      </c>
      <c r="N42" s="36">
        <v>0</v>
      </c>
      <c r="O42" s="36">
        <v>0</v>
      </c>
    </row>
    <row r="43" spans="2:15" x14ac:dyDescent="0.25">
      <c r="B43"/>
      <c r="D43"/>
      <c r="K43" s="5" t="s">
        <v>16</v>
      </c>
      <c r="L43">
        <v>11</v>
      </c>
      <c r="M43" s="36">
        <v>2304000</v>
      </c>
      <c r="N43" s="36">
        <v>1925000</v>
      </c>
      <c r="O43" s="36">
        <v>171000</v>
      </c>
    </row>
    <row r="44" spans="2:15" x14ac:dyDescent="0.25">
      <c r="B44"/>
      <c r="D44"/>
      <c r="K44" s="6" t="s">
        <v>5</v>
      </c>
      <c r="L44">
        <v>2</v>
      </c>
      <c r="M44" s="36">
        <v>521000</v>
      </c>
      <c r="N44" s="36">
        <v>371000</v>
      </c>
      <c r="O44" s="36">
        <v>171000</v>
      </c>
    </row>
    <row r="45" spans="2:15" x14ac:dyDescent="0.25">
      <c r="B45"/>
      <c r="C45" s="16" t="e">
        <f>GETPIVOTDATA("Application ID",$A$21,"Faculty","Natural Sciences","Final shortlist","Yes")/GETPIVOTDATA("Application ID",$A$21,"Faculty","Natural Sciences")</f>
        <v>#REF!</v>
      </c>
      <c r="D45"/>
      <c r="K45" s="6" t="s">
        <v>6</v>
      </c>
      <c r="L45">
        <v>4</v>
      </c>
      <c r="M45" s="36">
        <v>569000</v>
      </c>
      <c r="N45" s="36">
        <v>502000</v>
      </c>
      <c r="O45" s="36">
        <v>0</v>
      </c>
    </row>
    <row r="46" spans="2:15" x14ac:dyDescent="0.25">
      <c r="B46"/>
      <c r="D46"/>
      <c r="K46" s="6" t="s">
        <v>7</v>
      </c>
      <c r="L46">
        <v>4</v>
      </c>
      <c r="M46" s="36">
        <v>1132000</v>
      </c>
      <c r="N46" s="36">
        <v>1052000</v>
      </c>
      <c r="O46" s="36">
        <v>0</v>
      </c>
    </row>
    <row r="47" spans="2:15" x14ac:dyDescent="0.25">
      <c r="B47"/>
      <c r="D47"/>
      <c r="K47" s="6" t="s">
        <v>1383</v>
      </c>
      <c r="L47">
        <v>1</v>
      </c>
      <c r="M47" s="36">
        <v>82000</v>
      </c>
      <c r="N47" s="36">
        <v>0</v>
      </c>
      <c r="O47" s="36">
        <v>0</v>
      </c>
    </row>
    <row r="48" spans="2:15" x14ac:dyDescent="0.25">
      <c r="B48"/>
      <c r="D48"/>
      <c r="K48" s="5" t="s">
        <v>18</v>
      </c>
      <c r="L48">
        <v>3</v>
      </c>
      <c r="M48" s="36">
        <v>923000</v>
      </c>
      <c r="N48" s="36">
        <v>955000</v>
      </c>
      <c r="O48" s="36">
        <v>0</v>
      </c>
    </row>
    <row r="49" spans="2:15" x14ac:dyDescent="0.25">
      <c r="B49"/>
      <c r="C49" s="16" t="e">
        <f>GETPIVOTDATA("Application ID",$A$21,"Faculty","Performing &amp; Creative Arts","Final shortlist","Yes")/GETPIVOTDATA("Application ID",$A$21,"Faculty","Performing &amp; Creative Arts")</f>
        <v>#REF!</v>
      </c>
      <c r="D49"/>
      <c r="K49" s="6" t="s">
        <v>6</v>
      </c>
      <c r="L49">
        <v>3</v>
      </c>
      <c r="M49" s="36">
        <v>923000</v>
      </c>
      <c r="N49" s="36">
        <v>955000</v>
      </c>
      <c r="O49" s="36">
        <v>0</v>
      </c>
    </row>
    <row r="50" spans="2:15" x14ac:dyDescent="0.25">
      <c r="B50"/>
      <c r="D50"/>
      <c r="K50" s="5" t="s">
        <v>19</v>
      </c>
      <c r="L50">
        <v>5</v>
      </c>
      <c r="M50" s="36">
        <v>1636000</v>
      </c>
      <c r="N50" s="36">
        <v>1713000</v>
      </c>
      <c r="O50" s="36">
        <v>1050000</v>
      </c>
    </row>
    <row r="51" spans="2:15" x14ac:dyDescent="0.25">
      <c r="B51"/>
      <c r="D51"/>
      <c r="K51" s="6" t="s">
        <v>5</v>
      </c>
      <c r="L51">
        <v>3</v>
      </c>
      <c r="M51" s="36">
        <v>1086000</v>
      </c>
      <c r="N51" s="36">
        <v>1163000</v>
      </c>
      <c r="O51" s="36">
        <v>1050000</v>
      </c>
    </row>
    <row r="52" spans="2:15" x14ac:dyDescent="0.25">
      <c r="B52"/>
      <c r="C52" s="16" t="e">
        <f>GETPIVOTDATA("Application ID",$A$21,"Faculty","Social Sciences","Final shortlist","Yes")/GETPIVOTDATA("Application ID",$A$21,"Faculty","Social Sciences")</f>
        <v>#REF!</v>
      </c>
      <c r="D52"/>
      <c r="K52" s="6" t="s">
        <v>6</v>
      </c>
      <c r="L52">
        <v>1</v>
      </c>
      <c r="M52" s="36">
        <v>240000</v>
      </c>
      <c r="N52" s="36">
        <v>240000</v>
      </c>
      <c r="O52" s="36">
        <v>0</v>
      </c>
    </row>
    <row r="53" spans="2:15" x14ac:dyDescent="0.25">
      <c r="B53"/>
      <c r="D53"/>
      <c r="K53" s="6" t="s">
        <v>7</v>
      </c>
      <c r="L53">
        <v>1</v>
      </c>
      <c r="M53" s="36">
        <v>310000</v>
      </c>
      <c r="N53" s="36">
        <v>310000</v>
      </c>
      <c r="O53" s="36">
        <v>0</v>
      </c>
    </row>
    <row r="54" spans="2:15" x14ac:dyDescent="0.25">
      <c r="B54"/>
      <c r="D54"/>
      <c r="K54" s="5" t="s">
        <v>4</v>
      </c>
      <c r="L54">
        <v>58</v>
      </c>
      <c r="M54" s="36">
        <v>13793000</v>
      </c>
      <c r="N54" s="36">
        <v>9517000</v>
      </c>
      <c r="O54" s="36">
        <v>2876000</v>
      </c>
    </row>
    <row r="55" spans="2:15" x14ac:dyDescent="0.25">
      <c r="B55"/>
      <c r="D55"/>
    </row>
    <row r="56" spans="2:15" x14ac:dyDescent="0.25">
      <c r="B56"/>
      <c r="D56"/>
    </row>
    <row r="57" spans="2:15" x14ac:dyDescent="0.25">
      <c r="B57"/>
      <c r="D57"/>
    </row>
    <row r="58" spans="2:15" x14ac:dyDescent="0.25">
      <c r="B58"/>
      <c r="D58"/>
    </row>
    <row r="59" spans="2:15" x14ac:dyDescent="0.25">
      <c r="B59"/>
      <c r="D59"/>
      <c r="K59" s="4" t="s">
        <v>6227</v>
      </c>
      <c r="L59" t="s">
        <v>6221</v>
      </c>
      <c r="M59" s="24"/>
      <c r="N59" s="24"/>
    </row>
    <row r="60" spans="2:15" x14ac:dyDescent="0.25">
      <c r="B60"/>
      <c r="C60" s="16">
        <f>56/669</f>
        <v>8.3707025411061287E-2</v>
      </c>
      <c r="D60"/>
      <c r="L60" s="24"/>
      <c r="M60" s="24"/>
      <c r="N60" s="24"/>
    </row>
    <row r="61" spans="2:15" x14ac:dyDescent="0.25">
      <c r="B61"/>
      <c r="D61"/>
      <c r="K61" s="4" t="s">
        <v>0</v>
      </c>
      <c r="L61" t="s">
        <v>6231</v>
      </c>
      <c r="M61" t="s">
        <v>6228</v>
      </c>
      <c r="N61" t="s">
        <v>6229</v>
      </c>
      <c r="O61" t="s">
        <v>6230</v>
      </c>
    </row>
    <row r="62" spans="2:15" x14ac:dyDescent="0.25">
      <c r="B62"/>
      <c r="D62"/>
      <c r="K62" s="5" t="s">
        <v>20</v>
      </c>
      <c r="L62">
        <v>31</v>
      </c>
      <c r="M62" s="36">
        <v>8372000</v>
      </c>
      <c r="N62" s="36">
        <v>5946000</v>
      </c>
      <c r="O62" s="36">
        <v>2019000</v>
      </c>
    </row>
    <row r="63" spans="2:15" x14ac:dyDescent="0.25">
      <c r="B63"/>
      <c r="D63"/>
      <c r="K63" s="6" t="s">
        <v>25</v>
      </c>
      <c r="L63">
        <v>15</v>
      </c>
      <c r="M63" s="36">
        <v>3581000</v>
      </c>
      <c r="N63" s="36">
        <v>2075000</v>
      </c>
      <c r="O63" s="36">
        <v>813000</v>
      </c>
    </row>
    <row r="64" spans="2:15" x14ac:dyDescent="0.25">
      <c r="B64"/>
      <c r="D64"/>
      <c r="K64" s="6" t="s">
        <v>26</v>
      </c>
      <c r="L64">
        <v>16</v>
      </c>
      <c r="M64" s="36">
        <v>4791000</v>
      </c>
      <c r="N64" s="36">
        <v>3871000</v>
      </c>
      <c r="O64" s="36">
        <v>1206000</v>
      </c>
    </row>
    <row r="65" spans="2:15" x14ac:dyDescent="0.25">
      <c r="B65"/>
      <c r="D65"/>
      <c r="K65" s="5" t="s">
        <v>21</v>
      </c>
      <c r="L65">
        <v>2</v>
      </c>
      <c r="M65" s="36">
        <v>110000</v>
      </c>
      <c r="N65" s="36">
        <v>191000</v>
      </c>
      <c r="O65" s="36">
        <v>106000</v>
      </c>
    </row>
    <row r="66" spans="2:15" x14ac:dyDescent="0.25">
      <c r="B66"/>
      <c r="D66"/>
      <c r="K66" s="6" t="s">
        <v>25</v>
      </c>
      <c r="L66">
        <v>1</v>
      </c>
      <c r="M66" s="36">
        <v>30000</v>
      </c>
      <c r="N66" s="36">
        <v>30000</v>
      </c>
      <c r="O66" s="36">
        <v>0</v>
      </c>
    </row>
    <row r="67" spans="2:15" x14ac:dyDescent="0.25">
      <c r="B67"/>
      <c r="D67"/>
      <c r="K67" s="6" t="s">
        <v>26</v>
      </c>
      <c r="L67">
        <v>1</v>
      </c>
      <c r="M67" s="36">
        <v>80000</v>
      </c>
      <c r="N67" s="36">
        <v>161000</v>
      </c>
      <c r="O67" s="36">
        <v>106000</v>
      </c>
    </row>
    <row r="68" spans="2:15" x14ac:dyDescent="0.25">
      <c r="B68"/>
      <c r="D68"/>
      <c r="K68" s="5" t="s">
        <v>22</v>
      </c>
      <c r="L68">
        <v>3</v>
      </c>
      <c r="M68" s="36">
        <v>857000</v>
      </c>
      <c r="N68" s="36">
        <v>887000</v>
      </c>
      <c r="O68" s="36">
        <v>397000</v>
      </c>
    </row>
    <row r="69" spans="2:15" x14ac:dyDescent="0.25">
      <c r="B69"/>
      <c r="D69"/>
      <c r="K69" s="6" t="s">
        <v>25</v>
      </c>
      <c r="L69">
        <v>3</v>
      </c>
      <c r="M69" s="36">
        <v>857000</v>
      </c>
      <c r="N69" s="36">
        <v>887000</v>
      </c>
      <c r="O69" s="36">
        <v>397000</v>
      </c>
    </row>
    <row r="70" spans="2:15" x14ac:dyDescent="0.25">
      <c r="B70"/>
      <c r="D70"/>
      <c r="K70" s="5" t="s">
        <v>24</v>
      </c>
      <c r="L70">
        <v>22</v>
      </c>
      <c r="M70" s="36">
        <v>4454000</v>
      </c>
      <c r="N70" s="36">
        <v>2493000</v>
      </c>
      <c r="O70" s="36">
        <v>354000</v>
      </c>
    </row>
    <row r="71" spans="2:15" x14ac:dyDescent="0.25">
      <c r="B71"/>
      <c r="D71"/>
      <c r="K71" s="6" t="s">
        <v>25</v>
      </c>
      <c r="L71">
        <v>12</v>
      </c>
      <c r="M71" s="36">
        <v>2292000</v>
      </c>
      <c r="N71" s="36">
        <v>839000</v>
      </c>
      <c r="O71" s="36">
        <v>183000</v>
      </c>
    </row>
    <row r="72" spans="2:15" x14ac:dyDescent="0.25">
      <c r="B72"/>
      <c r="D72"/>
      <c r="K72" s="6" t="s">
        <v>26</v>
      </c>
      <c r="L72">
        <v>9</v>
      </c>
      <c r="M72" s="36">
        <v>1964000</v>
      </c>
      <c r="N72" s="36">
        <v>1654000</v>
      </c>
      <c r="O72" s="36">
        <v>171000</v>
      </c>
    </row>
    <row r="73" spans="2:15" x14ac:dyDescent="0.25">
      <c r="B73"/>
      <c r="D73"/>
      <c r="K73" s="6" t="s">
        <v>27</v>
      </c>
      <c r="L73">
        <v>1</v>
      </c>
      <c r="M73" s="36">
        <v>198000</v>
      </c>
      <c r="N73" s="36">
        <v>0</v>
      </c>
      <c r="O73" s="36">
        <v>0</v>
      </c>
    </row>
    <row r="74" spans="2:15" x14ac:dyDescent="0.25">
      <c r="B74"/>
      <c r="D74"/>
      <c r="K74" s="5" t="s">
        <v>4</v>
      </c>
      <c r="L74">
        <v>58</v>
      </c>
      <c r="M74" s="36">
        <v>13793000</v>
      </c>
      <c r="N74" s="36">
        <v>9517000</v>
      </c>
      <c r="O74" s="36">
        <v>2876000</v>
      </c>
    </row>
    <row r="75" spans="2:15" x14ac:dyDescent="0.25">
      <c r="B75"/>
      <c r="D75"/>
    </row>
    <row r="76" spans="2:15" x14ac:dyDescent="0.25">
      <c r="B76"/>
      <c r="D76"/>
      <c r="K76" s="6" t="s">
        <v>20</v>
      </c>
      <c r="L76" s="16">
        <f>GETPIVOTDATA("Count of Primary Contact",$K$61,"Ethnicity","Black")/GETPIVOTDATA("Count of Primary Contact",$K$61)</f>
        <v>0.53448275862068961</v>
      </c>
    </row>
    <row r="77" spans="2:15" x14ac:dyDescent="0.25">
      <c r="B77"/>
      <c r="D77"/>
      <c r="K77" s="6" t="s">
        <v>21</v>
      </c>
      <c r="L77" s="16">
        <f>GETPIVOTDATA("Count of Primary Contact",$K$61,"Ethnicity","Coloured")/GETPIVOTDATA("Count of Primary Contact",$K$61)</f>
        <v>3.4482758620689655E-2</v>
      </c>
    </row>
    <row r="78" spans="2:15" x14ac:dyDescent="0.25">
      <c r="B78"/>
      <c r="D78"/>
      <c r="K78" s="6" t="s">
        <v>22</v>
      </c>
      <c r="L78" s="16">
        <f>GETPIVOTDATA("Count of Primary Contact",$K$61,"Ethnicity","Indian")/GETPIVOTDATA("Count of Primary Contact",$K$61)</f>
        <v>5.1724137931034482E-2</v>
      </c>
    </row>
    <row r="79" spans="2:15" x14ac:dyDescent="0.25">
      <c r="B79"/>
      <c r="D79"/>
      <c r="K79" s="6" t="s">
        <v>24</v>
      </c>
      <c r="L79" s="16">
        <f>GETPIVOTDATA("Count of Primary Contact",$K$61,"Ethnicity","White")/GETPIVOTDATA("Count of Primary Contact",$K$61)</f>
        <v>0.37931034482758619</v>
      </c>
    </row>
    <row r="80" spans="2:15" x14ac:dyDescent="0.25">
      <c r="B80"/>
      <c r="D80"/>
    </row>
    <row r="81" spans="2:12" x14ac:dyDescent="0.25">
      <c r="B81"/>
      <c r="D81"/>
      <c r="K81" t="s">
        <v>26</v>
      </c>
      <c r="L81" s="16">
        <f>(GETPIVOTDATA("Count of Primary Contact",$K$61,"Ethnicity","Black","Gender","Male")+GETPIVOTDATA("Count of Primary Contact",$K$61,"Ethnicity","Coloured","Gender","Male")+GETPIVOTDATA("Count of Primary Contact",$K$61,"Ethnicity","White","Gender","Male"))/GETPIVOTDATA("Count of Primary Contact",$K$61)</f>
        <v>0.44827586206896552</v>
      </c>
    </row>
    <row r="82" spans="2:12" x14ac:dyDescent="0.25">
      <c r="B82"/>
      <c r="D82"/>
      <c r="K82" t="s">
        <v>25</v>
      </c>
      <c r="L82" s="16">
        <f>(GETPIVOTDATA("Count of Primary Contact",$K$61,"Ethnicity","Black","Gender","Female")+GETPIVOTDATA("Count of Primary Contact",$K$61,"Ethnicity","Coloured","Gender","Female")+GETPIVOTDATA("Count of Primary Contact",$K$61,"Ethnicity","Indian","Gender","Female")+GETPIVOTDATA("Count of Primary Contact",$K$61,"Ethnicity","White","Gender","Female"))/GETPIVOTDATA("Count of Primary Contact",$K$61)</f>
        <v>0.53448275862068961</v>
      </c>
    </row>
    <row r="83" spans="2:12" x14ac:dyDescent="0.25">
      <c r="B83"/>
      <c r="D83"/>
      <c r="K83" t="s">
        <v>27</v>
      </c>
      <c r="L83" s="16">
        <f>GETPIVOTDATA("Count of Primary Contact",$K$61,"Ethnicity","White","Gender","Non-binary")/GETPIVOTDATA("Count of Primary Contact",$K$61)</f>
        <v>1.7241379310344827E-2</v>
      </c>
    </row>
    <row r="84" spans="2:12" x14ac:dyDescent="0.25">
      <c r="B84"/>
      <c r="D84"/>
    </row>
    <row r="85" spans="2:12" x14ac:dyDescent="0.25">
      <c r="B85"/>
      <c r="D85"/>
    </row>
    <row r="86" spans="2:12" x14ac:dyDescent="0.25">
      <c r="B86"/>
      <c r="D86"/>
    </row>
    <row r="87" spans="2:12" x14ac:dyDescent="0.25">
      <c r="B87"/>
      <c r="D87"/>
    </row>
    <row r="88" spans="2:12" x14ac:dyDescent="0.25">
      <c r="B88"/>
      <c r="D88"/>
    </row>
    <row r="89" spans="2:12" x14ac:dyDescent="0.25">
      <c r="B89"/>
      <c r="D89"/>
    </row>
    <row r="90" spans="2:12" x14ac:dyDescent="0.25">
      <c r="B90"/>
      <c r="D90"/>
    </row>
    <row r="91" spans="2:12" x14ac:dyDescent="0.25">
      <c r="B91"/>
      <c r="D91"/>
    </row>
    <row r="92" spans="2:12" x14ac:dyDescent="0.25">
      <c r="B92"/>
      <c r="D92"/>
    </row>
    <row r="93" spans="2:12" x14ac:dyDescent="0.25">
      <c r="B93"/>
      <c r="D93"/>
    </row>
    <row r="94" spans="2:12" x14ac:dyDescent="0.25">
      <c r="B94"/>
      <c r="D94"/>
    </row>
    <row r="95" spans="2:12" x14ac:dyDescent="0.25">
      <c r="B95"/>
      <c r="D95"/>
    </row>
    <row r="96" spans="2:12" x14ac:dyDescent="0.25">
      <c r="B96"/>
      <c r="D96"/>
    </row>
    <row r="97" spans="2:4" x14ac:dyDescent="0.25">
      <c r="B97"/>
      <c r="D97"/>
    </row>
    <row r="98" spans="2:4" x14ac:dyDescent="0.25">
      <c r="B98"/>
      <c r="D98"/>
    </row>
    <row r="99" spans="2:4" x14ac:dyDescent="0.25">
      <c r="B99"/>
      <c r="D99"/>
    </row>
    <row r="100" spans="2:4" x14ac:dyDescent="0.25">
      <c r="B100"/>
      <c r="D100"/>
    </row>
    <row r="101" spans="2:4" x14ac:dyDescent="0.25">
      <c r="B101"/>
      <c r="D101"/>
    </row>
    <row r="102" spans="2:4" x14ac:dyDescent="0.25">
      <c r="B102"/>
      <c r="D102"/>
    </row>
    <row r="103" spans="2:4" x14ac:dyDescent="0.25">
      <c r="B103"/>
      <c r="D103"/>
    </row>
    <row r="104" spans="2:4" x14ac:dyDescent="0.25">
      <c r="B104"/>
      <c r="D104"/>
    </row>
    <row r="105" spans="2:4" x14ac:dyDescent="0.25">
      <c r="B105"/>
      <c r="D105"/>
    </row>
    <row r="106" spans="2:4" x14ac:dyDescent="0.25">
      <c r="B106"/>
      <c r="D106"/>
    </row>
    <row r="107" spans="2:4" x14ac:dyDescent="0.25">
      <c r="B107"/>
      <c r="D107"/>
    </row>
    <row r="108" spans="2:4" x14ac:dyDescent="0.25">
      <c r="B108"/>
      <c r="D108"/>
    </row>
    <row r="109" spans="2:4" x14ac:dyDescent="0.25">
      <c r="B109"/>
      <c r="D109"/>
    </row>
    <row r="110" spans="2:4" x14ac:dyDescent="0.25">
      <c r="B110"/>
      <c r="D110"/>
    </row>
    <row r="111" spans="2:4" x14ac:dyDescent="0.25">
      <c r="B111"/>
      <c r="D111"/>
    </row>
    <row r="112" spans="2:4" x14ac:dyDescent="0.25">
      <c r="B112"/>
      <c r="D112"/>
    </row>
    <row r="113" spans="2:4" x14ac:dyDescent="0.25">
      <c r="B113"/>
      <c r="D113"/>
    </row>
    <row r="114" spans="2:4" x14ac:dyDescent="0.25">
      <c r="B114"/>
      <c r="D114"/>
    </row>
    <row r="115" spans="2:4" x14ac:dyDescent="0.25">
      <c r="B115"/>
      <c r="D115"/>
    </row>
    <row r="116" spans="2:4" x14ac:dyDescent="0.25">
      <c r="B116"/>
      <c r="D116"/>
    </row>
    <row r="117" spans="2:4" x14ac:dyDescent="0.25">
      <c r="B117"/>
      <c r="D117"/>
    </row>
    <row r="118" spans="2:4" x14ac:dyDescent="0.25">
      <c r="B118"/>
      <c r="D118"/>
    </row>
    <row r="119" spans="2:4" x14ac:dyDescent="0.25">
      <c r="B119"/>
      <c r="D119"/>
    </row>
    <row r="120" spans="2:4" x14ac:dyDescent="0.25">
      <c r="B120"/>
      <c r="D120"/>
    </row>
    <row r="121" spans="2:4" x14ac:dyDescent="0.25">
      <c r="B121"/>
      <c r="D121"/>
    </row>
    <row r="122" spans="2:4" x14ac:dyDescent="0.25">
      <c r="B122"/>
      <c r="D122"/>
    </row>
    <row r="123" spans="2:4" x14ac:dyDescent="0.25">
      <c r="B123"/>
      <c r="D123"/>
    </row>
    <row r="124" spans="2:4" x14ac:dyDescent="0.25">
      <c r="B124"/>
      <c r="D124"/>
    </row>
    <row r="125" spans="2:4" x14ac:dyDescent="0.25">
      <c r="B125"/>
      <c r="D125"/>
    </row>
    <row r="126" spans="2:4" x14ac:dyDescent="0.25">
      <c r="B126"/>
      <c r="D126"/>
    </row>
    <row r="127" spans="2:4" x14ac:dyDescent="0.25">
      <c r="B127"/>
      <c r="D127"/>
    </row>
    <row r="128" spans="2:4" x14ac:dyDescent="0.25">
      <c r="B128"/>
      <c r="D128"/>
    </row>
    <row r="129" spans="2:4" x14ac:dyDescent="0.25">
      <c r="B129"/>
      <c r="D129"/>
    </row>
    <row r="130" spans="2:4" x14ac:dyDescent="0.25">
      <c r="B130"/>
      <c r="D130"/>
    </row>
    <row r="131" spans="2:4" x14ac:dyDescent="0.25">
      <c r="B131"/>
      <c r="D131"/>
    </row>
    <row r="132" spans="2:4" x14ac:dyDescent="0.25">
      <c r="B132"/>
      <c r="D132"/>
    </row>
    <row r="133" spans="2:4" x14ac:dyDescent="0.25">
      <c r="B133"/>
      <c r="D133"/>
    </row>
    <row r="134" spans="2:4" x14ac:dyDescent="0.25">
      <c r="B134"/>
      <c r="D134"/>
    </row>
    <row r="135" spans="2:4" x14ac:dyDescent="0.25">
      <c r="B135"/>
      <c r="D135"/>
    </row>
    <row r="136" spans="2:4" x14ac:dyDescent="0.25">
      <c r="B136"/>
      <c r="D136"/>
    </row>
    <row r="137" spans="2:4" x14ac:dyDescent="0.25">
      <c r="B137"/>
      <c r="D137"/>
    </row>
    <row r="138" spans="2:4" x14ac:dyDescent="0.25">
      <c r="B138"/>
      <c r="D138"/>
    </row>
    <row r="139" spans="2:4" x14ac:dyDescent="0.25">
      <c r="B139"/>
      <c r="D139"/>
    </row>
    <row r="140" spans="2:4" x14ac:dyDescent="0.25">
      <c r="B140"/>
      <c r="D140"/>
    </row>
    <row r="141" spans="2:4" x14ac:dyDescent="0.25">
      <c r="B141"/>
      <c r="D141"/>
    </row>
    <row r="142" spans="2:4" x14ac:dyDescent="0.25">
      <c r="B142"/>
      <c r="D142"/>
    </row>
    <row r="143" spans="2:4" x14ac:dyDescent="0.25">
      <c r="B143"/>
      <c r="D143"/>
    </row>
    <row r="144" spans="2:4" x14ac:dyDescent="0.25">
      <c r="B144"/>
      <c r="D144"/>
    </row>
    <row r="145" spans="2:4" x14ac:dyDescent="0.25">
      <c r="B145"/>
      <c r="D145"/>
    </row>
    <row r="146" spans="2:4" x14ac:dyDescent="0.25">
      <c r="B146"/>
      <c r="D146"/>
    </row>
    <row r="147" spans="2:4" x14ac:dyDescent="0.25">
      <c r="B147"/>
      <c r="D147"/>
    </row>
    <row r="148" spans="2:4" x14ac:dyDescent="0.25">
      <c r="B148"/>
      <c r="D148"/>
    </row>
    <row r="149" spans="2:4" x14ac:dyDescent="0.25">
      <c r="B149"/>
      <c r="D149"/>
    </row>
    <row r="150" spans="2:4" x14ac:dyDescent="0.25">
      <c r="B150"/>
      <c r="D150"/>
    </row>
    <row r="151" spans="2:4" x14ac:dyDescent="0.25">
      <c r="B151"/>
      <c r="D151"/>
    </row>
    <row r="152" spans="2:4" x14ac:dyDescent="0.25">
      <c r="B152"/>
      <c r="D152"/>
    </row>
    <row r="153" spans="2:4" x14ac:dyDescent="0.25">
      <c r="B153"/>
      <c r="D153"/>
    </row>
    <row r="154" spans="2:4" x14ac:dyDescent="0.25">
      <c r="B154"/>
      <c r="D154"/>
    </row>
    <row r="155" spans="2:4" x14ac:dyDescent="0.25">
      <c r="B155"/>
      <c r="D155"/>
    </row>
    <row r="156" spans="2:4" x14ac:dyDescent="0.25">
      <c r="B156"/>
      <c r="D156"/>
    </row>
    <row r="157" spans="2:4" x14ac:dyDescent="0.25">
      <c r="B157"/>
      <c r="D157"/>
    </row>
    <row r="158" spans="2:4" x14ac:dyDescent="0.25">
      <c r="B158"/>
      <c r="D158"/>
    </row>
    <row r="159" spans="2:4" x14ac:dyDescent="0.25">
      <c r="B159"/>
      <c r="D159"/>
    </row>
    <row r="160" spans="2:4" x14ac:dyDescent="0.25">
      <c r="B160"/>
      <c r="D160"/>
    </row>
    <row r="161" spans="2:4" x14ac:dyDescent="0.25">
      <c r="B161"/>
      <c r="D161"/>
    </row>
    <row r="162" spans="2:4" x14ac:dyDescent="0.25">
      <c r="B162"/>
      <c r="D162"/>
    </row>
    <row r="163" spans="2:4" x14ac:dyDescent="0.25">
      <c r="B163"/>
      <c r="D163"/>
    </row>
    <row r="164" spans="2:4" x14ac:dyDescent="0.25">
      <c r="B164"/>
      <c r="D164"/>
    </row>
    <row r="165" spans="2:4" x14ac:dyDescent="0.25">
      <c r="B165"/>
      <c r="D165"/>
    </row>
    <row r="166" spans="2:4" x14ac:dyDescent="0.25">
      <c r="B166"/>
      <c r="D166"/>
    </row>
    <row r="167" spans="2:4" x14ac:dyDescent="0.25">
      <c r="B167"/>
      <c r="D167"/>
    </row>
    <row r="168" spans="2:4" x14ac:dyDescent="0.25">
      <c r="B168"/>
      <c r="D168"/>
    </row>
    <row r="169" spans="2:4" x14ac:dyDescent="0.25">
      <c r="B169"/>
      <c r="D169"/>
    </row>
    <row r="170" spans="2:4" x14ac:dyDescent="0.25">
      <c r="B170"/>
      <c r="D170"/>
    </row>
    <row r="171" spans="2:4" x14ac:dyDescent="0.25">
      <c r="B171"/>
      <c r="D171"/>
    </row>
    <row r="172" spans="2:4" x14ac:dyDescent="0.25">
      <c r="B172"/>
      <c r="D172"/>
    </row>
    <row r="173" spans="2:4" x14ac:dyDescent="0.25">
      <c r="B173"/>
      <c r="D173"/>
    </row>
    <row r="174" spans="2:4" x14ac:dyDescent="0.25">
      <c r="B174"/>
      <c r="D174"/>
    </row>
    <row r="175" spans="2:4" x14ac:dyDescent="0.25">
      <c r="B175"/>
      <c r="D175"/>
    </row>
    <row r="176" spans="2:4" x14ac:dyDescent="0.25">
      <c r="B176"/>
      <c r="D176"/>
    </row>
    <row r="177" spans="2:4" x14ac:dyDescent="0.25">
      <c r="B177"/>
      <c r="D177"/>
    </row>
    <row r="178" spans="2:4" x14ac:dyDescent="0.25">
      <c r="B178"/>
      <c r="D178"/>
    </row>
    <row r="179" spans="2:4" x14ac:dyDescent="0.25">
      <c r="B179"/>
      <c r="D179"/>
    </row>
    <row r="180" spans="2:4" x14ac:dyDescent="0.25">
      <c r="B180"/>
      <c r="D180"/>
    </row>
    <row r="181" spans="2:4" x14ac:dyDescent="0.25">
      <c r="B181"/>
      <c r="D181"/>
    </row>
    <row r="182" spans="2:4" x14ac:dyDescent="0.25">
      <c r="B182"/>
      <c r="D182"/>
    </row>
    <row r="183" spans="2:4" x14ac:dyDescent="0.25">
      <c r="B183"/>
      <c r="D183"/>
    </row>
    <row r="184" spans="2:4" x14ac:dyDescent="0.25">
      <c r="B184"/>
      <c r="D184"/>
    </row>
    <row r="185" spans="2:4" x14ac:dyDescent="0.25">
      <c r="B185"/>
      <c r="D185"/>
    </row>
    <row r="186" spans="2:4" x14ac:dyDescent="0.25">
      <c r="B186"/>
      <c r="D186"/>
    </row>
    <row r="187" spans="2:4" x14ac:dyDescent="0.25">
      <c r="B187"/>
      <c r="D187"/>
    </row>
    <row r="188" spans="2:4" x14ac:dyDescent="0.25">
      <c r="B188"/>
      <c r="D188"/>
    </row>
    <row r="189" spans="2:4" x14ac:dyDescent="0.25">
      <c r="B189"/>
      <c r="D189"/>
    </row>
    <row r="190" spans="2:4" x14ac:dyDescent="0.25">
      <c r="B190"/>
      <c r="D190"/>
    </row>
    <row r="191" spans="2:4" x14ac:dyDescent="0.25">
      <c r="B191"/>
      <c r="D191"/>
    </row>
    <row r="192" spans="2:4" x14ac:dyDescent="0.25">
      <c r="B192"/>
      <c r="D192"/>
    </row>
    <row r="193" spans="2:4" x14ac:dyDescent="0.25">
      <c r="B193"/>
      <c r="D193"/>
    </row>
    <row r="194" spans="2:4" x14ac:dyDescent="0.25">
      <c r="B194"/>
      <c r="D194"/>
    </row>
    <row r="195" spans="2:4" x14ac:dyDescent="0.25">
      <c r="B195"/>
      <c r="D195"/>
    </row>
    <row r="196" spans="2:4" x14ac:dyDescent="0.25">
      <c r="B196"/>
      <c r="D196"/>
    </row>
    <row r="197" spans="2:4" x14ac:dyDescent="0.25">
      <c r="B197"/>
      <c r="D197"/>
    </row>
    <row r="198" spans="2:4" x14ac:dyDescent="0.25">
      <c r="B198"/>
      <c r="D198"/>
    </row>
    <row r="199" spans="2:4" x14ac:dyDescent="0.25">
      <c r="B199"/>
      <c r="D199"/>
    </row>
    <row r="200" spans="2:4" x14ac:dyDescent="0.25">
      <c r="B200"/>
      <c r="D200"/>
    </row>
    <row r="201" spans="2:4" x14ac:dyDescent="0.25">
      <c r="B201"/>
      <c r="D201"/>
    </row>
    <row r="202" spans="2:4" x14ac:dyDescent="0.25">
      <c r="B202"/>
      <c r="D202"/>
    </row>
    <row r="203" spans="2:4" x14ac:dyDescent="0.25">
      <c r="B203"/>
      <c r="D203"/>
    </row>
    <row r="204" spans="2:4" x14ac:dyDescent="0.25">
      <c r="B204"/>
      <c r="D204"/>
    </row>
    <row r="205" spans="2:4" x14ac:dyDescent="0.25">
      <c r="B205"/>
      <c r="D205"/>
    </row>
    <row r="206" spans="2:4" x14ac:dyDescent="0.25">
      <c r="B206"/>
      <c r="D206"/>
    </row>
    <row r="207" spans="2:4" x14ac:dyDescent="0.25">
      <c r="B207"/>
      <c r="D207"/>
    </row>
    <row r="208" spans="2:4" x14ac:dyDescent="0.25">
      <c r="B208"/>
      <c r="D208"/>
    </row>
    <row r="209" spans="2:4" x14ac:dyDescent="0.25">
      <c r="B209"/>
      <c r="D209"/>
    </row>
    <row r="210" spans="2:4" x14ac:dyDescent="0.25">
      <c r="B210"/>
      <c r="D210"/>
    </row>
    <row r="211" spans="2:4" x14ac:dyDescent="0.25">
      <c r="B211"/>
      <c r="D211"/>
    </row>
    <row r="212" spans="2:4" x14ac:dyDescent="0.25">
      <c r="B212"/>
      <c r="D212"/>
    </row>
    <row r="213" spans="2:4" x14ac:dyDescent="0.25">
      <c r="B213"/>
      <c r="D213"/>
    </row>
    <row r="214" spans="2:4" x14ac:dyDescent="0.25">
      <c r="B214"/>
      <c r="D214"/>
    </row>
    <row r="215" spans="2:4" x14ac:dyDescent="0.25">
      <c r="B215"/>
      <c r="D215"/>
    </row>
    <row r="216" spans="2:4" x14ac:dyDescent="0.25">
      <c r="B216"/>
      <c r="D216"/>
    </row>
    <row r="217" spans="2:4" x14ac:dyDescent="0.25">
      <c r="B217"/>
      <c r="D217"/>
    </row>
    <row r="218" spans="2:4" x14ac:dyDescent="0.25">
      <c r="B218"/>
      <c r="D218"/>
    </row>
    <row r="219" spans="2:4" x14ac:dyDescent="0.25">
      <c r="B219"/>
      <c r="D219"/>
    </row>
    <row r="220" spans="2:4" x14ac:dyDescent="0.25">
      <c r="B220"/>
      <c r="D220"/>
    </row>
    <row r="221" spans="2:4" x14ac:dyDescent="0.25">
      <c r="B221"/>
      <c r="D221"/>
    </row>
    <row r="222" spans="2:4" x14ac:dyDescent="0.25">
      <c r="B222"/>
      <c r="D222"/>
    </row>
    <row r="223" spans="2:4" x14ac:dyDescent="0.25">
      <c r="B223"/>
      <c r="D223"/>
    </row>
    <row r="224" spans="2:4" x14ac:dyDescent="0.25">
      <c r="B224"/>
      <c r="D224"/>
    </row>
    <row r="225" spans="2:4" x14ac:dyDescent="0.25">
      <c r="B225"/>
      <c r="D225"/>
    </row>
    <row r="226" spans="2:4" x14ac:dyDescent="0.25">
      <c r="B226"/>
      <c r="D226"/>
    </row>
    <row r="227" spans="2:4" x14ac:dyDescent="0.25">
      <c r="B227"/>
      <c r="D227"/>
    </row>
    <row r="228" spans="2:4" x14ac:dyDescent="0.25">
      <c r="B228"/>
      <c r="D228"/>
    </row>
    <row r="229" spans="2:4" x14ac:dyDescent="0.25">
      <c r="B229"/>
      <c r="D229"/>
    </row>
    <row r="230" spans="2:4" x14ac:dyDescent="0.25">
      <c r="B230"/>
      <c r="D230"/>
    </row>
    <row r="231" spans="2:4" x14ac:dyDescent="0.25">
      <c r="B231"/>
      <c r="D231"/>
    </row>
    <row r="232" spans="2:4" x14ac:dyDescent="0.25">
      <c r="B232"/>
      <c r="D232"/>
    </row>
    <row r="233" spans="2:4" x14ac:dyDescent="0.25">
      <c r="B233"/>
      <c r="D233"/>
    </row>
    <row r="234" spans="2:4" x14ac:dyDescent="0.25">
      <c r="B234"/>
      <c r="D234"/>
    </row>
    <row r="235" spans="2:4" x14ac:dyDescent="0.25">
      <c r="B235"/>
      <c r="D235"/>
    </row>
    <row r="236" spans="2:4" x14ac:dyDescent="0.25">
      <c r="B236"/>
      <c r="D236"/>
    </row>
    <row r="237" spans="2:4" x14ac:dyDescent="0.25">
      <c r="B237"/>
      <c r="D237"/>
    </row>
    <row r="238" spans="2:4" x14ac:dyDescent="0.25">
      <c r="B238"/>
      <c r="D238"/>
    </row>
    <row r="239" spans="2:4" x14ac:dyDescent="0.25">
      <c r="B239"/>
      <c r="D239"/>
    </row>
    <row r="240" spans="2:4" x14ac:dyDescent="0.25">
      <c r="B240"/>
      <c r="D240"/>
    </row>
    <row r="241" spans="2:4" x14ac:dyDescent="0.25">
      <c r="B241"/>
      <c r="D241"/>
    </row>
    <row r="242" spans="2:4" x14ac:dyDescent="0.25">
      <c r="B242"/>
      <c r="D242"/>
    </row>
    <row r="243" spans="2:4" x14ac:dyDescent="0.25">
      <c r="B243"/>
      <c r="D243"/>
    </row>
    <row r="244" spans="2:4" x14ac:dyDescent="0.25">
      <c r="B244"/>
      <c r="D244"/>
    </row>
    <row r="245" spans="2:4" x14ac:dyDescent="0.25">
      <c r="B245"/>
      <c r="D245"/>
    </row>
    <row r="246" spans="2:4" x14ac:dyDescent="0.25">
      <c r="B246"/>
      <c r="D246"/>
    </row>
    <row r="247" spans="2:4" x14ac:dyDescent="0.25">
      <c r="B247"/>
      <c r="D247"/>
    </row>
    <row r="248" spans="2:4" x14ac:dyDescent="0.25">
      <c r="B248"/>
      <c r="D248"/>
    </row>
    <row r="249" spans="2:4" x14ac:dyDescent="0.25">
      <c r="B249"/>
      <c r="D249"/>
    </row>
    <row r="250" spans="2:4" x14ac:dyDescent="0.25">
      <c r="B250"/>
      <c r="D250"/>
    </row>
    <row r="251" spans="2:4" x14ac:dyDescent="0.25">
      <c r="B251"/>
      <c r="D251"/>
    </row>
    <row r="252" spans="2:4" x14ac:dyDescent="0.25">
      <c r="B252"/>
      <c r="D252"/>
    </row>
    <row r="253" spans="2:4" x14ac:dyDescent="0.25">
      <c r="B253"/>
      <c r="D253"/>
    </row>
    <row r="254" spans="2:4" x14ac:dyDescent="0.25">
      <c r="B254"/>
      <c r="D254"/>
    </row>
    <row r="255" spans="2:4" x14ac:dyDescent="0.25">
      <c r="B255"/>
      <c r="D255"/>
    </row>
    <row r="256" spans="2:4" x14ac:dyDescent="0.25">
      <c r="B256"/>
      <c r="D256"/>
    </row>
    <row r="257" spans="2:4" x14ac:dyDescent="0.25">
      <c r="B257"/>
      <c r="D257"/>
    </row>
    <row r="258" spans="2:4" x14ac:dyDescent="0.25">
      <c r="B258"/>
      <c r="D258"/>
    </row>
    <row r="259" spans="2:4" x14ac:dyDescent="0.25">
      <c r="B259"/>
      <c r="D259"/>
    </row>
    <row r="260" spans="2:4" x14ac:dyDescent="0.25">
      <c r="B260"/>
      <c r="D260"/>
    </row>
    <row r="261" spans="2:4" x14ac:dyDescent="0.25">
      <c r="B261"/>
      <c r="D261"/>
    </row>
    <row r="262" spans="2:4" x14ac:dyDescent="0.25">
      <c r="B262"/>
      <c r="D262"/>
    </row>
    <row r="263" spans="2:4" x14ac:dyDescent="0.25">
      <c r="B263"/>
      <c r="D263"/>
    </row>
    <row r="264" spans="2:4" x14ac:dyDescent="0.25">
      <c r="B264"/>
      <c r="D264"/>
    </row>
    <row r="265" spans="2:4" x14ac:dyDescent="0.25">
      <c r="B265"/>
      <c r="D265"/>
    </row>
    <row r="266" spans="2:4" x14ac:dyDescent="0.25">
      <c r="B266"/>
      <c r="D266"/>
    </row>
    <row r="267" spans="2:4" x14ac:dyDescent="0.25">
      <c r="B267"/>
      <c r="D267"/>
    </row>
    <row r="268" spans="2:4" x14ac:dyDescent="0.25">
      <c r="B268"/>
      <c r="D268"/>
    </row>
    <row r="269" spans="2:4" x14ac:dyDescent="0.25">
      <c r="B269"/>
      <c r="D269"/>
    </row>
    <row r="270" spans="2:4" x14ac:dyDescent="0.25">
      <c r="B270"/>
      <c r="D270"/>
    </row>
    <row r="271" spans="2:4" x14ac:dyDescent="0.25">
      <c r="B271"/>
      <c r="D271"/>
    </row>
    <row r="272" spans="2:4" x14ac:dyDescent="0.25">
      <c r="B272"/>
      <c r="D272"/>
    </row>
    <row r="273" spans="2:4" x14ac:dyDescent="0.25">
      <c r="B273"/>
      <c r="D273"/>
    </row>
    <row r="274" spans="2:4" x14ac:dyDescent="0.25">
      <c r="B274"/>
      <c r="D274"/>
    </row>
    <row r="275" spans="2:4" x14ac:dyDescent="0.25">
      <c r="B275"/>
      <c r="D275"/>
    </row>
    <row r="276" spans="2:4" x14ac:dyDescent="0.25">
      <c r="B276"/>
      <c r="D276"/>
    </row>
    <row r="277" spans="2:4" x14ac:dyDescent="0.25">
      <c r="B277"/>
      <c r="D277"/>
    </row>
    <row r="278" spans="2:4" x14ac:dyDescent="0.25">
      <c r="B278"/>
      <c r="D278"/>
    </row>
    <row r="279" spans="2:4" x14ac:dyDescent="0.25">
      <c r="B279"/>
      <c r="D279"/>
    </row>
    <row r="280" spans="2:4" x14ac:dyDescent="0.25">
      <c r="B280"/>
      <c r="D280"/>
    </row>
    <row r="281" spans="2:4" x14ac:dyDescent="0.25">
      <c r="B281"/>
      <c r="D281"/>
    </row>
    <row r="282" spans="2:4" x14ac:dyDescent="0.25">
      <c r="B282"/>
      <c r="D282"/>
    </row>
    <row r="283" spans="2:4" x14ac:dyDescent="0.25">
      <c r="B283"/>
      <c r="D283"/>
    </row>
    <row r="284" spans="2:4" x14ac:dyDescent="0.25">
      <c r="B284"/>
      <c r="D284"/>
    </row>
    <row r="285" spans="2:4" x14ac:dyDescent="0.25">
      <c r="B285"/>
      <c r="D285"/>
    </row>
    <row r="286" spans="2:4" x14ac:dyDescent="0.25">
      <c r="B286"/>
      <c r="D286"/>
    </row>
    <row r="287" spans="2:4" x14ac:dyDescent="0.25">
      <c r="B287"/>
      <c r="D287"/>
    </row>
    <row r="288" spans="2:4" x14ac:dyDescent="0.25">
      <c r="B288"/>
      <c r="D288"/>
    </row>
    <row r="289" spans="2:4" x14ac:dyDescent="0.25">
      <c r="B289"/>
      <c r="D289"/>
    </row>
    <row r="290" spans="2:4" x14ac:dyDescent="0.25">
      <c r="B290"/>
      <c r="D290"/>
    </row>
    <row r="291" spans="2:4" x14ac:dyDescent="0.25">
      <c r="B291"/>
      <c r="D291"/>
    </row>
    <row r="292" spans="2:4" x14ac:dyDescent="0.25">
      <c r="B292"/>
      <c r="D292"/>
    </row>
    <row r="293" spans="2:4" x14ac:dyDescent="0.25">
      <c r="B293"/>
      <c r="D293"/>
    </row>
    <row r="294" spans="2:4" x14ac:dyDescent="0.25">
      <c r="B294"/>
      <c r="D294"/>
    </row>
    <row r="295" spans="2:4" x14ac:dyDescent="0.25">
      <c r="B295"/>
      <c r="D295"/>
    </row>
    <row r="296" spans="2:4" x14ac:dyDescent="0.25">
      <c r="B296"/>
      <c r="D296"/>
    </row>
    <row r="297" spans="2:4" x14ac:dyDescent="0.25">
      <c r="B297"/>
      <c r="D297"/>
    </row>
    <row r="298" spans="2:4" x14ac:dyDescent="0.25">
      <c r="B298"/>
      <c r="D298"/>
    </row>
    <row r="299" spans="2:4" x14ac:dyDescent="0.25">
      <c r="B299"/>
      <c r="D299"/>
    </row>
    <row r="300" spans="2:4" x14ac:dyDescent="0.25">
      <c r="B300"/>
      <c r="D300"/>
    </row>
    <row r="301" spans="2:4" x14ac:dyDescent="0.25">
      <c r="B301"/>
      <c r="D301"/>
    </row>
    <row r="302" spans="2:4" x14ac:dyDescent="0.25">
      <c r="B302"/>
      <c r="D302"/>
    </row>
    <row r="303" spans="2:4" x14ac:dyDescent="0.25">
      <c r="B303"/>
      <c r="D303"/>
    </row>
    <row r="304" spans="2:4" x14ac:dyDescent="0.25">
      <c r="B304"/>
      <c r="D304"/>
    </row>
    <row r="305" spans="2:4" x14ac:dyDescent="0.25">
      <c r="B305"/>
      <c r="D305"/>
    </row>
    <row r="306" spans="2:4" x14ac:dyDescent="0.25">
      <c r="B306"/>
      <c r="D306"/>
    </row>
    <row r="307" spans="2:4" x14ac:dyDescent="0.25">
      <c r="B307"/>
      <c r="D307"/>
    </row>
    <row r="308" spans="2:4" x14ac:dyDescent="0.25">
      <c r="B308"/>
      <c r="D308"/>
    </row>
    <row r="309" spans="2:4" x14ac:dyDescent="0.25">
      <c r="B309"/>
      <c r="D309"/>
    </row>
    <row r="310" spans="2:4" x14ac:dyDescent="0.25">
      <c r="B310"/>
      <c r="D310"/>
    </row>
    <row r="311" spans="2:4" x14ac:dyDescent="0.25">
      <c r="B311"/>
      <c r="D311"/>
    </row>
    <row r="312" spans="2:4" x14ac:dyDescent="0.25">
      <c r="B312"/>
      <c r="D312"/>
    </row>
    <row r="313" spans="2:4" x14ac:dyDescent="0.25">
      <c r="B313"/>
      <c r="D313"/>
    </row>
    <row r="314" spans="2:4" x14ac:dyDescent="0.25">
      <c r="B314"/>
      <c r="D314"/>
    </row>
    <row r="315" spans="2:4" x14ac:dyDescent="0.25">
      <c r="B315"/>
      <c r="D315"/>
    </row>
    <row r="316" spans="2:4" x14ac:dyDescent="0.25">
      <c r="B316"/>
      <c r="D316"/>
    </row>
    <row r="317" spans="2:4" x14ac:dyDescent="0.25">
      <c r="B317"/>
      <c r="D317"/>
    </row>
    <row r="318" spans="2:4" x14ac:dyDescent="0.25">
      <c r="B318"/>
      <c r="D318"/>
    </row>
    <row r="319" spans="2:4" x14ac:dyDescent="0.25">
      <c r="B319"/>
      <c r="D319"/>
    </row>
    <row r="320" spans="2:4" x14ac:dyDescent="0.25">
      <c r="B320"/>
      <c r="D320"/>
    </row>
    <row r="321" spans="2:4" x14ac:dyDescent="0.25">
      <c r="B321"/>
      <c r="D321"/>
    </row>
    <row r="322" spans="2:4" x14ac:dyDescent="0.25">
      <c r="B322"/>
      <c r="D322"/>
    </row>
    <row r="323" spans="2:4" x14ac:dyDescent="0.25">
      <c r="B323"/>
      <c r="D323"/>
    </row>
    <row r="324" spans="2:4" x14ac:dyDescent="0.25">
      <c r="B324"/>
      <c r="D324"/>
    </row>
    <row r="325" spans="2:4" x14ac:dyDescent="0.25">
      <c r="B325"/>
      <c r="D325"/>
    </row>
    <row r="326" spans="2:4" x14ac:dyDescent="0.25">
      <c r="B326"/>
      <c r="D326"/>
    </row>
    <row r="327" spans="2:4" x14ac:dyDescent="0.25">
      <c r="B327"/>
      <c r="D327"/>
    </row>
    <row r="328" spans="2:4" x14ac:dyDescent="0.25">
      <c r="B328"/>
      <c r="D328"/>
    </row>
    <row r="329" spans="2:4" x14ac:dyDescent="0.25">
      <c r="B329"/>
      <c r="D329"/>
    </row>
    <row r="330" spans="2:4" x14ac:dyDescent="0.25">
      <c r="B330"/>
      <c r="D330"/>
    </row>
    <row r="331" spans="2:4" x14ac:dyDescent="0.25">
      <c r="B331"/>
      <c r="D331"/>
    </row>
    <row r="332" spans="2:4" x14ac:dyDescent="0.25">
      <c r="B332"/>
      <c r="D332"/>
    </row>
    <row r="333" spans="2:4" x14ac:dyDescent="0.25">
      <c r="B333"/>
      <c r="D333"/>
    </row>
    <row r="334" spans="2:4" x14ac:dyDescent="0.25">
      <c r="B334"/>
      <c r="D334"/>
    </row>
    <row r="335" spans="2:4" x14ac:dyDescent="0.25">
      <c r="B335"/>
      <c r="D335"/>
    </row>
    <row r="336" spans="2:4" x14ac:dyDescent="0.25">
      <c r="B336"/>
      <c r="D336"/>
    </row>
    <row r="337" spans="2:4" x14ac:dyDescent="0.25">
      <c r="B337"/>
      <c r="D337"/>
    </row>
    <row r="338" spans="2:4" x14ac:dyDescent="0.25">
      <c r="B338"/>
      <c r="D338"/>
    </row>
    <row r="339" spans="2:4" x14ac:dyDescent="0.25">
      <c r="B339"/>
      <c r="D339"/>
    </row>
    <row r="340" spans="2:4" x14ac:dyDescent="0.25">
      <c r="B340"/>
      <c r="D340"/>
    </row>
    <row r="341" spans="2:4" x14ac:dyDescent="0.25">
      <c r="B341"/>
      <c r="D341"/>
    </row>
    <row r="342" spans="2:4" x14ac:dyDescent="0.25">
      <c r="B342"/>
      <c r="D342"/>
    </row>
    <row r="343" spans="2:4" x14ac:dyDescent="0.25">
      <c r="B343"/>
      <c r="D343"/>
    </row>
    <row r="344" spans="2:4" x14ac:dyDescent="0.25">
      <c r="B344"/>
      <c r="D344"/>
    </row>
    <row r="345" spans="2:4" x14ac:dyDescent="0.25">
      <c r="B345"/>
      <c r="D345"/>
    </row>
    <row r="346" spans="2:4" x14ac:dyDescent="0.25">
      <c r="B346"/>
      <c r="D346"/>
    </row>
    <row r="347" spans="2:4" x14ac:dyDescent="0.25">
      <c r="B347"/>
      <c r="D347"/>
    </row>
    <row r="348" spans="2:4" x14ac:dyDescent="0.25">
      <c r="B348"/>
      <c r="D348"/>
    </row>
    <row r="349" spans="2:4" x14ac:dyDescent="0.25">
      <c r="B349"/>
      <c r="D349"/>
    </row>
    <row r="350" spans="2:4" x14ac:dyDescent="0.25">
      <c r="B350"/>
      <c r="D350"/>
    </row>
    <row r="351" spans="2:4" x14ac:dyDescent="0.25">
      <c r="B351"/>
      <c r="D351"/>
    </row>
    <row r="352" spans="2:4" x14ac:dyDescent="0.25">
      <c r="B352"/>
      <c r="D352"/>
    </row>
    <row r="353" spans="2:4" x14ac:dyDescent="0.25">
      <c r="B353"/>
      <c r="D353"/>
    </row>
    <row r="354" spans="2:4" x14ac:dyDescent="0.25">
      <c r="B354"/>
      <c r="D354"/>
    </row>
    <row r="355" spans="2:4" x14ac:dyDescent="0.25">
      <c r="B355"/>
      <c r="D355"/>
    </row>
    <row r="356" spans="2:4" x14ac:dyDescent="0.25">
      <c r="B356"/>
      <c r="D356"/>
    </row>
    <row r="357" spans="2:4" x14ac:dyDescent="0.25">
      <c r="B357"/>
      <c r="D357"/>
    </row>
    <row r="358" spans="2:4" x14ac:dyDescent="0.25">
      <c r="B358"/>
      <c r="D358"/>
    </row>
    <row r="359" spans="2:4" x14ac:dyDescent="0.25">
      <c r="B359"/>
      <c r="D359"/>
    </row>
    <row r="360" spans="2:4" x14ac:dyDescent="0.25">
      <c r="B360"/>
      <c r="D360"/>
    </row>
    <row r="361" spans="2:4" x14ac:dyDescent="0.25">
      <c r="B361"/>
      <c r="D361"/>
    </row>
    <row r="362" spans="2:4" x14ac:dyDescent="0.25">
      <c r="B362"/>
      <c r="D362"/>
    </row>
    <row r="363" spans="2:4" x14ac:dyDescent="0.25">
      <c r="B363"/>
      <c r="D363"/>
    </row>
    <row r="364" spans="2:4" x14ac:dyDescent="0.25">
      <c r="B364"/>
      <c r="D364"/>
    </row>
    <row r="365" spans="2:4" x14ac:dyDescent="0.25">
      <c r="B365"/>
      <c r="D365"/>
    </row>
    <row r="366" spans="2:4" x14ac:dyDescent="0.25">
      <c r="B366"/>
      <c r="D366"/>
    </row>
    <row r="367" spans="2:4" x14ac:dyDescent="0.25">
      <c r="B367"/>
      <c r="D367"/>
    </row>
    <row r="368" spans="2:4" x14ac:dyDescent="0.25">
      <c r="B368"/>
      <c r="D368"/>
    </row>
    <row r="369" spans="2:4" x14ac:dyDescent="0.25">
      <c r="B369"/>
      <c r="D369"/>
    </row>
    <row r="370" spans="2:4" x14ac:dyDescent="0.25">
      <c r="B370"/>
      <c r="D370"/>
    </row>
    <row r="371" spans="2:4" x14ac:dyDescent="0.25">
      <c r="B371"/>
      <c r="D371"/>
    </row>
    <row r="372" spans="2:4" x14ac:dyDescent="0.25">
      <c r="B372"/>
      <c r="D372"/>
    </row>
    <row r="373" spans="2:4" x14ac:dyDescent="0.25">
      <c r="B373"/>
      <c r="D373"/>
    </row>
    <row r="374" spans="2:4" x14ac:dyDescent="0.25">
      <c r="B374"/>
      <c r="D374"/>
    </row>
    <row r="375" spans="2:4" x14ac:dyDescent="0.25">
      <c r="B375"/>
      <c r="D375"/>
    </row>
    <row r="376" spans="2:4" x14ac:dyDescent="0.25">
      <c r="B376"/>
      <c r="D376"/>
    </row>
    <row r="377" spans="2:4" x14ac:dyDescent="0.25">
      <c r="B377"/>
      <c r="D377"/>
    </row>
    <row r="378" spans="2:4" x14ac:dyDescent="0.25">
      <c r="B378"/>
      <c r="D378"/>
    </row>
    <row r="379" spans="2:4" x14ac:dyDescent="0.25">
      <c r="B379"/>
      <c r="D379"/>
    </row>
    <row r="380" spans="2:4" x14ac:dyDescent="0.25">
      <c r="B380"/>
      <c r="D380"/>
    </row>
    <row r="381" spans="2:4" x14ac:dyDescent="0.25">
      <c r="B381"/>
      <c r="D381"/>
    </row>
    <row r="382" spans="2:4" x14ac:dyDescent="0.25">
      <c r="B382"/>
      <c r="D382"/>
    </row>
    <row r="383" spans="2:4" x14ac:dyDescent="0.25">
      <c r="B383"/>
      <c r="D383"/>
    </row>
    <row r="384" spans="2:4" x14ac:dyDescent="0.25">
      <c r="B384"/>
      <c r="D384"/>
    </row>
    <row r="385" spans="2:4" x14ac:dyDescent="0.25">
      <c r="B385"/>
      <c r="D385"/>
    </row>
    <row r="386" spans="2:4" x14ac:dyDescent="0.25">
      <c r="B386"/>
      <c r="D386"/>
    </row>
    <row r="387" spans="2:4" x14ac:dyDescent="0.25">
      <c r="B387"/>
      <c r="D387"/>
    </row>
    <row r="388" spans="2:4" x14ac:dyDescent="0.25">
      <c r="B388"/>
      <c r="D388"/>
    </row>
    <row r="389" spans="2:4" x14ac:dyDescent="0.25">
      <c r="B389"/>
      <c r="D389"/>
    </row>
    <row r="390" spans="2:4" x14ac:dyDescent="0.25">
      <c r="B390"/>
      <c r="D390"/>
    </row>
    <row r="391" spans="2:4" x14ac:dyDescent="0.25">
      <c r="B391"/>
      <c r="D391"/>
    </row>
    <row r="392" spans="2:4" x14ac:dyDescent="0.25">
      <c r="B392"/>
      <c r="D392"/>
    </row>
    <row r="393" spans="2:4" x14ac:dyDescent="0.25">
      <c r="B393"/>
      <c r="D393"/>
    </row>
    <row r="394" spans="2:4" x14ac:dyDescent="0.25">
      <c r="B394"/>
      <c r="D394"/>
    </row>
    <row r="395" spans="2:4" x14ac:dyDescent="0.25">
      <c r="B395"/>
      <c r="D395"/>
    </row>
    <row r="396" spans="2:4" x14ac:dyDescent="0.25">
      <c r="B396"/>
      <c r="D396"/>
    </row>
    <row r="397" spans="2:4" x14ac:dyDescent="0.25">
      <c r="B397"/>
      <c r="D397"/>
    </row>
    <row r="398" spans="2:4" x14ac:dyDescent="0.25">
      <c r="B398"/>
      <c r="D398"/>
    </row>
    <row r="399" spans="2:4" x14ac:dyDescent="0.25">
      <c r="B399"/>
      <c r="D399"/>
    </row>
    <row r="400" spans="2:4" x14ac:dyDescent="0.25">
      <c r="B400"/>
      <c r="D400"/>
    </row>
    <row r="401" spans="2:4" x14ac:dyDescent="0.25">
      <c r="B401"/>
      <c r="D401"/>
    </row>
    <row r="402" spans="2:4" x14ac:dyDescent="0.25">
      <c r="B402"/>
      <c r="D402"/>
    </row>
    <row r="403" spans="2:4" x14ac:dyDescent="0.25">
      <c r="B403"/>
      <c r="D403"/>
    </row>
    <row r="404" spans="2:4" x14ac:dyDescent="0.25">
      <c r="B404"/>
      <c r="D404"/>
    </row>
    <row r="405" spans="2:4" x14ac:dyDescent="0.25">
      <c r="B405"/>
      <c r="D405"/>
    </row>
    <row r="406" spans="2:4" x14ac:dyDescent="0.25">
      <c r="B406"/>
      <c r="D406"/>
    </row>
    <row r="407" spans="2:4" x14ac:dyDescent="0.25">
      <c r="B407"/>
      <c r="D407"/>
    </row>
    <row r="408" spans="2:4" x14ac:dyDescent="0.25">
      <c r="B408"/>
      <c r="D408"/>
    </row>
    <row r="409" spans="2:4" x14ac:dyDescent="0.25">
      <c r="B409"/>
      <c r="D409"/>
    </row>
    <row r="410" spans="2:4" x14ac:dyDescent="0.25">
      <c r="B410"/>
      <c r="D410"/>
    </row>
    <row r="411" spans="2:4" x14ac:dyDescent="0.25">
      <c r="B411"/>
      <c r="D411"/>
    </row>
    <row r="412" spans="2:4" x14ac:dyDescent="0.25">
      <c r="B412"/>
      <c r="D412"/>
    </row>
    <row r="413" spans="2:4" x14ac:dyDescent="0.25">
      <c r="B413"/>
      <c r="D413"/>
    </row>
    <row r="414" spans="2:4" x14ac:dyDescent="0.25">
      <c r="B414"/>
      <c r="D414"/>
    </row>
    <row r="415" spans="2:4" x14ac:dyDescent="0.25">
      <c r="B415"/>
      <c r="D415"/>
    </row>
    <row r="416" spans="2:4" x14ac:dyDescent="0.25">
      <c r="B416"/>
      <c r="D416"/>
    </row>
    <row r="417" spans="2:4" x14ac:dyDescent="0.25">
      <c r="B417"/>
      <c r="D417"/>
    </row>
    <row r="418" spans="2:4" x14ac:dyDescent="0.25">
      <c r="B418"/>
      <c r="D418"/>
    </row>
    <row r="419" spans="2:4" x14ac:dyDescent="0.25">
      <c r="B419"/>
      <c r="D419"/>
    </row>
    <row r="420" spans="2:4" x14ac:dyDescent="0.25">
      <c r="B420"/>
      <c r="D420"/>
    </row>
    <row r="421" spans="2:4" x14ac:dyDescent="0.25">
      <c r="B421"/>
      <c r="D421"/>
    </row>
    <row r="422" spans="2:4" x14ac:dyDescent="0.25">
      <c r="B422"/>
      <c r="D422"/>
    </row>
    <row r="423" spans="2:4" x14ac:dyDescent="0.25">
      <c r="B423"/>
      <c r="D423"/>
    </row>
    <row r="424" spans="2:4" x14ac:dyDescent="0.25">
      <c r="B424"/>
      <c r="D424"/>
    </row>
    <row r="425" spans="2:4" x14ac:dyDescent="0.25">
      <c r="B425"/>
      <c r="D425"/>
    </row>
    <row r="426" spans="2:4" x14ac:dyDescent="0.25">
      <c r="B426"/>
      <c r="D426"/>
    </row>
    <row r="427" spans="2:4" x14ac:dyDescent="0.25">
      <c r="B427"/>
      <c r="D427"/>
    </row>
    <row r="428" spans="2:4" x14ac:dyDescent="0.25">
      <c r="B428"/>
      <c r="D428"/>
    </row>
    <row r="429" spans="2:4" x14ac:dyDescent="0.25">
      <c r="B429"/>
      <c r="D429"/>
    </row>
    <row r="430" spans="2:4" x14ac:dyDescent="0.25">
      <c r="B430"/>
      <c r="D430"/>
    </row>
    <row r="431" spans="2:4" x14ac:dyDescent="0.25">
      <c r="B431"/>
      <c r="D431"/>
    </row>
    <row r="432" spans="2:4" x14ac:dyDescent="0.25">
      <c r="B432"/>
      <c r="D432"/>
    </row>
    <row r="433" spans="2:4" x14ac:dyDescent="0.25">
      <c r="B433"/>
      <c r="D433"/>
    </row>
    <row r="434" spans="2:4" x14ac:dyDescent="0.25">
      <c r="B434"/>
      <c r="D434"/>
    </row>
    <row r="435" spans="2:4" x14ac:dyDescent="0.25">
      <c r="B435"/>
      <c r="D435"/>
    </row>
    <row r="436" spans="2:4" x14ac:dyDescent="0.25">
      <c r="B436"/>
      <c r="D436"/>
    </row>
    <row r="437" spans="2:4" x14ac:dyDescent="0.25">
      <c r="B437"/>
      <c r="D437"/>
    </row>
    <row r="438" spans="2:4" x14ac:dyDescent="0.25">
      <c r="B438"/>
      <c r="D438"/>
    </row>
    <row r="439" spans="2:4" x14ac:dyDescent="0.25">
      <c r="B439"/>
      <c r="D439"/>
    </row>
    <row r="440" spans="2:4" x14ac:dyDescent="0.25">
      <c r="B440"/>
      <c r="D440"/>
    </row>
    <row r="441" spans="2:4" x14ac:dyDescent="0.25">
      <c r="B441"/>
      <c r="D441"/>
    </row>
    <row r="442" spans="2:4" x14ac:dyDescent="0.25">
      <c r="B442"/>
      <c r="D442"/>
    </row>
    <row r="443" spans="2:4" x14ac:dyDescent="0.25">
      <c r="B443"/>
      <c r="D443"/>
    </row>
    <row r="444" spans="2:4" x14ac:dyDescent="0.25">
      <c r="B444"/>
      <c r="D444"/>
    </row>
    <row r="445" spans="2:4" x14ac:dyDescent="0.25">
      <c r="B445"/>
      <c r="D445"/>
    </row>
    <row r="446" spans="2:4" x14ac:dyDescent="0.25">
      <c r="B446"/>
      <c r="D446"/>
    </row>
    <row r="447" spans="2:4" x14ac:dyDescent="0.25">
      <c r="B447"/>
      <c r="D447"/>
    </row>
    <row r="448" spans="2:4" x14ac:dyDescent="0.25">
      <c r="B448"/>
      <c r="D448"/>
    </row>
    <row r="449" spans="2:4" x14ac:dyDescent="0.25">
      <c r="B449"/>
      <c r="D449"/>
    </row>
    <row r="450" spans="2:4" x14ac:dyDescent="0.25">
      <c r="B450"/>
      <c r="D450"/>
    </row>
    <row r="451" spans="2:4" x14ac:dyDescent="0.25">
      <c r="B451"/>
      <c r="D451"/>
    </row>
    <row r="452" spans="2:4" x14ac:dyDescent="0.25">
      <c r="B452"/>
      <c r="D452"/>
    </row>
    <row r="453" spans="2:4" x14ac:dyDescent="0.25">
      <c r="B453"/>
      <c r="D453"/>
    </row>
    <row r="454" spans="2:4" x14ac:dyDescent="0.25">
      <c r="B454"/>
      <c r="D454"/>
    </row>
    <row r="455" spans="2:4" x14ac:dyDescent="0.25">
      <c r="B455"/>
      <c r="D455"/>
    </row>
    <row r="456" spans="2:4" x14ac:dyDescent="0.25">
      <c r="B456"/>
      <c r="D456"/>
    </row>
    <row r="457" spans="2:4" x14ac:dyDescent="0.25">
      <c r="B457"/>
      <c r="D457"/>
    </row>
    <row r="458" spans="2:4" x14ac:dyDescent="0.25">
      <c r="B458"/>
      <c r="D458"/>
    </row>
    <row r="459" spans="2:4" x14ac:dyDescent="0.25">
      <c r="B459"/>
      <c r="D459"/>
    </row>
    <row r="460" spans="2:4" x14ac:dyDescent="0.25">
      <c r="B460"/>
      <c r="D460"/>
    </row>
    <row r="461" spans="2:4" x14ac:dyDescent="0.25">
      <c r="B461"/>
      <c r="D461"/>
    </row>
    <row r="462" spans="2:4" x14ac:dyDescent="0.25">
      <c r="B462"/>
      <c r="D462"/>
    </row>
    <row r="463" spans="2:4" x14ac:dyDescent="0.25">
      <c r="B463"/>
      <c r="D463"/>
    </row>
    <row r="464" spans="2:4" x14ac:dyDescent="0.25">
      <c r="B464"/>
      <c r="D464"/>
    </row>
    <row r="465" spans="2:4" x14ac:dyDescent="0.25">
      <c r="B465"/>
      <c r="D465"/>
    </row>
    <row r="466" spans="2:4" x14ac:dyDescent="0.25">
      <c r="B466"/>
      <c r="D466"/>
    </row>
    <row r="467" spans="2:4" x14ac:dyDescent="0.25">
      <c r="B467"/>
      <c r="D467"/>
    </row>
    <row r="468" spans="2:4" x14ac:dyDescent="0.25">
      <c r="B468"/>
      <c r="D468"/>
    </row>
    <row r="469" spans="2:4" x14ac:dyDescent="0.25">
      <c r="B469"/>
      <c r="D469"/>
    </row>
    <row r="470" spans="2:4" x14ac:dyDescent="0.25">
      <c r="B470"/>
      <c r="D470"/>
    </row>
    <row r="471" spans="2:4" x14ac:dyDescent="0.25">
      <c r="B471"/>
      <c r="D471"/>
    </row>
    <row r="472" spans="2:4" x14ac:dyDescent="0.25">
      <c r="B472"/>
      <c r="D472"/>
    </row>
    <row r="473" spans="2:4" x14ac:dyDescent="0.25">
      <c r="B473"/>
      <c r="D473"/>
    </row>
    <row r="474" spans="2:4" x14ac:dyDescent="0.25">
      <c r="B474"/>
      <c r="D474"/>
    </row>
    <row r="475" spans="2:4" x14ac:dyDescent="0.25">
      <c r="B475"/>
      <c r="D475"/>
    </row>
    <row r="476" spans="2:4" x14ac:dyDescent="0.25">
      <c r="B476"/>
      <c r="D476"/>
    </row>
    <row r="477" spans="2:4" x14ac:dyDescent="0.25">
      <c r="B477"/>
      <c r="D477"/>
    </row>
    <row r="478" spans="2:4" x14ac:dyDescent="0.25">
      <c r="B478"/>
      <c r="D478"/>
    </row>
    <row r="479" spans="2:4" x14ac:dyDescent="0.25">
      <c r="B479"/>
      <c r="D479"/>
    </row>
    <row r="480" spans="2:4" x14ac:dyDescent="0.25">
      <c r="B480"/>
      <c r="D480"/>
    </row>
    <row r="481" spans="2:4" x14ac:dyDescent="0.25">
      <c r="B481"/>
      <c r="D481"/>
    </row>
    <row r="482" spans="2:4" x14ac:dyDescent="0.25">
      <c r="B482"/>
      <c r="D482"/>
    </row>
    <row r="483" spans="2:4" x14ac:dyDescent="0.25">
      <c r="B483"/>
      <c r="D483"/>
    </row>
    <row r="484" spans="2:4" x14ac:dyDescent="0.25">
      <c r="B484"/>
      <c r="D484"/>
    </row>
    <row r="485" spans="2:4" x14ac:dyDescent="0.25">
      <c r="B485"/>
      <c r="D485"/>
    </row>
    <row r="486" spans="2:4" x14ac:dyDescent="0.25">
      <c r="B486"/>
      <c r="D486"/>
    </row>
    <row r="487" spans="2:4" x14ac:dyDescent="0.25">
      <c r="B487"/>
      <c r="D487"/>
    </row>
    <row r="488" spans="2:4" x14ac:dyDescent="0.25">
      <c r="B488"/>
      <c r="D488"/>
    </row>
    <row r="489" spans="2:4" x14ac:dyDescent="0.25">
      <c r="B489"/>
      <c r="D489"/>
    </row>
    <row r="490" spans="2:4" x14ac:dyDescent="0.25">
      <c r="B490"/>
      <c r="D490"/>
    </row>
    <row r="491" spans="2:4" x14ac:dyDescent="0.25">
      <c r="B491"/>
      <c r="D491"/>
    </row>
    <row r="492" spans="2:4" x14ac:dyDescent="0.25">
      <c r="B492"/>
      <c r="D492"/>
    </row>
    <row r="493" spans="2:4" x14ac:dyDescent="0.25">
      <c r="B493"/>
      <c r="D493"/>
    </row>
    <row r="494" spans="2:4" x14ac:dyDescent="0.25">
      <c r="B494"/>
      <c r="D494"/>
    </row>
    <row r="495" spans="2:4" x14ac:dyDescent="0.25">
      <c r="B495"/>
      <c r="D495"/>
    </row>
    <row r="496" spans="2:4" x14ac:dyDescent="0.25">
      <c r="B496"/>
      <c r="D496"/>
    </row>
    <row r="497" spans="2:4" x14ac:dyDescent="0.25">
      <c r="B497"/>
      <c r="D497"/>
    </row>
    <row r="498" spans="2:4" x14ac:dyDescent="0.25">
      <c r="B498"/>
      <c r="D498"/>
    </row>
    <row r="499" spans="2:4" x14ac:dyDescent="0.25">
      <c r="B499"/>
      <c r="D499"/>
    </row>
    <row r="500" spans="2:4" x14ac:dyDescent="0.25">
      <c r="B500"/>
      <c r="D500"/>
    </row>
    <row r="501" spans="2:4" x14ac:dyDescent="0.25">
      <c r="B501"/>
      <c r="D501"/>
    </row>
    <row r="502" spans="2:4" x14ac:dyDescent="0.25">
      <c r="B502"/>
      <c r="D502"/>
    </row>
    <row r="503" spans="2:4" x14ac:dyDescent="0.25">
      <c r="B503"/>
      <c r="D503"/>
    </row>
    <row r="504" spans="2:4" x14ac:dyDescent="0.25">
      <c r="B504"/>
      <c r="D504"/>
    </row>
    <row r="505" spans="2:4" x14ac:dyDescent="0.25">
      <c r="B505"/>
      <c r="D505"/>
    </row>
    <row r="506" spans="2:4" x14ac:dyDescent="0.25">
      <c r="B506"/>
      <c r="D506"/>
    </row>
    <row r="507" spans="2:4" x14ac:dyDescent="0.25">
      <c r="B507"/>
      <c r="D507"/>
    </row>
    <row r="508" spans="2:4" x14ac:dyDescent="0.25">
      <c r="B508"/>
      <c r="D508"/>
    </row>
    <row r="509" spans="2:4" x14ac:dyDescent="0.25">
      <c r="B509"/>
      <c r="D509"/>
    </row>
    <row r="510" spans="2:4" x14ac:dyDescent="0.25">
      <c r="B510"/>
      <c r="D510"/>
    </row>
    <row r="511" spans="2:4" x14ac:dyDescent="0.25">
      <c r="B511"/>
      <c r="D511"/>
    </row>
    <row r="512" spans="2:4" x14ac:dyDescent="0.25">
      <c r="B512"/>
      <c r="D512"/>
    </row>
    <row r="513" spans="2:4" x14ac:dyDescent="0.25">
      <c r="B513"/>
      <c r="D513"/>
    </row>
    <row r="514" spans="2:4" x14ac:dyDescent="0.25">
      <c r="B514"/>
      <c r="D514"/>
    </row>
    <row r="515" spans="2:4" x14ac:dyDescent="0.25">
      <c r="B515"/>
      <c r="D515"/>
    </row>
    <row r="516" spans="2:4" x14ac:dyDescent="0.25">
      <c r="B516"/>
      <c r="D516"/>
    </row>
    <row r="517" spans="2:4" x14ac:dyDescent="0.25">
      <c r="B517"/>
      <c r="D517"/>
    </row>
    <row r="518" spans="2:4" x14ac:dyDescent="0.25">
      <c r="B518"/>
      <c r="D518"/>
    </row>
    <row r="519" spans="2:4" x14ac:dyDescent="0.25">
      <c r="B519"/>
      <c r="D519"/>
    </row>
    <row r="520" spans="2:4" x14ac:dyDescent="0.25">
      <c r="B520"/>
      <c r="D520"/>
    </row>
    <row r="521" spans="2:4" x14ac:dyDescent="0.25">
      <c r="B521"/>
      <c r="D521"/>
    </row>
    <row r="522" spans="2:4" x14ac:dyDescent="0.25">
      <c r="B522"/>
      <c r="D522"/>
    </row>
    <row r="523" spans="2:4" x14ac:dyDescent="0.25">
      <c r="B523"/>
      <c r="D523"/>
    </row>
    <row r="524" spans="2:4" x14ac:dyDescent="0.25">
      <c r="B524"/>
      <c r="D524"/>
    </row>
    <row r="525" spans="2:4" x14ac:dyDescent="0.25">
      <c r="B525"/>
      <c r="D525"/>
    </row>
    <row r="526" spans="2:4" x14ac:dyDescent="0.25">
      <c r="B526"/>
      <c r="D526"/>
    </row>
    <row r="527" spans="2:4" x14ac:dyDescent="0.25">
      <c r="B527"/>
      <c r="D527"/>
    </row>
    <row r="528" spans="2:4" x14ac:dyDescent="0.25">
      <c r="B528"/>
      <c r="D528"/>
    </row>
    <row r="529" spans="2:4" x14ac:dyDescent="0.25">
      <c r="B529"/>
      <c r="D529"/>
    </row>
    <row r="530" spans="2:4" x14ac:dyDescent="0.25">
      <c r="B530"/>
      <c r="D530"/>
    </row>
    <row r="531" spans="2:4" x14ac:dyDescent="0.25">
      <c r="B531"/>
      <c r="D531"/>
    </row>
    <row r="532" spans="2:4" x14ac:dyDescent="0.25">
      <c r="B532"/>
      <c r="D532"/>
    </row>
    <row r="533" spans="2:4" x14ac:dyDescent="0.25">
      <c r="B533"/>
      <c r="D533"/>
    </row>
    <row r="534" spans="2:4" x14ac:dyDescent="0.25">
      <c r="B534"/>
      <c r="D534"/>
    </row>
    <row r="535" spans="2:4" x14ac:dyDescent="0.25">
      <c r="B535"/>
      <c r="D535"/>
    </row>
    <row r="536" spans="2:4" x14ac:dyDescent="0.25">
      <c r="B536"/>
      <c r="D536"/>
    </row>
    <row r="537" spans="2:4" x14ac:dyDescent="0.25">
      <c r="B537"/>
      <c r="D537"/>
    </row>
    <row r="538" spans="2:4" x14ac:dyDescent="0.25">
      <c r="B538"/>
      <c r="D538"/>
    </row>
    <row r="539" spans="2:4" x14ac:dyDescent="0.25">
      <c r="B539"/>
      <c r="D539"/>
    </row>
    <row r="540" spans="2:4" x14ac:dyDescent="0.25">
      <c r="B540"/>
      <c r="D540"/>
    </row>
    <row r="541" spans="2:4" x14ac:dyDescent="0.25">
      <c r="B541"/>
      <c r="D541"/>
    </row>
    <row r="542" spans="2:4" x14ac:dyDescent="0.25">
      <c r="B542"/>
      <c r="D542"/>
    </row>
    <row r="543" spans="2:4" x14ac:dyDescent="0.25">
      <c r="B543"/>
      <c r="D543"/>
    </row>
    <row r="544" spans="2:4" x14ac:dyDescent="0.25">
      <c r="B544"/>
      <c r="D544"/>
    </row>
    <row r="545" spans="2:4" x14ac:dyDescent="0.25">
      <c r="B545"/>
      <c r="D545"/>
    </row>
    <row r="546" spans="2:4" x14ac:dyDescent="0.25">
      <c r="B546"/>
      <c r="D546"/>
    </row>
    <row r="547" spans="2:4" x14ac:dyDescent="0.25">
      <c r="B547"/>
      <c r="D547"/>
    </row>
    <row r="548" spans="2:4" x14ac:dyDescent="0.25">
      <c r="B548"/>
      <c r="D548"/>
    </row>
    <row r="549" spans="2:4" x14ac:dyDescent="0.25">
      <c r="B549"/>
      <c r="D549"/>
    </row>
    <row r="550" spans="2:4" x14ac:dyDescent="0.25">
      <c r="B550"/>
      <c r="D550"/>
    </row>
    <row r="551" spans="2:4" x14ac:dyDescent="0.25">
      <c r="B551"/>
      <c r="D551"/>
    </row>
    <row r="552" spans="2:4" x14ac:dyDescent="0.25">
      <c r="B552"/>
      <c r="D552"/>
    </row>
    <row r="553" spans="2:4" x14ac:dyDescent="0.25">
      <c r="B553"/>
      <c r="D553"/>
    </row>
    <row r="554" spans="2:4" x14ac:dyDescent="0.25">
      <c r="B554"/>
      <c r="D554"/>
    </row>
    <row r="555" spans="2:4" x14ac:dyDescent="0.25">
      <c r="B555"/>
      <c r="D555"/>
    </row>
    <row r="556" spans="2:4" x14ac:dyDescent="0.25">
      <c r="B556"/>
      <c r="D556"/>
    </row>
    <row r="557" spans="2:4" x14ac:dyDescent="0.25">
      <c r="B557"/>
      <c r="D557"/>
    </row>
    <row r="558" spans="2:4" x14ac:dyDescent="0.25">
      <c r="B558"/>
      <c r="D558"/>
    </row>
    <row r="559" spans="2:4" x14ac:dyDescent="0.25">
      <c r="B559"/>
      <c r="D559"/>
    </row>
    <row r="560" spans="2:4" x14ac:dyDescent="0.25">
      <c r="B560"/>
      <c r="D560"/>
    </row>
    <row r="561" spans="2:4" x14ac:dyDescent="0.25">
      <c r="B561"/>
      <c r="D561"/>
    </row>
    <row r="562" spans="2:4" x14ac:dyDescent="0.25">
      <c r="B562"/>
      <c r="D562"/>
    </row>
    <row r="563" spans="2:4" x14ac:dyDescent="0.25">
      <c r="B563"/>
      <c r="D563"/>
    </row>
    <row r="564" spans="2:4" x14ac:dyDescent="0.25">
      <c r="B564"/>
      <c r="D564"/>
    </row>
    <row r="565" spans="2:4" x14ac:dyDescent="0.25">
      <c r="B565"/>
      <c r="D565"/>
    </row>
    <row r="566" spans="2:4" x14ac:dyDescent="0.25">
      <c r="B566"/>
      <c r="D566"/>
    </row>
    <row r="567" spans="2:4" x14ac:dyDescent="0.25">
      <c r="B567"/>
      <c r="D567"/>
    </row>
    <row r="568" spans="2:4" x14ac:dyDescent="0.25">
      <c r="B568"/>
      <c r="D568"/>
    </row>
    <row r="569" spans="2:4" x14ac:dyDescent="0.25">
      <c r="B569"/>
      <c r="D569"/>
    </row>
    <row r="570" spans="2:4" x14ac:dyDescent="0.25">
      <c r="B570"/>
      <c r="D570"/>
    </row>
    <row r="571" spans="2:4" x14ac:dyDescent="0.25">
      <c r="B571"/>
      <c r="D571"/>
    </row>
    <row r="572" spans="2:4" x14ac:dyDescent="0.25">
      <c r="B572"/>
      <c r="D572"/>
    </row>
    <row r="573" spans="2:4" x14ac:dyDescent="0.25">
      <c r="B573"/>
      <c r="D573"/>
    </row>
    <row r="574" spans="2:4" x14ac:dyDescent="0.25">
      <c r="B574"/>
      <c r="D574"/>
    </row>
    <row r="575" spans="2:4" x14ac:dyDescent="0.25">
      <c r="B575"/>
      <c r="D575"/>
    </row>
    <row r="576" spans="2:4" x14ac:dyDescent="0.25">
      <c r="B576"/>
      <c r="D576"/>
    </row>
    <row r="577" spans="2:4" x14ac:dyDescent="0.25">
      <c r="B577"/>
      <c r="D577"/>
    </row>
    <row r="578" spans="2:4" x14ac:dyDescent="0.25">
      <c r="B578"/>
      <c r="D578"/>
    </row>
    <row r="579" spans="2:4" x14ac:dyDescent="0.25">
      <c r="B579"/>
      <c r="D579"/>
    </row>
    <row r="580" spans="2:4" x14ac:dyDescent="0.25">
      <c r="B580"/>
      <c r="D580"/>
    </row>
    <row r="581" spans="2:4" x14ac:dyDescent="0.25">
      <c r="B581"/>
      <c r="D581"/>
    </row>
    <row r="582" spans="2:4" x14ac:dyDescent="0.25">
      <c r="B582"/>
      <c r="D582"/>
    </row>
    <row r="583" spans="2:4" x14ac:dyDescent="0.25">
      <c r="B583"/>
      <c r="D583"/>
    </row>
    <row r="584" spans="2:4" x14ac:dyDescent="0.25">
      <c r="B584"/>
      <c r="D584"/>
    </row>
    <row r="585" spans="2:4" x14ac:dyDescent="0.25">
      <c r="B585"/>
      <c r="D585"/>
    </row>
    <row r="586" spans="2:4" x14ac:dyDescent="0.25">
      <c r="B586"/>
      <c r="D586"/>
    </row>
    <row r="587" spans="2:4" x14ac:dyDescent="0.25">
      <c r="B587"/>
      <c r="D587"/>
    </row>
    <row r="588" spans="2:4" x14ac:dyDescent="0.25">
      <c r="B588"/>
      <c r="D588"/>
    </row>
    <row r="589" spans="2:4" x14ac:dyDescent="0.25">
      <c r="B589"/>
      <c r="D589"/>
    </row>
    <row r="590" spans="2:4" x14ac:dyDescent="0.25">
      <c r="B590"/>
      <c r="D590"/>
    </row>
    <row r="591" spans="2:4" x14ac:dyDescent="0.25">
      <c r="B591"/>
      <c r="D591"/>
    </row>
    <row r="592" spans="2:4" x14ac:dyDescent="0.25">
      <c r="B592"/>
      <c r="D592"/>
    </row>
    <row r="593" spans="2:4" x14ac:dyDescent="0.25">
      <c r="B593"/>
      <c r="D593"/>
    </row>
    <row r="594" spans="2:4" x14ac:dyDescent="0.25">
      <c r="B594"/>
      <c r="D594"/>
    </row>
    <row r="595" spans="2:4" x14ac:dyDescent="0.25">
      <c r="B595"/>
      <c r="D595"/>
    </row>
    <row r="596" spans="2:4" x14ac:dyDescent="0.25">
      <c r="B596"/>
      <c r="D596"/>
    </row>
    <row r="597" spans="2:4" x14ac:dyDescent="0.25">
      <c r="B597"/>
      <c r="D597"/>
    </row>
    <row r="598" spans="2:4" x14ac:dyDescent="0.25">
      <c r="B598"/>
      <c r="D598"/>
    </row>
    <row r="599" spans="2:4" x14ac:dyDescent="0.25">
      <c r="B599"/>
      <c r="D599"/>
    </row>
    <row r="600" spans="2:4" x14ac:dyDescent="0.25">
      <c r="B600"/>
      <c r="D600"/>
    </row>
    <row r="601" spans="2:4" x14ac:dyDescent="0.25">
      <c r="B601"/>
      <c r="D601"/>
    </row>
    <row r="602" spans="2:4" x14ac:dyDescent="0.25">
      <c r="B602"/>
      <c r="D602"/>
    </row>
    <row r="603" spans="2:4" x14ac:dyDescent="0.25">
      <c r="B603"/>
      <c r="D603"/>
    </row>
    <row r="604" spans="2:4" x14ac:dyDescent="0.25">
      <c r="B604"/>
      <c r="D604"/>
    </row>
    <row r="605" spans="2:4" x14ac:dyDescent="0.25">
      <c r="B605"/>
      <c r="D605"/>
    </row>
    <row r="606" spans="2:4" x14ac:dyDescent="0.25">
      <c r="B606"/>
      <c r="D606"/>
    </row>
    <row r="607" spans="2:4" x14ac:dyDescent="0.25">
      <c r="B607"/>
      <c r="D607"/>
    </row>
    <row r="608" spans="2:4" x14ac:dyDescent="0.25">
      <c r="B608"/>
      <c r="D608"/>
    </row>
    <row r="609" spans="2:4" x14ac:dyDescent="0.25">
      <c r="B609"/>
      <c r="D609"/>
    </row>
    <row r="610" spans="2:4" x14ac:dyDescent="0.25">
      <c r="B610"/>
      <c r="D610"/>
    </row>
    <row r="611" spans="2:4" x14ac:dyDescent="0.25">
      <c r="B611"/>
      <c r="D611"/>
    </row>
    <row r="612" spans="2:4" x14ac:dyDescent="0.25">
      <c r="B612"/>
      <c r="D612"/>
    </row>
    <row r="613" spans="2:4" x14ac:dyDescent="0.25">
      <c r="B613"/>
      <c r="D613"/>
    </row>
    <row r="614" spans="2:4" x14ac:dyDescent="0.25">
      <c r="B614"/>
      <c r="D614"/>
    </row>
    <row r="615" spans="2:4" x14ac:dyDescent="0.25">
      <c r="B615"/>
      <c r="D615"/>
    </row>
    <row r="616" spans="2:4" x14ac:dyDescent="0.25">
      <c r="B616"/>
      <c r="D616"/>
    </row>
    <row r="617" spans="2:4" x14ac:dyDescent="0.25">
      <c r="B617"/>
      <c r="D617"/>
    </row>
    <row r="618" spans="2:4" x14ac:dyDescent="0.25">
      <c r="B618"/>
      <c r="D618"/>
    </row>
    <row r="619" spans="2:4" x14ac:dyDescent="0.25">
      <c r="B619"/>
      <c r="D619"/>
    </row>
    <row r="620" spans="2:4" x14ac:dyDescent="0.25">
      <c r="B620"/>
      <c r="D620"/>
    </row>
    <row r="621" spans="2:4" x14ac:dyDescent="0.25">
      <c r="B621"/>
      <c r="D621"/>
    </row>
    <row r="622" spans="2:4" x14ac:dyDescent="0.25">
      <c r="B622"/>
      <c r="D622"/>
    </row>
    <row r="623" spans="2:4" x14ac:dyDescent="0.25">
      <c r="B623"/>
      <c r="D623"/>
    </row>
    <row r="624" spans="2:4" x14ac:dyDescent="0.25">
      <c r="B624"/>
      <c r="D624"/>
    </row>
    <row r="625" spans="2:4" x14ac:dyDescent="0.25">
      <c r="B625"/>
      <c r="D625"/>
    </row>
    <row r="626" spans="2:4" x14ac:dyDescent="0.25">
      <c r="B626"/>
      <c r="D626"/>
    </row>
    <row r="627" spans="2:4" x14ac:dyDescent="0.25">
      <c r="B627"/>
      <c r="D627"/>
    </row>
    <row r="628" spans="2:4" x14ac:dyDescent="0.25">
      <c r="B628"/>
      <c r="D628"/>
    </row>
    <row r="629" spans="2:4" x14ac:dyDescent="0.25">
      <c r="B629"/>
      <c r="D629"/>
    </row>
    <row r="630" spans="2:4" x14ac:dyDescent="0.25">
      <c r="B630"/>
      <c r="D630"/>
    </row>
    <row r="631" spans="2:4" x14ac:dyDescent="0.25">
      <c r="B631"/>
      <c r="D631"/>
    </row>
    <row r="632" spans="2:4" x14ac:dyDescent="0.25">
      <c r="B632"/>
      <c r="D632"/>
    </row>
    <row r="633" spans="2:4" x14ac:dyDescent="0.25">
      <c r="B633"/>
      <c r="D633"/>
    </row>
    <row r="634" spans="2:4" x14ac:dyDescent="0.25">
      <c r="B634"/>
      <c r="D634"/>
    </row>
    <row r="635" spans="2:4" x14ac:dyDescent="0.25">
      <c r="B635"/>
      <c r="D635"/>
    </row>
    <row r="636" spans="2:4" x14ac:dyDescent="0.25">
      <c r="B636"/>
      <c r="D636"/>
    </row>
    <row r="637" spans="2:4" x14ac:dyDescent="0.25">
      <c r="B637"/>
      <c r="D637"/>
    </row>
    <row r="638" spans="2:4" x14ac:dyDescent="0.25">
      <c r="B638"/>
      <c r="D638"/>
    </row>
    <row r="639" spans="2:4" x14ac:dyDescent="0.25">
      <c r="B639"/>
      <c r="D639"/>
    </row>
    <row r="640" spans="2:4" x14ac:dyDescent="0.25">
      <c r="B640"/>
      <c r="D640"/>
    </row>
    <row r="641" spans="2:4" x14ac:dyDescent="0.25">
      <c r="B641"/>
      <c r="D641"/>
    </row>
    <row r="642" spans="2:4" x14ac:dyDescent="0.25">
      <c r="B642"/>
      <c r="D642"/>
    </row>
    <row r="643" spans="2:4" x14ac:dyDescent="0.25">
      <c r="B643"/>
      <c r="D643"/>
    </row>
    <row r="644" spans="2:4" x14ac:dyDescent="0.25">
      <c r="B644"/>
      <c r="D644"/>
    </row>
    <row r="645" spans="2:4" x14ac:dyDescent="0.25">
      <c r="B645"/>
      <c r="D645"/>
    </row>
    <row r="646" spans="2:4" x14ac:dyDescent="0.25">
      <c r="B646"/>
      <c r="D646"/>
    </row>
    <row r="647" spans="2:4" x14ac:dyDescent="0.25">
      <c r="B647"/>
      <c r="D647"/>
    </row>
    <row r="648" spans="2:4" x14ac:dyDescent="0.25">
      <c r="B648"/>
      <c r="D648"/>
    </row>
    <row r="649" spans="2:4" x14ac:dyDescent="0.25">
      <c r="B649"/>
      <c r="D649"/>
    </row>
    <row r="650" spans="2:4" x14ac:dyDescent="0.25">
      <c r="B650"/>
      <c r="D650"/>
    </row>
    <row r="651" spans="2:4" x14ac:dyDescent="0.25">
      <c r="B651"/>
      <c r="D651"/>
    </row>
    <row r="652" spans="2:4" x14ac:dyDescent="0.25">
      <c r="B652"/>
      <c r="D652"/>
    </row>
    <row r="653" spans="2:4" x14ac:dyDescent="0.25">
      <c r="B653"/>
      <c r="D653"/>
    </row>
    <row r="654" spans="2:4" x14ac:dyDescent="0.25">
      <c r="B654"/>
      <c r="D654"/>
    </row>
    <row r="655" spans="2:4" x14ac:dyDescent="0.25">
      <c r="B655"/>
      <c r="D655"/>
    </row>
    <row r="656" spans="2:4" x14ac:dyDescent="0.25">
      <c r="B656"/>
      <c r="D656"/>
    </row>
    <row r="657" spans="2:4" x14ac:dyDescent="0.25">
      <c r="B657"/>
      <c r="D657"/>
    </row>
    <row r="658" spans="2:4" x14ac:dyDescent="0.25">
      <c r="B658"/>
      <c r="D658"/>
    </row>
    <row r="659" spans="2:4" x14ac:dyDescent="0.25">
      <c r="B659"/>
      <c r="D659"/>
    </row>
    <row r="660" spans="2:4" x14ac:dyDescent="0.25">
      <c r="B660"/>
      <c r="D660"/>
    </row>
    <row r="661" spans="2:4" x14ac:dyDescent="0.25">
      <c r="B661"/>
      <c r="D661"/>
    </row>
    <row r="662" spans="2:4" x14ac:dyDescent="0.25">
      <c r="B662"/>
      <c r="D662"/>
    </row>
    <row r="663" spans="2:4" x14ac:dyDescent="0.25">
      <c r="B663"/>
      <c r="D663"/>
    </row>
    <row r="664" spans="2:4" x14ac:dyDescent="0.25">
      <c r="B664"/>
      <c r="D664"/>
    </row>
    <row r="665" spans="2:4" x14ac:dyDescent="0.25">
      <c r="B665"/>
      <c r="D665"/>
    </row>
    <row r="666" spans="2:4" x14ac:dyDescent="0.25">
      <c r="B666"/>
      <c r="D666"/>
    </row>
    <row r="667" spans="2:4" x14ac:dyDescent="0.25">
      <c r="B667"/>
      <c r="D667"/>
    </row>
    <row r="668" spans="2:4" x14ac:dyDescent="0.25">
      <c r="B668"/>
      <c r="D668"/>
    </row>
    <row r="669" spans="2:4" x14ac:dyDescent="0.25">
      <c r="B669"/>
      <c r="D669"/>
    </row>
    <row r="670" spans="2:4" x14ac:dyDescent="0.25">
      <c r="B670"/>
      <c r="D670"/>
    </row>
    <row r="671" spans="2:4" x14ac:dyDescent="0.25">
      <c r="B671"/>
      <c r="D671"/>
    </row>
    <row r="672" spans="2:4" x14ac:dyDescent="0.25">
      <c r="B672"/>
      <c r="D672"/>
    </row>
    <row r="673" spans="2:4" x14ac:dyDescent="0.25">
      <c r="B673"/>
      <c r="D673"/>
    </row>
    <row r="674" spans="2:4" x14ac:dyDescent="0.25">
      <c r="B674"/>
      <c r="D674"/>
    </row>
    <row r="675" spans="2:4" x14ac:dyDescent="0.25">
      <c r="B675"/>
      <c r="D675"/>
    </row>
    <row r="676" spans="2:4" x14ac:dyDescent="0.25">
      <c r="B676"/>
      <c r="D676"/>
    </row>
    <row r="677" spans="2:4" x14ac:dyDescent="0.25">
      <c r="B677"/>
      <c r="D677"/>
    </row>
    <row r="678" spans="2:4" x14ac:dyDescent="0.25">
      <c r="B678"/>
      <c r="D678"/>
    </row>
    <row r="679" spans="2:4" x14ac:dyDescent="0.25">
      <c r="B679"/>
      <c r="D679"/>
    </row>
    <row r="680" spans="2:4" x14ac:dyDescent="0.25">
      <c r="B680"/>
      <c r="D680"/>
    </row>
    <row r="681" spans="2:4" x14ac:dyDescent="0.25">
      <c r="B681"/>
      <c r="D681"/>
    </row>
    <row r="682" spans="2:4" x14ac:dyDescent="0.25">
      <c r="B682"/>
      <c r="D682"/>
    </row>
    <row r="683" spans="2:4" x14ac:dyDescent="0.25">
      <c r="B683"/>
      <c r="D683"/>
    </row>
    <row r="684" spans="2:4" x14ac:dyDescent="0.25">
      <c r="B684"/>
      <c r="D684"/>
    </row>
    <row r="685" spans="2:4" x14ac:dyDescent="0.25">
      <c r="B685"/>
      <c r="D685"/>
    </row>
    <row r="686" spans="2:4" x14ac:dyDescent="0.25">
      <c r="B686"/>
      <c r="D686"/>
    </row>
    <row r="687" spans="2:4" x14ac:dyDescent="0.25">
      <c r="B687"/>
      <c r="D687"/>
    </row>
    <row r="688" spans="2:4" x14ac:dyDescent="0.25">
      <c r="B688"/>
      <c r="D688"/>
    </row>
    <row r="689" spans="2:4" x14ac:dyDescent="0.25">
      <c r="B689"/>
      <c r="D689"/>
    </row>
    <row r="690" spans="2:4" x14ac:dyDescent="0.25">
      <c r="B690"/>
      <c r="D690"/>
    </row>
    <row r="691" spans="2:4" x14ac:dyDescent="0.25">
      <c r="B691"/>
      <c r="D691"/>
    </row>
    <row r="692" spans="2:4" x14ac:dyDescent="0.25">
      <c r="B692"/>
      <c r="D692"/>
    </row>
    <row r="693" spans="2:4" x14ac:dyDescent="0.25">
      <c r="B693"/>
      <c r="D693"/>
    </row>
    <row r="694" spans="2:4" x14ac:dyDescent="0.25">
      <c r="B694"/>
      <c r="D694"/>
    </row>
    <row r="695" spans="2:4" x14ac:dyDescent="0.25">
      <c r="B695"/>
      <c r="D695"/>
    </row>
    <row r="696" spans="2:4" x14ac:dyDescent="0.25">
      <c r="B696"/>
      <c r="D696"/>
    </row>
    <row r="697" spans="2:4" x14ac:dyDescent="0.25">
      <c r="B697"/>
      <c r="D697"/>
    </row>
    <row r="698" spans="2:4" x14ac:dyDescent="0.25">
      <c r="B698"/>
      <c r="D698"/>
    </row>
    <row r="699" spans="2:4" x14ac:dyDescent="0.25">
      <c r="B699"/>
      <c r="D699"/>
    </row>
    <row r="700" spans="2:4" x14ac:dyDescent="0.25">
      <c r="B700"/>
      <c r="D700"/>
    </row>
    <row r="701" spans="2:4" x14ac:dyDescent="0.25">
      <c r="B701"/>
      <c r="D701"/>
    </row>
    <row r="702" spans="2:4" x14ac:dyDescent="0.25">
      <c r="B702"/>
      <c r="D702"/>
    </row>
    <row r="703" spans="2:4" x14ac:dyDescent="0.25">
      <c r="B703"/>
      <c r="D703"/>
    </row>
    <row r="704" spans="2:4" x14ac:dyDescent="0.25">
      <c r="B704"/>
      <c r="D704"/>
    </row>
    <row r="705" spans="2:4" x14ac:dyDescent="0.25">
      <c r="B705"/>
      <c r="D705"/>
    </row>
    <row r="706" spans="2:4" x14ac:dyDescent="0.25">
      <c r="B706"/>
      <c r="D70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51FC-BF7F-409B-A836-E3B863DCE7E7}">
  <dimension ref="A1:AN680"/>
  <sheetViews>
    <sheetView zoomScaleNormal="100" workbookViewId="0">
      <pane xSplit="5" ySplit="1" topLeftCell="AD533" activePane="bottomRight" state="frozen"/>
      <selection activeCell="H27" sqref="H27"/>
      <selection pane="topRight" activeCell="H27" sqref="H27"/>
      <selection pane="bottomLeft" activeCell="H27" sqref="H27"/>
      <selection pane="bottomRight" activeCell="H27" sqref="H27"/>
    </sheetView>
  </sheetViews>
  <sheetFormatPr defaultColWidth="9.109375" defaultRowHeight="13.2" outlineLevelCol="1" x14ac:dyDescent="0.25"/>
  <cols>
    <col min="1" max="1" width="16.88671875" style="1" hidden="1" customWidth="1" outlineLevel="1"/>
    <col min="2" max="2" width="15.33203125" style="1" customWidth="1" collapsed="1"/>
    <col min="3" max="3" width="26.6640625" style="1" hidden="1" customWidth="1" outlineLevel="1"/>
    <col min="4" max="4" width="27.6640625" style="1" bestFit="1" customWidth="1" collapsed="1"/>
    <col min="5" max="5" width="40.21875" style="1" hidden="1" customWidth="1" outlineLevel="1"/>
    <col min="6" max="6" width="19.109375" style="1" customWidth="1" collapsed="1"/>
    <col min="7" max="7" width="19.109375" style="1" customWidth="1"/>
    <col min="8" max="8" width="13.109375" style="1" customWidth="1"/>
    <col min="9" max="9" width="14.88671875" style="1" customWidth="1"/>
    <col min="10" max="10" width="10.5546875" style="1" customWidth="1"/>
    <col min="11" max="11" width="12.33203125" style="1" customWidth="1"/>
    <col min="12" max="12" width="11.5546875" style="1" hidden="1" customWidth="1" outlineLevel="1"/>
    <col min="13" max="13" width="59.44140625" style="1" hidden="1" customWidth="1" outlineLevel="1"/>
    <col min="14" max="14" width="23" style="1" hidden="1" customWidth="1" outlineLevel="1"/>
    <col min="15" max="15" width="32.77734375" style="1" bestFit="1" customWidth="1" collapsed="1"/>
    <col min="16" max="17" width="56.5546875" style="1" customWidth="1"/>
    <col min="18" max="18" width="92.109375" style="1" customWidth="1"/>
    <col min="19" max="19" width="12.44140625" style="1" bestFit="1" customWidth="1"/>
    <col min="20" max="20" width="13.5546875" style="1" bestFit="1" customWidth="1"/>
    <col min="21" max="21" width="19.88671875" style="1" bestFit="1" customWidth="1"/>
    <col min="22" max="22" width="21.77734375" style="1" bestFit="1" customWidth="1"/>
    <col min="23" max="24" width="10.109375" style="27" bestFit="1" customWidth="1"/>
    <col min="25" max="25" width="10.109375" style="27" customWidth="1"/>
    <col min="26" max="31" width="10.109375" style="1" customWidth="1"/>
    <col min="32" max="32" width="12.109375" style="1" bestFit="1" customWidth="1"/>
    <col min="33" max="33" width="10.44140625" style="1" customWidth="1"/>
    <col min="34" max="35" width="16.44140625" style="27" bestFit="1" customWidth="1"/>
    <col min="36" max="36" width="16.44140625" style="1" bestFit="1" customWidth="1"/>
    <col min="37" max="39" width="16.44140625" style="1" customWidth="1"/>
    <col min="40" max="40" width="20.6640625" style="1" customWidth="1"/>
    <col min="41" max="16384" width="9.109375" style="1"/>
  </cols>
  <sheetData>
    <row r="1" spans="1:40" x14ac:dyDescent="0.25">
      <c r="A1" s="3" t="s">
        <v>28</v>
      </c>
      <c r="B1" s="3" t="s">
        <v>29</v>
      </c>
      <c r="C1" s="3" t="s">
        <v>30</v>
      </c>
      <c r="D1" s="3" t="s">
        <v>31</v>
      </c>
      <c r="E1" s="3" t="s">
        <v>32</v>
      </c>
      <c r="F1" s="21" t="s">
        <v>33</v>
      </c>
      <c r="G1" s="3" t="s">
        <v>6026</v>
      </c>
      <c r="H1" s="3" t="s">
        <v>34</v>
      </c>
      <c r="I1" s="3" t="s">
        <v>35</v>
      </c>
      <c r="J1" s="3" t="s">
        <v>36</v>
      </c>
      <c r="K1" s="3" t="s">
        <v>37</v>
      </c>
      <c r="L1" s="3" t="s">
        <v>38</v>
      </c>
      <c r="M1" s="3" t="s">
        <v>39</v>
      </c>
      <c r="N1" s="3" t="s">
        <v>6031</v>
      </c>
      <c r="O1" s="3" t="s">
        <v>6232</v>
      </c>
      <c r="P1" s="3" t="s">
        <v>41</v>
      </c>
      <c r="Q1" s="3" t="s">
        <v>5263</v>
      </c>
      <c r="R1" s="3" t="s">
        <v>42</v>
      </c>
      <c r="S1" s="3" t="s">
        <v>6052</v>
      </c>
      <c r="T1" s="3" t="s">
        <v>6042</v>
      </c>
      <c r="U1" s="3" t="s">
        <v>6083</v>
      </c>
      <c r="V1" s="3" t="s">
        <v>6084</v>
      </c>
      <c r="W1" s="34" t="s">
        <v>6206</v>
      </c>
      <c r="X1" s="26" t="s">
        <v>6207</v>
      </c>
      <c r="Y1" s="32" t="s">
        <v>6215</v>
      </c>
      <c r="Z1" s="3" t="s">
        <v>6208</v>
      </c>
      <c r="AA1" s="3" t="s">
        <v>6209</v>
      </c>
      <c r="AB1" s="21" t="s">
        <v>6216</v>
      </c>
      <c r="AC1" s="3" t="s">
        <v>6217</v>
      </c>
      <c r="AD1" s="3" t="s">
        <v>6222</v>
      </c>
      <c r="AE1" s="3" t="s">
        <v>6227</v>
      </c>
      <c r="AF1" s="3" t="s">
        <v>43</v>
      </c>
      <c r="AG1" s="3" t="s">
        <v>44</v>
      </c>
      <c r="AH1" s="26" t="s">
        <v>45</v>
      </c>
      <c r="AI1" s="26" t="s">
        <v>46</v>
      </c>
      <c r="AJ1" s="3" t="s">
        <v>47</v>
      </c>
      <c r="AK1" s="3" t="s">
        <v>6224</v>
      </c>
      <c r="AL1" s="3" t="s">
        <v>6225</v>
      </c>
      <c r="AM1" s="3" t="s">
        <v>6226</v>
      </c>
      <c r="AN1" s="3" t="s">
        <v>5227</v>
      </c>
    </row>
    <row r="2" spans="1:40" hidden="1" x14ac:dyDescent="0.25">
      <c r="A2" s="1" t="s">
        <v>48</v>
      </c>
      <c r="B2" s="1" t="s">
        <v>49</v>
      </c>
      <c r="C2" s="1" t="s">
        <v>50</v>
      </c>
      <c r="D2" s="1" t="s">
        <v>51</v>
      </c>
      <c r="E2" s="1" t="s">
        <v>52</v>
      </c>
      <c r="F2" s="22" t="s">
        <v>3</v>
      </c>
      <c r="G2" s="1" t="s">
        <v>6085</v>
      </c>
      <c r="H2" s="1" t="s">
        <v>6</v>
      </c>
      <c r="I2" s="1" t="s">
        <v>20</v>
      </c>
      <c r="J2" s="1" t="s">
        <v>26</v>
      </c>
      <c r="K2" s="1" t="s">
        <v>9</v>
      </c>
      <c r="L2" s="1" t="s">
        <v>53</v>
      </c>
      <c r="M2" s="11" t="s">
        <v>188</v>
      </c>
      <c r="N2" s="1" t="s">
        <v>6037</v>
      </c>
      <c r="O2" s="1" t="s">
        <v>10</v>
      </c>
      <c r="P2" s="1" t="s">
        <v>54</v>
      </c>
      <c r="Q2" s="20" t="s">
        <v>5264</v>
      </c>
      <c r="R2" s="1" t="s">
        <v>55</v>
      </c>
      <c r="S2" s="1" t="s">
        <v>6048</v>
      </c>
      <c r="T2" s="1" t="s">
        <v>6047</v>
      </c>
      <c r="U2" s="1" t="s">
        <v>6086</v>
      </c>
      <c r="V2" s="1" t="s">
        <v>6106</v>
      </c>
      <c r="W2" s="27">
        <v>53.571428571428569</v>
      </c>
      <c r="X2" s="27">
        <v>57.142857142857139</v>
      </c>
      <c r="Y2" s="33">
        <f>AVERAGE(Table13[[#This Row],[Score 1]],Table13[[#This Row],[Score 2]])</f>
        <v>55.357142857142854</v>
      </c>
      <c r="Z2" s="1">
        <v>2</v>
      </c>
      <c r="AA2" s="1">
        <v>2</v>
      </c>
      <c r="AB2" s="22">
        <f>Table13[[#This Row],[Rank 1]]+Table13[[#This Row],[Rank 2]]</f>
        <v>4</v>
      </c>
      <c r="AC2" s="1" t="str">
        <f>IF(AND(Table13[[#This Row],[Average score]]&gt;75,Table13[[#This Row],[Total rank]]&gt;6.5),"Yes","No")</f>
        <v>No</v>
      </c>
      <c r="AD2" s="1" t="str">
        <f>IF(AND(Table13[[#This Row],[Average score]]&gt;80,Table13[[#This Row],[Total rank]]&gt;7.5),"Yes","No")</f>
        <v>No</v>
      </c>
      <c r="AF2" s="8">
        <v>45689</v>
      </c>
      <c r="AG2" s="1">
        <v>2</v>
      </c>
      <c r="AH2" s="27">
        <v>24850</v>
      </c>
      <c r="AI2" s="27">
        <v>24850</v>
      </c>
      <c r="AJ2" s="30">
        <v>0</v>
      </c>
      <c r="AK2" s="30">
        <f>Table13[[#This Row],[Year 1]]</f>
        <v>24850</v>
      </c>
      <c r="AL2" s="30">
        <f>Table13[[#This Row],[Year 2]]</f>
        <v>24850</v>
      </c>
      <c r="AM2" s="30">
        <f>Table13[[#This Row],[Year 3]]</f>
        <v>0</v>
      </c>
      <c r="AN2" s="1">
        <v>2</v>
      </c>
    </row>
    <row r="3" spans="1:40" hidden="1" x14ac:dyDescent="0.25">
      <c r="A3" s="1" t="s">
        <v>48</v>
      </c>
      <c r="B3" s="1" t="s">
        <v>63</v>
      </c>
      <c r="C3" s="1" t="s">
        <v>50</v>
      </c>
      <c r="D3" s="1" t="s">
        <v>64</v>
      </c>
      <c r="E3" s="1" t="s">
        <v>65</v>
      </c>
      <c r="F3" s="22" t="s">
        <v>3</v>
      </c>
      <c r="G3" s="1" t="s">
        <v>6085</v>
      </c>
      <c r="H3" s="1" t="s">
        <v>6</v>
      </c>
      <c r="I3" s="1" t="s">
        <v>20</v>
      </c>
      <c r="J3" s="1" t="s">
        <v>26</v>
      </c>
      <c r="K3" s="1" t="s">
        <v>9</v>
      </c>
      <c r="L3" s="1" t="s">
        <v>53</v>
      </c>
      <c r="M3" s="11" t="s">
        <v>188</v>
      </c>
      <c r="N3" s="1" t="s">
        <v>6037</v>
      </c>
      <c r="O3" s="1" t="s">
        <v>14</v>
      </c>
      <c r="P3" s="1" t="s">
        <v>66</v>
      </c>
      <c r="Q3" s="1" t="s">
        <v>5266</v>
      </c>
      <c r="R3" s="1" t="s">
        <v>67</v>
      </c>
      <c r="S3" s="1" t="s">
        <v>6145</v>
      </c>
      <c r="T3" s="1" t="s">
        <v>6146</v>
      </c>
      <c r="U3" s="1" t="s">
        <v>6156</v>
      </c>
      <c r="V3" s="1" t="s">
        <v>6169</v>
      </c>
      <c r="W3" s="27">
        <v>67.857142857142861</v>
      </c>
      <c r="X3" s="27">
        <v>82.142857142857139</v>
      </c>
      <c r="Y3" s="33">
        <f>AVERAGE(Table13[[#This Row],[Score 1]],Table13[[#This Row],[Score 2]])</f>
        <v>75</v>
      </c>
      <c r="Z3" s="1">
        <v>3</v>
      </c>
      <c r="AA3" s="1">
        <v>5</v>
      </c>
      <c r="AB3" s="22">
        <f>Table13[[#This Row],[Rank 1]]+Table13[[#This Row],[Rank 2]]</f>
        <v>8</v>
      </c>
      <c r="AC3" s="1" t="str">
        <f>IF(AND(Table13[[#This Row],[Average score]]&gt;75,Table13[[#This Row],[Total rank]]&gt;6.5),"Yes","No")</f>
        <v>No</v>
      </c>
      <c r="AD3" s="1" t="str">
        <f>IF(AND(Table13[[#This Row],[Average score]]&gt;80,Table13[[#This Row],[Total rank]]&gt;7.5),"Yes","No")</f>
        <v>No</v>
      </c>
      <c r="AF3" s="8">
        <v>45698</v>
      </c>
      <c r="AG3" s="1">
        <v>2</v>
      </c>
      <c r="AH3" s="27">
        <v>75460</v>
      </c>
      <c r="AI3" s="27">
        <v>75460</v>
      </c>
      <c r="AJ3" s="30">
        <v>0</v>
      </c>
      <c r="AK3" s="30">
        <f>Table13[[#This Row],[Year 1]]</f>
        <v>75460</v>
      </c>
      <c r="AL3" s="30">
        <f>Table13[[#This Row],[Year 2]]</f>
        <v>75460</v>
      </c>
      <c r="AM3" s="30">
        <f>Table13[[#This Row],[Year 3]]</f>
        <v>0</v>
      </c>
      <c r="AN3" s="1">
        <v>2</v>
      </c>
    </row>
    <row r="4" spans="1:40" hidden="1" x14ac:dyDescent="0.25">
      <c r="A4" s="1" t="s">
        <v>48</v>
      </c>
      <c r="B4" s="1" t="s">
        <v>88</v>
      </c>
      <c r="C4" s="1" t="s">
        <v>50</v>
      </c>
      <c r="D4" s="1" t="s">
        <v>89</v>
      </c>
      <c r="E4" s="1" t="s">
        <v>90</v>
      </c>
      <c r="F4" s="22" t="s">
        <v>3</v>
      </c>
      <c r="G4" s="1" t="s">
        <v>6085</v>
      </c>
      <c r="H4" s="1" t="s">
        <v>6</v>
      </c>
      <c r="I4" s="1" t="s">
        <v>20</v>
      </c>
      <c r="J4" s="1" t="s">
        <v>25</v>
      </c>
      <c r="K4" s="1" t="s">
        <v>9</v>
      </c>
      <c r="L4" s="1" t="s">
        <v>53</v>
      </c>
      <c r="M4" s="11" t="s">
        <v>188</v>
      </c>
      <c r="N4" s="1" t="s">
        <v>6037</v>
      </c>
      <c r="O4" s="1" t="s">
        <v>11</v>
      </c>
      <c r="P4" s="1" t="s">
        <v>66</v>
      </c>
      <c r="Q4" s="1" t="s">
        <v>5270</v>
      </c>
      <c r="R4" s="1" t="s">
        <v>91</v>
      </c>
      <c r="S4" s="1" t="s">
        <v>6053</v>
      </c>
      <c r="T4" s="1" t="s">
        <v>6054</v>
      </c>
      <c r="U4" s="1" t="s">
        <v>6087</v>
      </c>
      <c r="V4" s="1" t="s">
        <v>6170</v>
      </c>
      <c r="W4" s="27">
        <v>57.142857142857139</v>
      </c>
      <c r="X4" s="27">
        <v>60.714285714285708</v>
      </c>
      <c r="Y4" s="33">
        <f>AVERAGE(Table13[[#This Row],[Score 1]],Table13[[#This Row],[Score 2]])</f>
        <v>58.928571428571423</v>
      </c>
      <c r="Z4" s="1">
        <v>3</v>
      </c>
      <c r="AA4" s="1">
        <v>2</v>
      </c>
      <c r="AB4" s="22">
        <f>Table13[[#This Row],[Rank 1]]+Table13[[#This Row],[Rank 2]]</f>
        <v>5</v>
      </c>
      <c r="AC4" s="1" t="str">
        <f>IF(AND(Table13[[#This Row],[Average score]]&gt;75,Table13[[#This Row],[Total rank]]&gt;6.5),"Yes","No")</f>
        <v>No</v>
      </c>
      <c r="AD4" s="1" t="str">
        <f>IF(AND(Table13[[#This Row],[Average score]]&gt;80,Table13[[#This Row],[Total rank]]&gt;7.5),"Yes","No")</f>
        <v>No</v>
      </c>
      <c r="AF4" s="8">
        <v>45706</v>
      </c>
      <c r="AG4" s="1">
        <v>2</v>
      </c>
      <c r="AH4" s="27">
        <v>111590</v>
      </c>
      <c r="AI4" s="27">
        <v>111590</v>
      </c>
      <c r="AJ4" s="30">
        <v>0</v>
      </c>
      <c r="AK4" s="30">
        <f>Table13[[#This Row],[Year 1]]</f>
        <v>111590</v>
      </c>
      <c r="AL4" s="30">
        <f>Table13[[#This Row],[Year 2]]</f>
        <v>111590</v>
      </c>
      <c r="AM4" s="30">
        <f>Table13[[#This Row],[Year 3]]</f>
        <v>0</v>
      </c>
      <c r="AN4" s="1">
        <v>2</v>
      </c>
    </row>
    <row r="5" spans="1:40" hidden="1" x14ac:dyDescent="0.25">
      <c r="A5" s="1" t="s">
        <v>48</v>
      </c>
      <c r="B5" s="1" t="s">
        <v>93</v>
      </c>
      <c r="C5" s="1" t="s">
        <v>50</v>
      </c>
      <c r="D5" s="1" t="s">
        <v>94</v>
      </c>
      <c r="E5" s="1" t="s">
        <v>95</v>
      </c>
      <c r="F5" s="22" t="s">
        <v>3</v>
      </c>
      <c r="G5" s="1" t="s">
        <v>6085</v>
      </c>
      <c r="H5" s="1" t="s">
        <v>6</v>
      </c>
      <c r="I5" s="1" t="s">
        <v>24</v>
      </c>
      <c r="J5" s="1" t="s">
        <v>25</v>
      </c>
      <c r="K5" s="1" t="s">
        <v>9</v>
      </c>
      <c r="L5" s="1" t="s">
        <v>53</v>
      </c>
      <c r="M5" s="11" t="s">
        <v>188</v>
      </c>
      <c r="N5" s="1" t="s">
        <v>6037</v>
      </c>
      <c r="O5" s="1" t="s">
        <v>16</v>
      </c>
      <c r="P5" s="1" t="s">
        <v>60</v>
      </c>
      <c r="Q5" s="1" t="s">
        <v>5271</v>
      </c>
      <c r="R5" s="1" t="s">
        <v>96</v>
      </c>
      <c r="S5" s="1" t="s">
        <v>6109</v>
      </c>
      <c r="T5" s="1" t="s">
        <v>6124</v>
      </c>
      <c r="U5" s="1" t="s">
        <v>6125</v>
      </c>
      <c r="V5" s="1" t="s">
        <v>6132</v>
      </c>
      <c r="W5" s="27">
        <v>60.714285714285708</v>
      </c>
      <c r="X5" s="27">
        <v>71.428571428571431</v>
      </c>
      <c r="Y5" s="33">
        <f>AVERAGE(Table13[[#This Row],[Score 1]],Table13[[#This Row],[Score 2]])</f>
        <v>66.071428571428569</v>
      </c>
      <c r="Z5" s="1">
        <v>3</v>
      </c>
      <c r="AA5" s="1">
        <v>4</v>
      </c>
      <c r="AB5" s="22">
        <f>Table13[[#This Row],[Rank 1]]+Table13[[#This Row],[Rank 2]]</f>
        <v>7</v>
      </c>
      <c r="AC5" s="1" t="str">
        <f>IF(AND(Table13[[#This Row],[Average score]]&gt;75,Table13[[#This Row],[Total rank]]&gt;6.5),"Yes","No")</f>
        <v>No</v>
      </c>
      <c r="AD5" s="1" t="str">
        <f>IF(AND(Table13[[#This Row],[Average score]]&gt;80,Table13[[#This Row],[Total rank]]&gt;7.5),"Yes","No")</f>
        <v>No</v>
      </c>
      <c r="AF5" s="8">
        <v>45670</v>
      </c>
      <c r="AG5" s="1">
        <v>1</v>
      </c>
      <c r="AH5" s="27">
        <v>32972</v>
      </c>
      <c r="AI5" s="30">
        <v>0</v>
      </c>
      <c r="AJ5" s="30">
        <v>0</v>
      </c>
      <c r="AK5" s="30">
        <f>Table13[[#This Row],[Year 1]]</f>
        <v>32972</v>
      </c>
      <c r="AL5" s="30">
        <f>Table13[[#This Row],[Year 2]]</f>
        <v>0</v>
      </c>
      <c r="AM5" s="30">
        <f>Table13[[#This Row],[Year 3]]</f>
        <v>0</v>
      </c>
      <c r="AN5" s="1">
        <v>3</v>
      </c>
    </row>
    <row r="6" spans="1:40" hidden="1" x14ac:dyDescent="0.25">
      <c r="A6" s="1" t="s">
        <v>48</v>
      </c>
      <c r="B6" s="1" t="s">
        <v>98</v>
      </c>
      <c r="C6" s="1" t="s">
        <v>50</v>
      </c>
      <c r="D6" s="1" t="s">
        <v>99</v>
      </c>
      <c r="E6" s="1" t="s">
        <v>100</v>
      </c>
      <c r="F6" s="22" t="s">
        <v>3</v>
      </c>
      <c r="G6" s="1" t="s">
        <v>6085</v>
      </c>
      <c r="H6" s="1" t="s">
        <v>6</v>
      </c>
      <c r="I6" s="1" t="s">
        <v>20</v>
      </c>
      <c r="J6" s="1" t="s">
        <v>25</v>
      </c>
      <c r="K6" s="1" t="s">
        <v>9</v>
      </c>
      <c r="L6" s="1" t="s">
        <v>78</v>
      </c>
      <c r="M6" s="11" t="s">
        <v>188</v>
      </c>
      <c r="N6" s="1" t="s">
        <v>6037</v>
      </c>
      <c r="O6" s="11" t="s">
        <v>14</v>
      </c>
      <c r="P6" s="1" t="s">
        <v>101</v>
      </c>
      <c r="Q6" s="1" t="s">
        <v>5272</v>
      </c>
      <c r="R6" s="11" t="s">
        <v>102</v>
      </c>
      <c r="S6" s="1" t="s">
        <v>6145</v>
      </c>
      <c r="T6" s="1" t="s">
        <v>6146</v>
      </c>
      <c r="U6" s="1" t="s">
        <v>6156</v>
      </c>
      <c r="V6" s="1" t="s">
        <v>6169</v>
      </c>
      <c r="W6" s="27">
        <v>92.857142857142861</v>
      </c>
      <c r="X6" s="27">
        <v>71.428571428571431</v>
      </c>
      <c r="Y6" s="33">
        <f>AVERAGE(Table13[[#This Row],[Score 1]],Table13[[#This Row],[Score 2]])</f>
        <v>82.142857142857139</v>
      </c>
      <c r="Z6" s="1">
        <v>5</v>
      </c>
      <c r="AA6" s="1">
        <v>3</v>
      </c>
      <c r="AB6" s="22">
        <f>Table13[[#This Row],[Rank 1]]+Table13[[#This Row],[Rank 2]]</f>
        <v>8</v>
      </c>
      <c r="AC6" s="1" t="str">
        <f>IF(AND(Table13[[#This Row],[Average score]]&gt;75,Table13[[#This Row],[Total rank]]&gt;6.5),"Yes","No")</f>
        <v>Yes</v>
      </c>
      <c r="AD6" s="1" t="str">
        <f>IF(AND(Table13[[#This Row],[Average score]]&gt;80,Table13[[#This Row],[Total rank]]&gt;7.5),"Yes","No")</f>
        <v>Yes</v>
      </c>
      <c r="AF6" s="8">
        <v>45700</v>
      </c>
      <c r="AG6" s="1">
        <v>2</v>
      </c>
      <c r="AH6" s="27">
        <v>39200</v>
      </c>
      <c r="AI6" s="27">
        <v>39200</v>
      </c>
      <c r="AJ6" s="30">
        <v>0</v>
      </c>
      <c r="AK6" s="30">
        <f>Table13[[#This Row],[Year 1]]</f>
        <v>39200</v>
      </c>
      <c r="AL6" s="30">
        <f>Table13[[#This Row],[Year 2]]</f>
        <v>39200</v>
      </c>
      <c r="AM6" s="30">
        <f>Table13[[#This Row],[Year 3]]</f>
        <v>0</v>
      </c>
      <c r="AN6" s="1">
        <v>3</v>
      </c>
    </row>
    <row r="7" spans="1:40" hidden="1" x14ac:dyDescent="0.25">
      <c r="A7" s="1" t="s">
        <v>48</v>
      </c>
      <c r="B7" s="1" t="s">
        <v>123</v>
      </c>
      <c r="C7" s="1" t="s">
        <v>50</v>
      </c>
      <c r="D7" s="1" t="s">
        <v>124</v>
      </c>
      <c r="E7" s="1" t="s">
        <v>125</v>
      </c>
      <c r="F7" s="22" t="s">
        <v>3</v>
      </c>
      <c r="G7" s="1" t="s">
        <v>6085</v>
      </c>
      <c r="H7" s="1" t="s">
        <v>6</v>
      </c>
      <c r="I7" s="1" t="s">
        <v>20</v>
      </c>
      <c r="J7" s="1" t="s">
        <v>26</v>
      </c>
      <c r="K7" s="1" t="s">
        <v>9</v>
      </c>
      <c r="L7" s="1" t="s">
        <v>53</v>
      </c>
      <c r="M7" s="11" t="s">
        <v>188</v>
      </c>
      <c r="N7" s="1" t="s">
        <v>6037</v>
      </c>
      <c r="O7" s="1" t="s">
        <v>13</v>
      </c>
      <c r="P7" s="1" t="s">
        <v>126</v>
      </c>
      <c r="Q7" s="1" t="s">
        <v>5276</v>
      </c>
      <c r="R7" s="1" t="s">
        <v>127</v>
      </c>
      <c r="S7" s="1" t="s">
        <v>6070</v>
      </c>
      <c r="T7" s="1" t="s">
        <v>6071</v>
      </c>
      <c r="U7" s="1" t="s">
        <v>6088</v>
      </c>
      <c r="V7" s="1" t="s">
        <v>6171</v>
      </c>
      <c r="W7" s="27">
        <v>71.428571428571431</v>
      </c>
      <c r="X7" s="27">
        <v>67.857142857142861</v>
      </c>
      <c r="Y7" s="33">
        <f>AVERAGE(Table13[[#This Row],[Score 1]],Table13[[#This Row],[Score 2]])</f>
        <v>69.642857142857139</v>
      </c>
      <c r="Z7" s="1">
        <v>3</v>
      </c>
      <c r="AA7" s="1">
        <v>3</v>
      </c>
      <c r="AB7" s="22">
        <f>Table13[[#This Row],[Rank 1]]+Table13[[#This Row],[Rank 2]]</f>
        <v>6</v>
      </c>
      <c r="AC7" s="1" t="str">
        <f>IF(AND(Table13[[#This Row],[Average score]]&gt;75,Table13[[#This Row],[Total rank]]&gt;6.5),"Yes","No")</f>
        <v>No</v>
      </c>
      <c r="AD7" s="1" t="str">
        <f>IF(AND(Table13[[#This Row],[Average score]]&gt;80,Table13[[#This Row],[Total rank]]&gt;7.5),"Yes","No")</f>
        <v>No</v>
      </c>
      <c r="AF7" s="8">
        <v>45690</v>
      </c>
      <c r="AG7" s="1">
        <v>2</v>
      </c>
      <c r="AH7" s="27">
        <v>80000</v>
      </c>
      <c r="AI7" s="27">
        <v>55000</v>
      </c>
      <c r="AJ7" s="30">
        <v>0</v>
      </c>
      <c r="AK7" s="30">
        <f>Table13[[#This Row],[Year 1]]</f>
        <v>80000</v>
      </c>
      <c r="AL7" s="30">
        <f>Table13[[#This Row],[Year 2]]</f>
        <v>55000</v>
      </c>
      <c r="AM7" s="30">
        <f>Table13[[#This Row],[Year 3]]</f>
        <v>0</v>
      </c>
      <c r="AN7" s="1">
        <v>3</v>
      </c>
    </row>
    <row r="8" spans="1:40" hidden="1" x14ac:dyDescent="0.25">
      <c r="A8" s="1" t="s">
        <v>48</v>
      </c>
      <c r="B8" s="10" t="s">
        <v>136</v>
      </c>
      <c r="C8" s="1" t="s">
        <v>50</v>
      </c>
      <c r="D8" s="1" t="s">
        <v>137</v>
      </c>
      <c r="E8" s="1" t="s">
        <v>138</v>
      </c>
      <c r="F8" s="22" t="s">
        <v>3</v>
      </c>
      <c r="G8" s="1" t="s">
        <v>6085</v>
      </c>
      <c r="H8" s="1" t="s">
        <v>6</v>
      </c>
      <c r="I8" s="1" t="s">
        <v>20</v>
      </c>
      <c r="J8" s="1" t="s">
        <v>25</v>
      </c>
      <c r="K8" s="1" t="s">
        <v>9</v>
      </c>
      <c r="L8" s="1" t="s">
        <v>78</v>
      </c>
      <c r="M8" s="11" t="s">
        <v>188</v>
      </c>
      <c r="N8" s="1" t="s">
        <v>6037</v>
      </c>
      <c r="O8" s="1" t="s">
        <v>13</v>
      </c>
      <c r="P8" s="1" t="s">
        <v>139</v>
      </c>
      <c r="Q8" s="1" t="s">
        <v>5278</v>
      </c>
      <c r="R8" s="1" t="s">
        <v>140</v>
      </c>
      <c r="S8" s="1" t="s">
        <v>6079</v>
      </c>
      <c r="T8" s="1" t="s">
        <v>6080</v>
      </c>
      <c r="U8" s="1" t="s">
        <v>6089</v>
      </c>
      <c r="V8" s="1" t="s">
        <v>6172</v>
      </c>
      <c r="W8" s="27">
        <v>78.571428571428569</v>
      </c>
      <c r="X8" s="27">
        <v>71.428571428571431</v>
      </c>
      <c r="Y8" s="33">
        <f>AVERAGE(Table13[[#This Row],[Score 1]],Table13[[#This Row],[Score 2]])</f>
        <v>75</v>
      </c>
      <c r="Z8" s="1">
        <v>3</v>
      </c>
      <c r="AA8" s="1">
        <v>3</v>
      </c>
      <c r="AB8" s="22">
        <f>Table13[[#This Row],[Rank 1]]+Table13[[#This Row],[Rank 2]]</f>
        <v>6</v>
      </c>
      <c r="AC8" s="1" t="str">
        <f>IF(AND(Table13[[#This Row],[Average score]]&gt;75,Table13[[#This Row],[Total rank]]&gt;6.5),"Yes","No")</f>
        <v>No</v>
      </c>
      <c r="AD8" s="1" t="str">
        <f>IF(AND(Table13[[#This Row],[Average score]]&gt;80,Table13[[#This Row],[Total rank]]&gt;7.5),"Yes","No")</f>
        <v>No</v>
      </c>
      <c r="AF8" s="8">
        <v>45691</v>
      </c>
      <c r="AG8" s="1">
        <v>2</v>
      </c>
      <c r="AH8" s="27">
        <v>249619</v>
      </c>
      <c r="AI8" s="27">
        <v>249619</v>
      </c>
      <c r="AJ8" s="30">
        <v>0</v>
      </c>
      <c r="AK8" s="30">
        <f>Table13[[#This Row],[Year 1]]</f>
        <v>249619</v>
      </c>
      <c r="AL8" s="30">
        <f>Table13[[#This Row],[Year 2]]</f>
        <v>249619</v>
      </c>
      <c r="AM8" s="30">
        <f>Table13[[#This Row],[Year 3]]</f>
        <v>0</v>
      </c>
      <c r="AN8" s="1">
        <v>3</v>
      </c>
    </row>
    <row r="9" spans="1:40" hidden="1" x14ac:dyDescent="0.25">
      <c r="A9" s="1" t="s">
        <v>48</v>
      </c>
      <c r="B9" s="1" t="s">
        <v>185</v>
      </c>
      <c r="C9" s="1" t="s">
        <v>50</v>
      </c>
      <c r="D9" s="1" t="s">
        <v>186</v>
      </c>
      <c r="E9" s="1" t="s">
        <v>187</v>
      </c>
      <c r="F9" s="22" t="s">
        <v>3</v>
      </c>
      <c r="G9" s="1" t="s">
        <v>6085</v>
      </c>
      <c r="H9" s="1" t="s">
        <v>6</v>
      </c>
      <c r="I9" s="1" t="s">
        <v>20</v>
      </c>
      <c r="J9" s="1" t="s">
        <v>26</v>
      </c>
      <c r="K9" s="1" t="s">
        <v>9</v>
      </c>
      <c r="L9" s="1" t="s">
        <v>53</v>
      </c>
      <c r="M9" s="11" t="s">
        <v>188</v>
      </c>
      <c r="N9" s="1" t="s">
        <v>6037</v>
      </c>
      <c r="O9" s="1" t="s">
        <v>12</v>
      </c>
      <c r="P9" s="1" t="s">
        <v>66</v>
      </c>
      <c r="Q9" s="1" t="s">
        <v>5287</v>
      </c>
      <c r="R9" s="1" t="s">
        <v>189</v>
      </c>
      <c r="S9" s="1" t="s">
        <v>6153</v>
      </c>
      <c r="T9" s="1" t="s">
        <v>6168</v>
      </c>
      <c r="U9" s="1" t="s">
        <v>6173</v>
      </c>
      <c r="V9" s="1" t="s">
        <v>6157</v>
      </c>
      <c r="W9" s="27">
        <v>67.857142857142861</v>
      </c>
      <c r="X9" s="27">
        <v>57.142857142857139</v>
      </c>
      <c r="Y9" s="33">
        <f>AVERAGE(Table13[[#This Row],[Score 1]],Table13[[#This Row],[Score 2]])</f>
        <v>62.5</v>
      </c>
      <c r="Z9" s="1">
        <v>2</v>
      </c>
      <c r="AA9" s="1">
        <v>1</v>
      </c>
      <c r="AB9" s="22">
        <f>Table13[[#This Row],[Rank 1]]+Table13[[#This Row],[Rank 2]]</f>
        <v>3</v>
      </c>
      <c r="AC9" s="1" t="str">
        <f>IF(AND(Table13[[#This Row],[Average score]]&gt;75,Table13[[#This Row],[Total rank]]&gt;6.5),"Yes","No")</f>
        <v>No</v>
      </c>
      <c r="AD9" s="1" t="str">
        <f>IF(AND(Table13[[#This Row],[Average score]]&gt;80,Table13[[#This Row],[Total rank]]&gt;7.5),"Yes","No")</f>
        <v>No</v>
      </c>
      <c r="AF9" s="8">
        <v>46048</v>
      </c>
      <c r="AG9" s="1">
        <v>2</v>
      </c>
      <c r="AH9" s="27">
        <v>122000</v>
      </c>
      <c r="AI9" s="27">
        <v>122000</v>
      </c>
      <c r="AJ9" s="30">
        <v>0</v>
      </c>
      <c r="AK9" s="30">
        <f>Table13[[#This Row],[Year 1]]</f>
        <v>122000</v>
      </c>
      <c r="AL9" s="30">
        <f>Table13[[#This Row],[Year 2]]</f>
        <v>122000</v>
      </c>
      <c r="AM9" s="30">
        <f>Table13[[#This Row],[Year 3]]</f>
        <v>0</v>
      </c>
      <c r="AN9" s="1">
        <v>3</v>
      </c>
    </row>
    <row r="10" spans="1:40" hidden="1" x14ac:dyDescent="0.25">
      <c r="A10" s="1" t="s">
        <v>48</v>
      </c>
      <c r="B10" s="1" t="s">
        <v>191</v>
      </c>
      <c r="C10" s="1" t="s">
        <v>50</v>
      </c>
      <c r="D10" s="1" t="s">
        <v>192</v>
      </c>
      <c r="E10" s="1" t="s">
        <v>193</v>
      </c>
      <c r="F10" s="22" t="s">
        <v>3</v>
      </c>
      <c r="G10" s="1" t="s">
        <v>6085</v>
      </c>
      <c r="H10" s="1" t="s">
        <v>6</v>
      </c>
      <c r="I10" s="1" t="s">
        <v>20</v>
      </c>
      <c r="J10" s="1" t="s">
        <v>25</v>
      </c>
      <c r="K10" s="1" t="s">
        <v>9</v>
      </c>
      <c r="L10" s="1" t="s">
        <v>78</v>
      </c>
      <c r="M10" s="11" t="s">
        <v>188</v>
      </c>
      <c r="N10" s="1" t="s">
        <v>6037</v>
      </c>
      <c r="O10" s="1" t="s">
        <v>14</v>
      </c>
      <c r="P10" s="1" t="s">
        <v>162</v>
      </c>
      <c r="Q10" s="1" t="s">
        <v>5269</v>
      </c>
      <c r="R10" s="1" t="s">
        <v>194</v>
      </c>
      <c r="S10" s="1" t="s">
        <v>6145</v>
      </c>
      <c r="T10" s="1" t="s">
        <v>6146</v>
      </c>
      <c r="U10" s="1" t="s">
        <v>6156</v>
      </c>
      <c r="V10" s="1" t="s">
        <v>6169</v>
      </c>
      <c r="W10" s="27">
        <v>60.714285714285708</v>
      </c>
      <c r="X10" s="27">
        <v>57.142857142857139</v>
      </c>
      <c r="Y10" s="33">
        <f>AVERAGE(Table13[[#This Row],[Score 1]],Table13[[#This Row],[Score 2]])</f>
        <v>58.928571428571423</v>
      </c>
      <c r="Z10" s="1">
        <v>2</v>
      </c>
      <c r="AA10" s="1">
        <v>2</v>
      </c>
      <c r="AB10" s="22">
        <f>Table13[[#This Row],[Rank 1]]+Table13[[#This Row],[Rank 2]]</f>
        <v>4</v>
      </c>
      <c r="AC10" s="1" t="str">
        <f>IF(AND(Table13[[#This Row],[Average score]]&gt;75,Table13[[#This Row],[Total rank]]&gt;6.5),"Yes","No")</f>
        <v>No</v>
      </c>
      <c r="AD10" s="1" t="str">
        <f>IF(AND(Table13[[#This Row],[Average score]]&gt;80,Table13[[#This Row],[Total rank]]&gt;7.5),"Yes","No")</f>
        <v>No</v>
      </c>
      <c r="AF10" s="8">
        <v>45691</v>
      </c>
      <c r="AG10" s="1">
        <v>1</v>
      </c>
      <c r="AH10" s="27">
        <v>33370</v>
      </c>
      <c r="AI10" s="29">
        <v>15000</v>
      </c>
      <c r="AJ10" s="30">
        <v>0</v>
      </c>
      <c r="AK10" s="30">
        <f>Table13[[#This Row],[Year 1]]</f>
        <v>33370</v>
      </c>
      <c r="AL10" s="30">
        <f>Table13[[#This Row],[Year 2]]</f>
        <v>15000</v>
      </c>
      <c r="AM10" s="30">
        <f>Table13[[#This Row],[Year 3]]</f>
        <v>0</v>
      </c>
      <c r="AN10" s="1">
        <v>3</v>
      </c>
    </row>
    <row r="11" spans="1:40" hidden="1" x14ac:dyDescent="0.25">
      <c r="A11" s="1" t="s">
        <v>48</v>
      </c>
      <c r="B11" s="1" t="s">
        <v>223</v>
      </c>
      <c r="C11" s="1" t="s">
        <v>50</v>
      </c>
      <c r="D11" s="1" t="s">
        <v>224</v>
      </c>
      <c r="E11" s="1" t="s">
        <v>225</v>
      </c>
      <c r="F11" s="22" t="s">
        <v>3</v>
      </c>
      <c r="G11" s="1" t="s">
        <v>6085</v>
      </c>
      <c r="H11" s="1" t="s">
        <v>6</v>
      </c>
      <c r="I11" s="1" t="s">
        <v>20</v>
      </c>
      <c r="J11" s="1" t="s">
        <v>25</v>
      </c>
      <c r="K11" s="1" t="s">
        <v>9</v>
      </c>
      <c r="L11" s="1" t="s">
        <v>78</v>
      </c>
      <c r="M11" s="11" t="s">
        <v>188</v>
      </c>
      <c r="N11" s="1" t="s">
        <v>6037</v>
      </c>
      <c r="O11" s="1" t="s">
        <v>13</v>
      </c>
      <c r="P11" s="1" t="s">
        <v>126</v>
      </c>
      <c r="Q11" s="1" t="s">
        <v>5291</v>
      </c>
      <c r="R11" s="1" t="s">
        <v>226</v>
      </c>
      <c r="S11" s="1" t="s">
        <v>6078</v>
      </c>
      <c r="T11" s="1" t="s">
        <v>6077</v>
      </c>
      <c r="U11" s="1" t="s">
        <v>6090</v>
      </c>
      <c r="V11" s="1" t="s">
        <v>6174</v>
      </c>
      <c r="W11" s="27">
        <v>53.571428571428569</v>
      </c>
      <c r="X11" s="27">
        <v>53.571428571428569</v>
      </c>
      <c r="Y11" s="33">
        <f>AVERAGE(Table13[[#This Row],[Score 1]],Table13[[#This Row],[Score 2]])</f>
        <v>53.571428571428569</v>
      </c>
      <c r="Z11" s="1">
        <v>2</v>
      </c>
      <c r="AA11" s="1">
        <v>2</v>
      </c>
      <c r="AB11" s="22">
        <f>Table13[[#This Row],[Rank 1]]+Table13[[#This Row],[Rank 2]]</f>
        <v>4</v>
      </c>
      <c r="AC11" s="1" t="str">
        <f>IF(AND(Table13[[#This Row],[Average score]]&gt;75,Table13[[#This Row],[Total rank]]&gt;6.5),"Yes","No")</f>
        <v>No</v>
      </c>
      <c r="AD11" s="1" t="str">
        <f>IF(AND(Table13[[#This Row],[Average score]]&gt;80,Table13[[#This Row],[Total rank]]&gt;7.5),"Yes","No")</f>
        <v>No</v>
      </c>
      <c r="AF11" s="8">
        <v>45705</v>
      </c>
      <c r="AG11" s="1">
        <v>2</v>
      </c>
      <c r="AH11" s="27">
        <v>182240</v>
      </c>
      <c r="AI11" s="27">
        <v>182240</v>
      </c>
      <c r="AJ11" s="30">
        <v>0</v>
      </c>
      <c r="AK11" s="30">
        <f>Table13[[#This Row],[Year 1]]</f>
        <v>182240</v>
      </c>
      <c r="AL11" s="30">
        <f>Table13[[#This Row],[Year 2]]</f>
        <v>182240</v>
      </c>
      <c r="AM11" s="30">
        <f>Table13[[#This Row],[Year 3]]</f>
        <v>0</v>
      </c>
      <c r="AN11" s="1">
        <v>3</v>
      </c>
    </row>
    <row r="12" spans="1:40" hidden="1" x14ac:dyDescent="0.25">
      <c r="A12" s="1" t="s">
        <v>48</v>
      </c>
      <c r="B12" s="1" t="s">
        <v>228</v>
      </c>
      <c r="C12" s="1" t="s">
        <v>50</v>
      </c>
      <c r="D12" s="1" t="s">
        <v>229</v>
      </c>
      <c r="E12" s="1" t="s">
        <v>230</v>
      </c>
      <c r="F12" s="22" t="s">
        <v>3</v>
      </c>
      <c r="G12" s="1" t="s">
        <v>6085</v>
      </c>
      <c r="H12" s="1" t="s">
        <v>6</v>
      </c>
      <c r="I12" s="1" t="s">
        <v>20</v>
      </c>
      <c r="J12" s="1" t="s">
        <v>26</v>
      </c>
      <c r="K12" s="1" t="s">
        <v>9</v>
      </c>
      <c r="L12" s="1" t="s">
        <v>53</v>
      </c>
      <c r="M12" s="11" t="s">
        <v>188</v>
      </c>
      <c r="N12" s="1" t="s">
        <v>6037</v>
      </c>
      <c r="O12" s="1" t="s">
        <v>10</v>
      </c>
      <c r="P12" s="1" t="s">
        <v>181</v>
      </c>
      <c r="Q12" s="17" t="s">
        <v>5292</v>
      </c>
      <c r="R12" s="1" t="s">
        <v>1668</v>
      </c>
      <c r="S12" s="1" t="s">
        <v>6043</v>
      </c>
      <c r="T12" s="1" t="s">
        <v>6044</v>
      </c>
      <c r="U12" s="1" t="s">
        <v>6091</v>
      </c>
      <c r="V12" s="1" t="s">
        <v>6175</v>
      </c>
      <c r="W12" s="27">
        <v>32.142857142857146</v>
      </c>
      <c r="X12" s="27">
        <v>75</v>
      </c>
      <c r="Y12" s="33">
        <f>AVERAGE(Table13[[#This Row],[Score 1]],Table13[[#This Row],[Score 2]])</f>
        <v>53.571428571428569</v>
      </c>
      <c r="Z12" s="1">
        <v>2</v>
      </c>
      <c r="AA12" s="1">
        <v>3</v>
      </c>
      <c r="AB12" s="22">
        <f>Table13[[#This Row],[Rank 1]]+Table13[[#This Row],[Rank 2]]</f>
        <v>5</v>
      </c>
      <c r="AC12" s="1" t="str">
        <f>IF(AND(Table13[[#This Row],[Average score]]&gt;75,Table13[[#This Row],[Total rank]]&gt;6.5),"Yes","No")</f>
        <v>No</v>
      </c>
      <c r="AD12" s="1" t="str">
        <f>IF(AND(Table13[[#This Row],[Average score]]&gt;80,Table13[[#This Row],[Total rank]]&gt;7.5),"Yes","No")</f>
        <v>No</v>
      </c>
      <c r="AF12" s="8">
        <v>45668</v>
      </c>
      <c r="AG12" s="1">
        <v>2</v>
      </c>
      <c r="AH12" s="27">
        <v>134220</v>
      </c>
      <c r="AI12" s="27">
        <v>134220</v>
      </c>
      <c r="AJ12" s="30">
        <v>0</v>
      </c>
      <c r="AK12" s="30">
        <f>Table13[[#This Row],[Year 1]]</f>
        <v>134220</v>
      </c>
      <c r="AL12" s="30">
        <f>Table13[[#This Row],[Year 2]]</f>
        <v>134220</v>
      </c>
      <c r="AM12" s="30">
        <f>Table13[[#This Row],[Year 3]]</f>
        <v>0</v>
      </c>
      <c r="AN12" s="1">
        <v>3</v>
      </c>
    </row>
    <row r="13" spans="1:40" hidden="1" x14ac:dyDescent="0.25">
      <c r="A13" s="1" t="s">
        <v>48</v>
      </c>
      <c r="B13" s="1" t="s">
        <v>244</v>
      </c>
      <c r="C13" s="1" t="s">
        <v>50</v>
      </c>
      <c r="D13" s="1" t="s">
        <v>245</v>
      </c>
      <c r="E13" s="1" t="s">
        <v>246</v>
      </c>
      <c r="F13" s="22" t="s">
        <v>3</v>
      </c>
      <c r="G13" s="1" t="s">
        <v>6085</v>
      </c>
      <c r="H13" s="1" t="s">
        <v>6</v>
      </c>
      <c r="I13" s="1" t="s">
        <v>20</v>
      </c>
      <c r="J13" s="1" t="s">
        <v>25</v>
      </c>
      <c r="K13" s="1" t="s">
        <v>9</v>
      </c>
      <c r="L13" s="1" t="s">
        <v>53</v>
      </c>
      <c r="M13" s="11" t="s">
        <v>188</v>
      </c>
      <c r="N13" s="1" t="s">
        <v>6037</v>
      </c>
      <c r="O13" s="1" t="s">
        <v>13</v>
      </c>
      <c r="P13" s="1" t="s">
        <v>247</v>
      </c>
      <c r="Q13" s="1" t="s">
        <v>5295</v>
      </c>
      <c r="R13" s="1" t="s">
        <v>248</v>
      </c>
      <c r="S13" s="1" t="s">
        <v>6072</v>
      </c>
      <c r="T13" s="1" t="s">
        <v>6073</v>
      </c>
      <c r="U13" s="1" t="s">
        <v>6092</v>
      </c>
      <c r="V13" s="1" t="s">
        <v>6176</v>
      </c>
      <c r="W13" s="27">
        <v>85.714285714285708</v>
      </c>
      <c r="X13" s="27">
        <v>89.285714285714292</v>
      </c>
      <c r="Y13" s="33">
        <f>AVERAGE(Table13[[#This Row],[Score 1]],Table13[[#This Row],[Score 2]])</f>
        <v>87.5</v>
      </c>
      <c r="Z13" s="1">
        <v>4</v>
      </c>
      <c r="AA13" s="1">
        <v>5</v>
      </c>
      <c r="AB13" s="22">
        <f>Table13[[#This Row],[Rank 1]]+Table13[[#This Row],[Rank 2]]</f>
        <v>9</v>
      </c>
      <c r="AC13" s="1" t="str">
        <f>IF(AND(Table13[[#This Row],[Average score]]&gt;75,Table13[[#This Row],[Total rank]]&gt;6.5),"Yes","No")</f>
        <v>Yes</v>
      </c>
      <c r="AD13" s="1" t="str">
        <f>IF(AND(Table13[[#This Row],[Average score]]&gt;80,Table13[[#This Row],[Total rank]]&gt;7.5),"Yes","No")</f>
        <v>Yes</v>
      </c>
      <c r="AF13" s="8">
        <v>46053</v>
      </c>
      <c r="AG13" s="1">
        <v>1</v>
      </c>
      <c r="AH13" s="27">
        <v>97682</v>
      </c>
      <c r="AI13" s="29">
        <v>0</v>
      </c>
      <c r="AJ13" s="30">
        <v>0</v>
      </c>
      <c r="AK13" s="30">
        <f>Table13[[#This Row],[Year 1]]</f>
        <v>97682</v>
      </c>
      <c r="AL13" s="30">
        <f>Table13[[#This Row],[Year 2]]</f>
        <v>0</v>
      </c>
      <c r="AM13" s="30">
        <f>Table13[[#This Row],[Year 3]]</f>
        <v>0</v>
      </c>
      <c r="AN13" s="1">
        <v>3</v>
      </c>
    </row>
    <row r="14" spans="1:40" hidden="1" x14ac:dyDescent="0.25">
      <c r="A14" s="1" t="s">
        <v>48</v>
      </c>
      <c r="B14" s="1" t="s">
        <v>264</v>
      </c>
      <c r="C14" s="1" t="s">
        <v>50</v>
      </c>
      <c r="D14" s="1" t="s">
        <v>265</v>
      </c>
      <c r="E14" s="1" t="s">
        <v>266</v>
      </c>
      <c r="F14" s="22" t="s">
        <v>3</v>
      </c>
      <c r="G14" s="1" t="s">
        <v>6085</v>
      </c>
      <c r="H14" s="1" t="s">
        <v>6</v>
      </c>
      <c r="I14" s="1" t="s">
        <v>20</v>
      </c>
      <c r="J14" s="1" t="s">
        <v>26</v>
      </c>
      <c r="K14" s="1" t="s">
        <v>9</v>
      </c>
      <c r="L14" s="1" t="s">
        <v>78</v>
      </c>
      <c r="M14" s="11" t="s">
        <v>188</v>
      </c>
      <c r="N14" s="1" t="s">
        <v>6037</v>
      </c>
      <c r="O14" s="1" t="s">
        <v>19</v>
      </c>
      <c r="P14" s="1" t="s">
        <v>267</v>
      </c>
      <c r="Q14" s="1" t="s">
        <v>5299</v>
      </c>
      <c r="R14" s="1" t="s">
        <v>268</v>
      </c>
      <c r="S14" s="1" t="s">
        <v>6151</v>
      </c>
      <c r="T14" s="1" t="s">
        <v>6150</v>
      </c>
      <c r="U14" s="1" t="s">
        <v>6158</v>
      </c>
      <c r="V14" s="1" t="s">
        <v>6151</v>
      </c>
      <c r="W14" s="27">
        <v>67.857142857142861</v>
      </c>
      <c r="X14" s="27">
        <v>85.714285714285708</v>
      </c>
      <c r="Y14" s="33">
        <f>AVERAGE(Table13[[#This Row],[Score 1]],Table13[[#This Row],[Score 2]])</f>
        <v>76.785714285714278</v>
      </c>
      <c r="Z14" s="1">
        <v>4</v>
      </c>
      <c r="AA14" s="1">
        <v>4</v>
      </c>
      <c r="AB14" s="22">
        <f>Table13[[#This Row],[Rank 1]]+Table13[[#This Row],[Rank 2]]</f>
        <v>8</v>
      </c>
      <c r="AC14" s="1" t="str">
        <f>IF(AND(Table13[[#This Row],[Average score]]&gt;75,Table13[[#This Row],[Total rank]]&gt;6.5),"Yes","No")</f>
        <v>Yes</v>
      </c>
      <c r="AD14" s="1" t="str">
        <f>IF(AND(Table13[[#This Row],[Average score]]&gt;80,Table13[[#This Row],[Total rank]]&gt;7.5),"Yes","No")</f>
        <v>No</v>
      </c>
      <c r="AF14" s="8">
        <v>45695</v>
      </c>
      <c r="AG14" s="1">
        <v>1</v>
      </c>
      <c r="AH14" s="27">
        <v>131392</v>
      </c>
      <c r="AI14" s="30">
        <v>0</v>
      </c>
      <c r="AJ14" s="30">
        <v>0</v>
      </c>
      <c r="AK14" s="30">
        <f>Table13[[#This Row],[Year 1]]</f>
        <v>131392</v>
      </c>
      <c r="AL14" s="30">
        <f>Table13[[#This Row],[Year 2]]</f>
        <v>0</v>
      </c>
      <c r="AM14" s="30">
        <f>Table13[[#This Row],[Year 3]]</f>
        <v>0</v>
      </c>
      <c r="AN14" s="1">
        <v>3</v>
      </c>
    </row>
    <row r="15" spans="1:40" hidden="1" x14ac:dyDescent="0.25">
      <c r="A15" s="1" t="s">
        <v>48</v>
      </c>
      <c r="B15" s="1" t="s">
        <v>303</v>
      </c>
      <c r="C15" s="1" t="s">
        <v>50</v>
      </c>
      <c r="D15" s="1" t="s">
        <v>304</v>
      </c>
      <c r="E15" s="1" t="s">
        <v>305</v>
      </c>
      <c r="F15" s="22" t="s">
        <v>3</v>
      </c>
      <c r="G15" s="1" t="s">
        <v>6085</v>
      </c>
      <c r="H15" s="1" t="s">
        <v>6</v>
      </c>
      <c r="I15" s="1" t="s">
        <v>20</v>
      </c>
      <c r="J15" s="1" t="s">
        <v>26</v>
      </c>
      <c r="K15" s="1" t="s">
        <v>9</v>
      </c>
      <c r="L15" s="1" t="s">
        <v>78</v>
      </c>
      <c r="M15" s="11" t="s">
        <v>188</v>
      </c>
      <c r="N15" s="1" t="s">
        <v>6037</v>
      </c>
      <c r="O15" s="1" t="s">
        <v>12</v>
      </c>
      <c r="P15" s="1" t="s">
        <v>306</v>
      </c>
      <c r="Q15" s="1" t="s">
        <v>5305</v>
      </c>
      <c r="R15" s="1" t="s">
        <v>307</v>
      </c>
      <c r="S15" s="1" t="s">
        <v>6153</v>
      </c>
      <c r="T15" s="1" t="s">
        <v>6155</v>
      </c>
      <c r="U15" s="1" t="s">
        <v>6157</v>
      </c>
      <c r="V15" s="1" t="s">
        <v>6164</v>
      </c>
      <c r="W15" s="27">
        <v>64.285714285714292</v>
      </c>
      <c r="X15" s="27">
        <v>60.714285714285708</v>
      </c>
      <c r="Y15" s="33">
        <f>AVERAGE(Table13[[#This Row],[Score 1]],Table13[[#This Row],[Score 2]])</f>
        <v>62.5</v>
      </c>
      <c r="Z15" s="1">
        <v>2</v>
      </c>
      <c r="AA15" s="1">
        <v>3</v>
      </c>
      <c r="AB15" s="22">
        <f>Table13[[#This Row],[Rank 1]]+Table13[[#This Row],[Rank 2]]</f>
        <v>5</v>
      </c>
      <c r="AC15" s="1" t="str">
        <f>IF(AND(Table13[[#This Row],[Average score]]&gt;75,Table13[[#This Row],[Total rank]]&gt;6.5),"Yes","No")</f>
        <v>No</v>
      </c>
      <c r="AD15" s="1" t="str">
        <f>IF(AND(Table13[[#This Row],[Average score]]&gt;80,Table13[[#This Row],[Total rank]]&gt;7.5),"Yes","No")</f>
        <v>No</v>
      </c>
      <c r="AF15" s="8">
        <v>45702</v>
      </c>
      <c r="AG15" s="1">
        <v>2</v>
      </c>
      <c r="AH15" s="27">
        <v>84000</v>
      </c>
      <c r="AI15" s="27">
        <v>111000</v>
      </c>
      <c r="AJ15" s="30">
        <v>0</v>
      </c>
      <c r="AK15" s="30">
        <f>Table13[[#This Row],[Year 1]]</f>
        <v>84000</v>
      </c>
      <c r="AL15" s="30">
        <f>Table13[[#This Row],[Year 2]]</f>
        <v>111000</v>
      </c>
      <c r="AM15" s="30">
        <f>Table13[[#This Row],[Year 3]]</f>
        <v>0</v>
      </c>
      <c r="AN15" s="1">
        <v>3</v>
      </c>
    </row>
    <row r="16" spans="1:40" hidden="1" x14ac:dyDescent="0.25">
      <c r="A16" s="1" t="s">
        <v>48</v>
      </c>
      <c r="B16" s="1" t="s">
        <v>310</v>
      </c>
      <c r="C16" s="1" t="s">
        <v>50</v>
      </c>
      <c r="D16" s="1" t="s">
        <v>311</v>
      </c>
      <c r="E16" s="1" t="s">
        <v>312</v>
      </c>
      <c r="F16" s="22" t="s">
        <v>3</v>
      </c>
      <c r="G16" s="1" t="s">
        <v>6085</v>
      </c>
      <c r="H16" s="1" t="s">
        <v>6</v>
      </c>
      <c r="I16" s="1" t="s">
        <v>20</v>
      </c>
      <c r="J16" s="1" t="s">
        <v>26</v>
      </c>
      <c r="K16" s="1" t="s">
        <v>9</v>
      </c>
      <c r="L16" s="1" t="s">
        <v>53</v>
      </c>
      <c r="M16" s="11" t="s">
        <v>188</v>
      </c>
      <c r="N16" s="1" t="s">
        <v>6037</v>
      </c>
      <c r="O16" s="1" t="s">
        <v>14</v>
      </c>
      <c r="P16" s="1" t="s">
        <v>313</v>
      </c>
      <c r="Q16" s="1" t="s">
        <v>5306</v>
      </c>
      <c r="R16" s="1" t="s">
        <v>1672</v>
      </c>
      <c r="S16" s="1" t="s">
        <v>6145</v>
      </c>
      <c r="T16" s="1" t="s">
        <v>6146</v>
      </c>
      <c r="U16" s="1" t="s">
        <v>6156</v>
      </c>
      <c r="V16" s="1" t="s">
        <v>6169</v>
      </c>
      <c r="W16" s="27">
        <v>100</v>
      </c>
      <c r="X16" s="27">
        <v>92.857142857142861</v>
      </c>
      <c r="Y16" s="33">
        <f>AVERAGE(Table13[[#This Row],[Score 1]],Table13[[#This Row],[Score 2]])</f>
        <v>96.428571428571431</v>
      </c>
      <c r="Z16" s="1">
        <v>5</v>
      </c>
      <c r="AA16" s="1">
        <v>4</v>
      </c>
      <c r="AB16" s="22">
        <f>Table13[[#This Row],[Rank 1]]+Table13[[#This Row],[Rank 2]]</f>
        <v>9</v>
      </c>
      <c r="AC16" s="1" t="str">
        <f>IF(AND(Table13[[#This Row],[Average score]]&gt;75,Table13[[#This Row],[Total rank]]&gt;6.5),"Yes","No")</f>
        <v>Yes</v>
      </c>
      <c r="AD16" s="1" t="str">
        <f>IF(AND(Table13[[#This Row],[Average score]]&gt;80,Table13[[#This Row],[Total rank]]&gt;7.5),"Yes","No")</f>
        <v>Yes</v>
      </c>
      <c r="AF16" s="8">
        <v>45709</v>
      </c>
      <c r="AG16" s="1">
        <v>2</v>
      </c>
      <c r="AH16" s="27">
        <v>177660</v>
      </c>
      <c r="AI16" s="27">
        <v>169000</v>
      </c>
      <c r="AJ16" s="30">
        <v>0</v>
      </c>
      <c r="AK16" s="30">
        <f>Table13[[#This Row],[Year 1]]</f>
        <v>177660</v>
      </c>
      <c r="AL16" s="30">
        <f>Table13[[#This Row],[Year 2]]</f>
        <v>169000</v>
      </c>
      <c r="AM16" s="30">
        <f>Table13[[#This Row],[Year 3]]</f>
        <v>0</v>
      </c>
      <c r="AN16" s="1">
        <v>3</v>
      </c>
    </row>
    <row r="17" spans="1:40" hidden="1" x14ac:dyDescent="0.25">
      <c r="A17" s="1" t="s">
        <v>48</v>
      </c>
      <c r="B17" s="1" t="s">
        <v>316</v>
      </c>
      <c r="C17" s="1" t="s">
        <v>50</v>
      </c>
      <c r="D17" s="1" t="s">
        <v>317</v>
      </c>
      <c r="E17" s="1" t="s">
        <v>318</v>
      </c>
      <c r="F17" s="22" t="s">
        <v>3</v>
      </c>
      <c r="G17" s="1" t="s">
        <v>6085</v>
      </c>
      <c r="H17" s="1" t="s">
        <v>6</v>
      </c>
      <c r="I17" s="1" t="s">
        <v>21</v>
      </c>
      <c r="J17" s="1" t="s">
        <v>26</v>
      </c>
      <c r="K17" s="1" t="s">
        <v>9</v>
      </c>
      <c r="L17" s="1" t="s">
        <v>78</v>
      </c>
      <c r="M17" s="11" t="s">
        <v>188</v>
      </c>
      <c r="N17" s="1" t="s">
        <v>6037</v>
      </c>
      <c r="O17" s="1" t="s">
        <v>19</v>
      </c>
      <c r="P17" s="1" t="s">
        <v>60</v>
      </c>
      <c r="Q17" s="1" t="s">
        <v>4501</v>
      </c>
      <c r="R17" s="1" t="s">
        <v>319</v>
      </c>
      <c r="S17" s="1" t="s">
        <v>6145</v>
      </c>
      <c r="T17" s="1" t="s">
        <v>6146</v>
      </c>
      <c r="U17" s="1" t="s">
        <v>6156</v>
      </c>
      <c r="V17" s="1" t="s">
        <v>6169</v>
      </c>
      <c r="W17" s="27">
        <v>67.857142857142861</v>
      </c>
      <c r="X17" s="27">
        <v>78.571428571428569</v>
      </c>
      <c r="Y17" s="33">
        <f>AVERAGE(Table13[[#This Row],[Score 1]],Table13[[#This Row],[Score 2]])</f>
        <v>73.214285714285722</v>
      </c>
      <c r="Z17" s="1">
        <v>4</v>
      </c>
      <c r="AA17" s="1">
        <v>4</v>
      </c>
      <c r="AB17" s="22">
        <f>Table13[[#This Row],[Rank 1]]+Table13[[#This Row],[Rank 2]]</f>
        <v>8</v>
      </c>
      <c r="AC17" s="1" t="str">
        <f>IF(AND(Table13[[#This Row],[Average score]]&gt;75,Table13[[#This Row],[Total rank]]&gt;6.5),"Yes","No")</f>
        <v>No</v>
      </c>
      <c r="AD17" s="1" t="str">
        <f>IF(AND(Table13[[#This Row],[Average score]]&gt;80,Table13[[#This Row],[Total rank]]&gt;7.5),"Yes","No")</f>
        <v>No</v>
      </c>
      <c r="AF17" s="8">
        <v>45698</v>
      </c>
      <c r="AG17" s="1">
        <v>2</v>
      </c>
      <c r="AH17" s="27">
        <v>-20000</v>
      </c>
      <c r="AI17" s="27">
        <v>-30000</v>
      </c>
      <c r="AJ17" s="30">
        <v>0</v>
      </c>
      <c r="AK17" s="30">
        <f>Table13[[#This Row],[Year 1]]</f>
        <v>-20000</v>
      </c>
      <c r="AL17" s="30">
        <f>Table13[[#This Row],[Year 2]]</f>
        <v>-30000</v>
      </c>
      <c r="AM17" s="30">
        <f>Table13[[#This Row],[Year 3]]</f>
        <v>0</v>
      </c>
      <c r="AN17" s="1">
        <v>2</v>
      </c>
    </row>
    <row r="18" spans="1:40" hidden="1" x14ac:dyDescent="0.25">
      <c r="A18" s="1" t="s">
        <v>48</v>
      </c>
      <c r="B18" s="1" t="s">
        <v>322</v>
      </c>
      <c r="C18" s="1" t="s">
        <v>50</v>
      </c>
      <c r="D18" s="1" t="s">
        <v>323</v>
      </c>
      <c r="E18" s="1" t="s">
        <v>324</v>
      </c>
      <c r="F18" s="22" t="s">
        <v>3</v>
      </c>
      <c r="G18" s="1" t="s">
        <v>6085</v>
      </c>
      <c r="H18" s="1" t="s">
        <v>6</v>
      </c>
      <c r="I18" s="1" t="s">
        <v>20</v>
      </c>
      <c r="J18" s="1" t="s">
        <v>25</v>
      </c>
      <c r="K18" s="1" t="s">
        <v>9</v>
      </c>
      <c r="L18" s="1" t="s">
        <v>78</v>
      </c>
      <c r="M18" s="11" t="s">
        <v>188</v>
      </c>
      <c r="N18" s="1" t="s">
        <v>6037</v>
      </c>
      <c r="O18" s="1" t="s">
        <v>13</v>
      </c>
      <c r="P18" s="1" t="s">
        <v>199</v>
      </c>
      <c r="Q18" s="1" t="s">
        <v>5307</v>
      </c>
      <c r="R18" s="1" t="s">
        <v>325</v>
      </c>
      <c r="S18" s="1" t="s">
        <v>6072</v>
      </c>
      <c r="T18" s="1" t="s">
        <v>6073</v>
      </c>
      <c r="U18" s="1" t="s">
        <v>6092</v>
      </c>
      <c r="V18" s="1" t="s">
        <v>6176</v>
      </c>
      <c r="W18" s="27">
        <v>57.142857142857139</v>
      </c>
      <c r="X18" s="27">
        <v>53.571428571428569</v>
      </c>
      <c r="Y18" s="33">
        <f>AVERAGE(Table13[[#This Row],[Score 1]],Table13[[#This Row],[Score 2]])</f>
        <v>55.357142857142854</v>
      </c>
      <c r="Z18" s="1">
        <v>2</v>
      </c>
      <c r="AA18" s="1">
        <v>1</v>
      </c>
      <c r="AB18" s="22">
        <f>Table13[[#This Row],[Rank 1]]+Table13[[#This Row],[Rank 2]]</f>
        <v>3</v>
      </c>
      <c r="AC18" s="1" t="str">
        <f>IF(AND(Table13[[#This Row],[Average score]]&gt;75,Table13[[#This Row],[Total rank]]&gt;6.5),"Yes","No")</f>
        <v>No</v>
      </c>
      <c r="AD18" s="1" t="str">
        <f>IF(AND(Table13[[#This Row],[Average score]]&gt;80,Table13[[#This Row],[Total rank]]&gt;7.5),"Yes","No")</f>
        <v>No</v>
      </c>
      <c r="AF18" s="8">
        <v>45684</v>
      </c>
      <c r="AG18" s="1">
        <v>2</v>
      </c>
      <c r="AH18" s="27">
        <v>78391</v>
      </c>
      <c r="AI18" s="27">
        <v>101391</v>
      </c>
      <c r="AJ18" s="30">
        <v>0</v>
      </c>
      <c r="AK18" s="30">
        <f>Table13[[#This Row],[Year 1]]</f>
        <v>78391</v>
      </c>
      <c r="AL18" s="30">
        <f>Table13[[#This Row],[Year 2]]</f>
        <v>101391</v>
      </c>
      <c r="AM18" s="30">
        <f>Table13[[#This Row],[Year 3]]</f>
        <v>0</v>
      </c>
      <c r="AN18" s="1">
        <v>2</v>
      </c>
    </row>
    <row r="19" spans="1:40" hidden="1" x14ac:dyDescent="0.25">
      <c r="A19" s="1" t="s">
        <v>48</v>
      </c>
      <c r="B19" s="1" t="s">
        <v>345</v>
      </c>
      <c r="C19" s="1" t="s">
        <v>50</v>
      </c>
      <c r="D19" s="1" t="s">
        <v>346</v>
      </c>
      <c r="E19" s="1" t="s">
        <v>347</v>
      </c>
      <c r="F19" s="22" t="s">
        <v>2</v>
      </c>
      <c r="G19" s="1" t="s">
        <v>6085</v>
      </c>
      <c r="H19" s="1" t="s">
        <v>6</v>
      </c>
      <c r="I19" s="1" t="s">
        <v>20</v>
      </c>
      <c r="J19" s="1" t="s">
        <v>25</v>
      </c>
      <c r="K19" s="1" t="s">
        <v>9</v>
      </c>
      <c r="L19" s="1" t="s">
        <v>78</v>
      </c>
      <c r="M19" s="11" t="s">
        <v>188</v>
      </c>
      <c r="N19" s="1" t="s">
        <v>6037</v>
      </c>
      <c r="O19" s="1" t="s">
        <v>14</v>
      </c>
      <c r="P19" s="1" t="s">
        <v>181</v>
      </c>
      <c r="Q19" s="1" t="s">
        <v>5311</v>
      </c>
      <c r="R19" s="1" t="s">
        <v>348</v>
      </c>
      <c r="S19" s="1" t="s">
        <v>6145</v>
      </c>
      <c r="T19" s="1" t="s">
        <v>6146</v>
      </c>
      <c r="U19" s="1" t="s">
        <v>6156</v>
      </c>
      <c r="V19" s="1" t="s">
        <v>6169</v>
      </c>
      <c r="W19" s="27">
        <v>60.714285714285708</v>
      </c>
      <c r="X19" s="27">
        <v>67.857142857142861</v>
      </c>
      <c r="Y19" s="33">
        <f>AVERAGE(Table13[[#This Row],[Score 1]],Table13[[#This Row],[Score 2]])</f>
        <v>64.285714285714278</v>
      </c>
      <c r="Z19" s="1">
        <v>3</v>
      </c>
      <c r="AA19" s="1">
        <v>2</v>
      </c>
      <c r="AB19" s="22">
        <f>Table13[[#This Row],[Rank 1]]+Table13[[#This Row],[Rank 2]]</f>
        <v>5</v>
      </c>
      <c r="AC19" s="1" t="str">
        <f>IF(AND(Table13[[#This Row],[Average score]]&gt;75,Table13[[#This Row],[Total rank]]&gt;6.5),"Yes","No")</f>
        <v>No</v>
      </c>
      <c r="AD19" s="1" t="str">
        <f>IF(AND(Table13[[#This Row],[Average score]]&gt;80,Table13[[#This Row],[Total rank]]&gt;7.5),"Yes","No")</f>
        <v>No</v>
      </c>
      <c r="AF19" s="8">
        <v>45670</v>
      </c>
      <c r="AG19" s="1">
        <v>2</v>
      </c>
      <c r="AH19" s="27">
        <v>95000</v>
      </c>
      <c r="AI19" s="27">
        <v>95000</v>
      </c>
      <c r="AJ19" s="30">
        <v>0</v>
      </c>
      <c r="AK19" s="30">
        <f>Table13[[#This Row],[Year 1]]</f>
        <v>95000</v>
      </c>
      <c r="AL19" s="30">
        <f>Table13[[#This Row],[Year 2]]</f>
        <v>95000</v>
      </c>
      <c r="AM19" s="30">
        <f>Table13[[#This Row],[Year 3]]</f>
        <v>0</v>
      </c>
      <c r="AN19" s="1">
        <v>2</v>
      </c>
    </row>
    <row r="20" spans="1:40" hidden="1" x14ac:dyDescent="0.25">
      <c r="A20" s="1" t="s">
        <v>48</v>
      </c>
      <c r="B20" s="1" t="s">
        <v>356</v>
      </c>
      <c r="C20" s="1" t="s">
        <v>50</v>
      </c>
      <c r="D20" s="1" t="s">
        <v>357</v>
      </c>
      <c r="E20" s="1" t="s">
        <v>358</v>
      </c>
      <c r="F20" s="22" t="s">
        <v>3</v>
      </c>
      <c r="G20" s="1" t="s">
        <v>6085</v>
      </c>
      <c r="H20" s="1" t="s">
        <v>6</v>
      </c>
      <c r="I20" s="1" t="s">
        <v>20</v>
      </c>
      <c r="J20" s="1" t="s">
        <v>26</v>
      </c>
      <c r="K20" s="1" t="s">
        <v>9</v>
      </c>
      <c r="L20" s="1" t="s">
        <v>53</v>
      </c>
      <c r="M20" s="11" t="s">
        <v>188</v>
      </c>
      <c r="N20" s="1" t="s">
        <v>6037</v>
      </c>
      <c r="O20" s="1" t="s">
        <v>16</v>
      </c>
      <c r="P20" s="1" t="s">
        <v>126</v>
      </c>
      <c r="Q20" s="1" t="s">
        <v>5313</v>
      </c>
      <c r="R20" s="1" t="s">
        <v>359</v>
      </c>
      <c r="S20" s="1" t="s">
        <v>6117</v>
      </c>
      <c r="T20" s="1" t="s">
        <v>6118</v>
      </c>
      <c r="U20" s="1" t="s">
        <v>6126</v>
      </c>
      <c r="V20" s="1" t="s">
        <v>6177</v>
      </c>
      <c r="W20" s="27">
        <v>78.571428571428569</v>
      </c>
      <c r="X20" s="27">
        <v>64.285714285714292</v>
      </c>
      <c r="Y20" s="33">
        <f>AVERAGE(Table13[[#This Row],[Score 1]],Table13[[#This Row],[Score 2]])</f>
        <v>71.428571428571431</v>
      </c>
      <c r="Z20" s="1">
        <v>4</v>
      </c>
      <c r="AA20" s="1">
        <v>3</v>
      </c>
      <c r="AB20" s="22">
        <f>Table13[[#This Row],[Rank 1]]+Table13[[#This Row],[Rank 2]]</f>
        <v>7</v>
      </c>
      <c r="AC20" s="1" t="str">
        <f>IF(AND(Table13[[#This Row],[Average score]]&gt;75,Table13[[#This Row],[Total rank]]&gt;6.5),"Yes","No")</f>
        <v>No</v>
      </c>
      <c r="AD20" s="1" t="str">
        <f>IF(AND(Table13[[#This Row],[Average score]]&gt;80,Table13[[#This Row],[Total rank]]&gt;7.5),"Yes","No")</f>
        <v>No</v>
      </c>
      <c r="AF20" s="8">
        <v>45705</v>
      </c>
      <c r="AG20" s="1">
        <v>1</v>
      </c>
      <c r="AH20" s="27">
        <v>148580</v>
      </c>
      <c r="AI20" s="30">
        <v>0</v>
      </c>
      <c r="AJ20" s="30">
        <v>0</v>
      </c>
      <c r="AK20" s="30">
        <f>Table13[[#This Row],[Year 1]]</f>
        <v>148580</v>
      </c>
      <c r="AL20" s="30">
        <f>Table13[[#This Row],[Year 2]]</f>
        <v>0</v>
      </c>
      <c r="AM20" s="30">
        <f>Table13[[#This Row],[Year 3]]</f>
        <v>0</v>
      </c>
      <c r="AN20" s="1">
        <v>3</v>
      </c>
    </row>
    <row r="21" spans="1:40" hidden="1" x14ac:dyDescent="0.25">
      <c r="A21" s="1" t="s">
        <v>48</v>
      </c>
      <c r="B21" s="2" t="s">
        <v>366</v>
      </c>
      <c r="C21" s="1" t="s">
        <v>50</v>
      </c>
      <c r="D21" s="1" t="s">
        <v>367</v>
      </c>
      <c r="E21" s="1" t="s">
        <v>368</v>
      </c>
      <c r="F21" s="22" t="s">
        <v>3</v>
      </c>
      <c r="G21" s="1" t="s">
        <v>6085</v>
      </c>
      <c r="H21" s="1" t="s">
        <v>6</v>
      </c>
      <c r="I21" s="1" t="s">
        <v>20</v>
      </c>
      <c r="J21" s="1" t="s">
        <v>26</v>
      </c>
      <c r="K21" s="1" t="s">
        <v>9</v>
      </c>
      <c r="L21" s="1" t="s">
        <v>53</v>
      </c>
      <c r="M21" s="11" t="s">
        <v>188</v>
      </c>
      <c r="N21" s="1" t="s">
        <v>6037</v>
      </c>
      <c r="O21" s="1" t="s">
        <v>18</v>
      </c>
      <c r="P21" s="1" t="s">
        <v>369</v>
      </c>
      <c r="Q21" s="1" t="s">
        <v>5315</v>
      </c>
      <c r="R21" s="19" t="s">
        <v>370</v>
      </c>
      <c r="S21" s="1" t="s">
        <v>6152</v>
      </c>
      <c r="T21" s="1" t="s">
        <v>6205</v>
      </c>
      <c r="U21" s="1" t="s">
        <v>6178</v>
      </c>
      <c r="V21" s="1" t="s">
        <v>6159</v>
      </c>
      <c r="W21" s="27">
        <v>30.555555555555557</v>
      </c>
      <c r="X21" s="27">
        <v>66.666666666666657</v>
      </c>
      <c r="Y21" s="33">
        <f>AVERAGE(Table13[[#This Row],[Score 1]],Table13[[#This Row],[Score 2]])</f>
        <v>48.611111111111107</v>
      </c>
      <c r="Z21" s="1">
        <v>1</v>
      </c>
      <c r="AA21" s="1">
        <v>3</v>
      </c>
      <c r="AB21" s="22">
        <f>Table13[[#This Row],[Rank 1]]+Table13[[#This Row],[Rank 2]]</f>
        <v>4</v>
      </c>
      <c r="AC21" s="1" t="str">
        <f>IF(AND(Table13[[#This Row],[Average score]]&gt;75,Table13[[#This Row],[Total rank]]&gt;6.5),"Yes","No")</f>
        <v>No</v>
      </c>
      <c r="AD21" s="1" t="str">
        <f>IF(AND(Table13[[#This Row],[Average score]]&gt;80,Table13[[#This Row],[Total rank]]&gt;7.5),"Yes","No")</f>
        <v>No</v>
      </c>
      <c r="AF21" s="8">
        <v>45689</v>
      </c>
      <c r="AG21" s="1">
        <v>2</v>
      </c>
      <c r="AH21" s="27">
        <v>160000</v>
      </c>
      <c r="AI21" s="27">
        <v>160000</v>
      </c>
      <c r="AJ21" s="30">
        <v>0</v>
      </c>
      <c r="AK21" s="30">
        <f>Table13[[#This Row],[Year 1]]</f>
        <v>160000</v>
      </c>
      <c r="AL21" s="30">
        <f>Table13[[#This Row],[Year 2]]</f>
        <v>160000</v>
      </c>
      <c r="AM21" s="30">
        <f>Table13[[#This Row],[Year 3]]</f>
        <v>0</v>
      </c>
      <c r="AN21" s="1">
        <v>3</v>
      </c>
    </row>
    <row r="22" spans="1:40" hidden="1" x14ac:dyDescent="0.25">
      <c r="A22" s="1" t="s">
        <v>48</v>
      </c>
      <c r="B22" s="1" t="s">
        <v>374</v>
      </c>
      <c r="C22" s="1" t="s">
        <v>50</v>
      </c>
      <c r="D22" s="1" t="s">
        <v>375</v>
      </c>
      <c r="E22" s="1" t="s">
        <v>376</v>
      </c>
      <c r="F22" s="22" t="s">
        <v>3</v>
      </c>
      <c r="G22" s="1" t="s">
        <v>6085</v>
      </c>
      <c r="H22" s="1" t="s">
        <v>6</v>
      </c>
      <c r="I22" s="1" t="s">
        <v>24</v>
      </c>
      <c r="J22" s="1" t="s">
        <v>25</v>
      </c>
      <c r="K22" s="1" t="s">
        <v>9</v>
      </c>
      <c r="L22" s="1" t="s">
        <v>53</v>
      </c>
      <c r="M22" s="11" t="s">
        <v>188</v>
      </c>
      <c r="N22" s="1" t="s">
        <v>6037</v>
      </c>
      <c r="O22" s="1" t="s">
        <v>14</v>
      </c>
      <c r="P22" s="1" t="s">
        <v>377</v>
      </c>
      <c r="Q22" s="1" t="s">
        <v>5317</v>
      </c>
      <c r="R22" s="1" t="s">
        <v>378</v>
      </c>
      <c r="S22" s="1" t="s">
        <v>6145</v>
      </c>
      <c r="T22" s="1" t="s">
        <v>6146</v>
      </c>
      <c r="U22" s="1" t="s">
        <v>6156</v>
      </c>
      <c r="V22" s="1" t="s">
        <v>6169</v>
      </c>
      <c r="W22" s="27">
        <v>85.714285714285708</v>
      </c>
      <c r="X22" s="27">
        <v>82.142857142857139</v>
      </c>
      <c r="Y22" s="33">
        <f>AVERAGE(Table13[[#This Row],[Score 1]],Table13[[#This Row],[Score 2]])</f>
        <v>83.928571428571416</v>
      </c>
      <c r="Z22" s="1">
        <v>4</v>
      </c>
      <c r="AA22" s="1">
        <v>3</v>
      </c>
      <c r="AB22" s="22">
        <f>Table13[[#This Row],[Rank 1]]+Table13[[#This Row],[Rank 2]]</f>
        <v>7</v>
      </c>
      <c r="AC22" s="1" t="str">
        <f>IF(AND(Table13[[#This Row],[Average score]]&gt;75,Table13[[#This Row],[Total rank]]&gt;6.5),"Yes","No")</f>
        <v>Yes</v>
      </c>
      <c r="AD22" s="1" t="str">
        <f>IF(AND(Table13[[#This Row],[Average score]]&gt;80,Table13[[#This Row],[Total rank]]&gt;7.5),"Yes","No")</f>
        <v>No</v>
      </c>
      <c r="AF22" s="8">
        <v>45741</v>
      </c>
      <c r="AG22" s="1">
        <v>1</v>
      </c>
      <c r="AH22" s="27">
        <v>18625</v>
      </c>
      <c r="AI22" s="30">
        <v>0</v>
      </c>
      <c r="AJ22" s="30">
        <v>0</v>
      </c>
      <c r="AK22" s="30">
        <f>Table13[[#This Row],[Year 1]]</f>
        <v>18625</v>
      </c>
      <c r="AL22" s="30">
        <f>Table13[[#This Row],[Year 2]]</f>
        <v>0</v>
      </c>
      <c r="AM22" s="30">
        <f>Table13[[#This Row],[Year 3]]</f>
        <v>0</v>
      </c>
      <c r="AN22" s="1">
        <v>3</v>
      </c>
    </row>
    <row r="23" spans="1:40" hidden="1" x14ac:dyDescent="0.25">
      <c r="A23" s="1" t="s">
        <v>48</v>
      </c>
      <c r="B23" s="1" t="s">
        <v>380</v>
      </c>
      <c r="C23" s="1" t="s">
        <v>50</v>
      </c>
      <c r="D23" s="1" t="s">
        <v>381</v>
      </c>
      <c r="E23" s="1" t="s">
        <v>382</v>
      </c>
      <c r="F23" s="22" t="s">
        <v>3</v>
      </c>
      <c r="G23" s="1" t="s">
        <v>6085</v>
      </c>
      <c r="H23" s="1" t="s">
        <v>6</v>
      </c>
      <c r="I23" s="1" t="s">
        <v>20</v>
      </c>
      <c r="J23" s="1" t="s">
        <v>26</v>
      </c>
      <c r="K23" s="1" t="s">
        <v>9</v>
      </c>
      <c r="L23" s="1" t="s">
        <v>53</v>
      </c>
      <c r="M23" s="11" t="s">
        <v>188</v>
      </c>
      <c r="N23" s="1" t="s">
        <v>6037</v>
      </c>
      <c r="O23" s="1" t="s">
        <v>19</v>
      </c>
      <c r="P23" s="1" t="s">
        <v>383</v>
      </c>
      <c r="Q23" s="1" t="s">
        <v>5318</v>
      </c>
      <c r="R23" s="1" t="s">
        <v>384</v>
      </c>
      <c r="S23" s="1" t="s">
        <v>6137</v>
      </c>
      <c r="T23" s="1" t="s">
        <v>6138</v>
      </c>
      <c r="U23" s="1" t="s">
        <v>6160</v>
      </c>
      <c r="V23" s="1" t="s">
        <v>6203</v>
      </c>
      <c r="W23" s="27">
        <v>85.714285714285708</v>
      </c>
      <c r="X23" s="27">
        <v>64.285714285714292</v>
      </c>
      <c r="Y23" s="33">
        <f>AVERAGE(Table13[[#This Row],[Score 1]],Table13[[#This Row],[Score 2]])</f>
        <v>75</v>
      </c>
      <c r="Z23" s="1">
        <v>3</v>
      </c>
      <c r="AA23" s="1">
        <v>2</v>
      </c>
      <c r="AB23" s="22">
        <f>Table13[[#This Row],[Rank 1]]+Table13[[#This Row],[Rank 2]]</f>
        <v>5</v>
      </c>
      <c r="AC23" s="1" t="str">
        <f>IF(AND(Table13[[#This Row],[Average score]]&gt;75,Table13[[#This Row],[Total rank]]&gt;6.5),"Yes","No")</f>
        <v>No</v>
      </c>
      <c r="AD23" s="1" t="str">
        <f>IF(AND(Table13[[#This Row],[Average score]]&gt;80,Table13[[#This Row],[Total rank]]&gt;7.5),"Yes","No")</f>
        <v>No</v>
      </c>
      <c r="AF23" s="8">
        <v>45743</v>
      </c>
      <c r="AG23" s="1">
        <v>2</v>
      </c>
      <c r="AH23" s="27">
        <v>-67000</v>
      </c>
      <c r="AI23" s="27">
        <v>-15000</v>
      </c>
      <c r="AJ23" s="30">
        <v>0</v>
      </c>
      <c r="AK23" s="30">
        <f>Table13[[#This Row],[Year 1]]</f>
        <v>-67000</v>
      </c>
      <c r="AL23" s="30">
        <f>Table13[[#This Row],[Year 2]]</f>
        <v>-15000</v>
      </c>
      <c r="AM23" s="30">
        <f>Table13[[#This Row],[Year 3]]</f>
        <v>0</v>
      </c>
      <c r="AN23" s="1">
        <v>3</v>
      </c>
    </row>
    <row r="24" spans="1:40" hidden="1" x14ac:dyDescent="0.25">
      <c r="A24" s="1" t="s">
        <v>48</v>
      </c>
      <c r="B24" s="1" t="s">
        <v>387</v>
      </c>
      <c r="C24" s="1" t="s">
        <v>50</v>
      </c>
      <c r="D24" s="1" t="s">
        <v>388</v>
      </c>
      <c r="E24" s="1" t="s">
        <v>389</v>
      </c>
      <c r="F24" s="22" t="s">
        <v>3</v>
      </c>
      <c r="G24" s="1" t="s">
        <v>6085</v>
      </c>
      <c r="H24" s="1" t="s">
        <v>6</v>
      </c>
      <c r="I24" s="1" t="s">
        <v>20</v>
      </c>
      <c r="J24" s="1" t="s">
        <v>26</v>
      </c>
      <c r="K24" s="1" t="s">
        <v>9</v>
      </c>
      <c r="L24" s="1" t="s">
        <v>53</v>
      </c>
      <c r="M24" s="11" t="s">
        <v>188</v>
      </c>
      <c r="N24" s="1" t="s">
        <v>6037</v>
      </c>
      <c r="O24" s="1" t="s">
        <v>13</v>
      </c>
      <c r="P24" s="1" t="s">
        <v>247</v>
      </c>
      <c r="Q24" s="1" t="s">
        <v>5319</v>
      </c>
      <c r="R24" s="1" t="s">
        <v>390</v>
      </c>
      <c r="S24" s="1" t="s">
        <v>6072</v>
      </c>
      <c r="T24" s="1" t="s">
        <v>6073</v>
      </c>
      <c r="U24" s="1" t="s">
        <v>6092</v>
      </c>
      <c r="V24" s="1" t="s">
        <v>6176</v>
      </c>
      <c r="W24" s="27">
        <v>53.571428571428569</v>
      </c>
      <c r="X24" s="27">
        <v>67.857142857142861</v>
      </c>
      <c r="Y24" s="33">
        <f>AVERAGE(Table13[[#This Row],[Score 1]],Table13[[#This Row],[Score 2]])</f>
        <v>60.714285714285715</v>
      </c>
      <c r="Z24" s="1">
        <v>1</v>
      </c>
      <c r="AA24" s="1">
        <v>2</v>
      </c>
      <c r="AB24" s="22">
        <f>Table13[[#This Row],[Rank 1]]+Table13[[#This Row],[Rank 2]]</f>
        <v>3</v>
      </c>
      <c r="AC24" s="1" t="str">
        <f>IF(AND(Table13[[#This Row],[Average score]]&gt;75,Table13[[#This Row],[Total rank]]&gt;6.5),"Yes","No")</f>
        <v>No</v>
      </c>
      <c r="AD24" s="1" t="str">
        <f>IF(AND(Table13[[#This Row],[Average score]]&gt;80,Table13[[#This Row],[Total rank]]&gt;7.5),"Yes","No")</f>
        <v>No</v>
      </c>
      <c r="AF24" s="8">
        <v>45679</v>
      </c>
      <c r="AG24" s="1">
        <v>1</v>
      </c>
      <c r="AH24" s="27">
        <v>172000</v>
      </c>
      <c r="AI24" s="30">
        <v>0</v>
      </c>
      <c r="AJ24" s="30">
        <v>0</v>
      </c>
      <c r="AK24" s="30">
        <f>Table13[[#This Row],[Year 1]]</f>
        <v>172000</v>
      </c>
      <c r="AL24" s="30">
        <f>Table13[[#This Row],[Year 2]]</f>
        <v>0</v>
      </c>
      <c r="AM24" s="30">
        <f>Table13[[#This Row],[Year 3]]</f>
        <v>0</v>
      </c>
      <c r="AN24" s="1">
        <v>4</v>
      </c>
    </row>
    <row r="25" spans="1:40" hidden="1" x14ac:dyDescent="0.25">
      <c r="A25" s="1" t="s">
        <v>48</v>
      </c>
      <c r="B25" s="1" t="s">
        <v>398</v>
      </c>
      <c r="C25" s="1" t="s">
        <v>50</v>
      </c>
      <c r="D25" s="1" t="s">
        <v>399</v>
      </c>
      <c r="E25" s="1" t="s">
        <v>400</v>
      </c>
      <c r="F25" s="22" t="s">
        <v>3</v>
      </c>
      <c r="G25" s="1" t="s">
        <v>6085</v>
      </c>
      <c r="H25" s="1" t="s">
        <v>6</v>
      </c>
      <c r="I25" s="1" t="s">
        <v>20</v>
      </c>
      <c r="J25" s="1" t="s">
        <v>26</v>
      </c>
      <c r="K25" s="1" t="s">
        <v>9</v>
      </c>
      <c r="L25" s="1" t="s">
        <v>53</v>
      </c>
      <c r="M25" s="11" t="s">
        <v>188</v>
      </c>
      <c r="N25" s="1" t="s">
        <v>6037</v>
      </c>
      <c r="O25" s="1" t="s">
        <v>13</v>
      </c>
      <c r="P25" s="1" t="s">
        <v>401</v>
      </c>
      <c r="Q25" s="1" t="s">
        <v>5321</v>
      </c>
      <c r="R25" s="1" t="s">
        <v>402</v>
      </c>
      <c r="S25" s="1" t="s">
        <v>6070</v>
      </c>
      <c r="T25" s="1" t="s">
        <v>6071</v>
      </c>
      <c r="U25" s="1" t="s">
        <v>6088</v>
      </c>
      <c r="V25" s="1" t="s">
        <v>6171</v>
      </c>
      <c r="W25" s="27">
        <v>71.428571428571431</v>
      </c>
      <c r="X25" s="27">
        <v>71.428571428571431</v>
      </c>
      <c r="Y25" s="33">
        <f>AVERAGE(Table13[[#This Row],[Score 1]],Table13[[#This Row],[Score 2]])</f>
        <v>71.428571428571431</v>
      </c>
      <c r="Z25" s="1">
        <v>2</v>
      </c>
      <c r="AA25" s="1">
        <v>3</v>
      </c>
      <c r="AB25" s="22">
        <f>Table13[[#This Row],[Rank 1]]+Table13[[#This Row],[Rank 2]]</f>
        <v>5</v>
      </c>
      <c r="AC25" s="1" t="str">
        <f>IF(AND(Table13[[#This Row],[Average score]]&gt;75,Table13[[#This Row],[Total rank]]&gt;6.5),"Yes","No")</f>
        <v>No</v>
      </c>
      <c r="AD25" s="1" t="str">
        <f>IF(AND(Table13[[#This Row],[Average score]]&gt;80,Table13[[#This Row],[Total rank]]&gt;7.5),"Yes","No")</f>
        <v>No</v>
      </c>
      <c r="AF25" s="8">
        <v>45677</v>
      </c>
      <c r="AG25" s="1">
        <v>2</v>
      </c>
      <c r="AH25" s="27">
        <v>140265</v>
      </c>
      <c r="AI25" s="27">
        <v>163915</v>
      </c>
      <c r="AJ25" s="30">
        <v>0</v>
      </c>
      <c r="AK25" s="30">
        <f>Table13[[#This Row],[Year 1]]</f>
        <v>140265</v>
      </c>
      <c r="AL25" s="30">
        <f>Table13[[#This Row],[Year 2]]</f>
        <v>163915</v>
      </c>
      <c r="AM25" s="30">
        <f>Table13[[#This Row],[Year 3]]</f>
        <v>0</v>
      </c>
      <c r="AN25" s="1">
        <v>2</v>
      </c>
    </row>
    <row r="26" spans="1:40" hidden="1" x14ac:dyDescent="0.25">
      <c r="A26" s="1" t="s">
        <v>48</v>
      </c>
      <c r="B26" s="1" t="s">
        <v>412</v>
      </c>
      <c r="C26" s="1" t="s">
        <v>50</v>
      </c>
      <c r="D26" s="1" t="s">
        <v>413</v>
      </c>
      <c r="E26" s="1" t="s">
        <v>414</v>
      </c>
      <c r="F26" s="22" t="s">
        <v>3</v>
      </c>
      <c r="G26" s="1" t="s">
        <v>6085</v>
      </c>
      <c r="H26" s="1" t="s">
        <v>6</v>
      </c>
      <c r="I26" s="1" t="s">
        <v>20</v>
      </c>
      <c r="J26" s="1" t="s">
        <v>25</v>
      </c>
      <c r="K26" s="1" t="s">
        <v>9</v>
      </c>
      <c r="L26" s="1" t="s">
        <v>53</v>
      </c>
      <c r="M26" s="1" t="s">
        <v>1011</v>
      </c>
      <c r="N26" s="1" t="s">
        <v>6037</v>
      </c>
      <c r="O26" s="1" t="s">
        <v>16</v>
      </c>
      <c r="P26" s="1" t="s">
        <v>415</v>
      </c>
      <c r="Q26" s="1" t="s">
        <v>5323</v>
      </c>
      <c r="R26" s="1" t="s">
        <v>416</v>
      </c>
      <c r="S26" s="1" t="s">
        <v>6111</v>
      </c>
      <c r="T26" s="1" t="s">
        <v>6112</v>
      </c>
      <c r="U26" s="1" t="s">
        <v>6127</v>
      </c>
      <c r="V26" s="1" t="s">
        <v>6179</v>
      </c>
      <c r="W26" s="27">
        <v>57.142857142857139</v>
      </c>
      <c r="X26" s="27">
        <v>71.428571428571431</v>
      </c>
      <c r="Y26" s="33">
        <f>AVERAGE(Table13[[#This Row],[Score 1]],Table13[[#This Row],[Score 2]])</f>
        <v>64.285714285714278</v>
      </c>
      <c r="Z26" s="1">
        <v>2</v>
      </c>
      <c r="AA26" s="1">
        <v>3</v>
      </c>
      <c r="AB26" s="22">
        <f>Table13[[#This Row],[Rank 1]]+Table13[[#This Row],[Rank 2]]</f>
        <v>5</v>
      </c>
      <c r="AC26" s="1" t="str">
        <f>IF(AND(Table13[[#This Row],[Average score]]&gt;75,Table13[[#This Row],[Total rank]]&gt;6.5),"Yes","No")</f>
        <v>No</v>
      </c>
      <c r="AD26" s="1" t="str">
        <f>IF(AND(Table13[[#This Row],[Average score]]&gt;80,Table13[[#This Row],[Total rank]]&gt;7.5),"Yes","No")</f>
        <v>No</v>
      </c>
      <c r="AF26" s="8">
        <v>45733</v>
      </c>
      <c r="AG26" s="1">
        <v>1</v>
      </c>
      <c r="AH26" s="27">
        <v>39765</v>
      </c>
      <c r="AI26" s="29">
        <v>39765</v>
      </c>
      <c r="AJ26" s="30">
        <v>0</v>
      </c>
      <c r="AK26" s="30">
        <f>Table13[[#This Row],[Year 1]]</f>
        <v>39765</v>
      </c>
      <c r="AL26" s="30">
        <f>Table13[[#This Row],[Year 2]]</f>
        <v>39765</v>
      </c>
      <c r="AM26" s="30">
        <f>Table13[[#This Row],[Year 3]]</f>
        <v>0</v>
      </c>
      <c r="AN26" s="1">
        <v>3</v>
      </c>
    </row>
    <row r="27" spans="1:40" hidden="1" x14ac:dyDescent="0.25">
      <c r="A27" s="1" t="s">
        <v>48</v>
      </c>
      <c r="B27" s="2" t="s">
        <v>418</v>
      </c>
      <c r="C27" s="1" t="s">
        <v>50</v>
      </c>
      <c r="D27" s="1" t="s">
        <v>419</v>
      </c>
      <c r="E27" s="1" t="s">
        <v>420</v>
      </c>
      <c r="F27" s="22" t="s">
        <v>3</v>
      </c>
      <c r="G27" s="1" t="s">
        <v>6085</v>
      </c>
      <c r="H27" s="1" t="s">
        <v>6</v>
      </c>
      <c r="I27" s="1" t="s">
        <v>20</v>
      </c>
      <c r="J27" s="1" t="s">
        <v>26</v>
      </c>
      <c r="K27" s="1" t="s">
        <v>9</v>
      </c>
      <c r="L27" s="1" t="s">
        <v>78</v>
      </c>
      <c r="M27" s="11" t="s">
        <v>188</v>
      </c>
      <c r="N27" s="1" t="s">
        <v>6037</v>
      </c>
      <c r="O27" s="1" t="s">
        <v>16</v>
      </c>
      <c r="P27" s="1" t="s">
        <v>421</v>
      </c>
      <c r="Q27" s="1" t="s">
        <v>5324</v>
      </c>
      <c r="R27" s="1" t="s">
        <v>422</v>
      </c>
      <c r="S27" s="1" t="s">
        <v>6122</v>
      </c>
      <c r="T27" s="1" t="s">
        <v>6121</v>
      </c>
      <c r="U27" s="1" t="s">
        <v>6122</v>
      </c>
      <c r="V27" s="1" t="s">
        <v>6180</v>
      </c>
      <c r="W27" s="27">
        <v>67.857142857142861</v>
      </c>
      <c r="X27" s="27">
        <v>67.857142857142861</v>
      </c>
      <c r="Y27" s="33">
        <f>AVERAGE(Table13[[#This Row],[Score 1]],Table13[[#This Row],[Score 2]])</f>
        <v>67.857142857142861</v>
      </c>
      <c r="Z27" s="1">
        <v>2</v>
      </c>
      <c r="AA27" s="1">
        <v>3</v>
      </c>
      <c r="AB27" s="22">
        <f>Table13[[#This Row],[Rank 1]]+Table13[[#This Row],[Rank 2]]</f>
        <v>5</v>
      </c>
      <c r="AC27" s="1" t="str">
        <f>IF(AND(Table13[[#This Row],[Average score]]&gt;75,Table13[[#This Row],[Total rank]]&gt;6.5),"Yes","No")</f>
        <v>No</v>
      </c>
      <c r="AD27" s="1" t="str">
        <f>IF(AND(Table13[[#This Row],[Average score]]&gt;80,Table13[[#This Row],[Total rank]]&gt;7.5),"Yes","No")</f>
        <v>No</v>
      </c>
      <c r="AF27" s="8">
        <v>45698</v>
      </c>
      <c r="AG27" s="1">
        <v>2</v>
      </c>
      <c r="AH27" s="27">
        <v>86135</v>
      </c>
      <c r="AI27" s="27">
        <v>43818</v>
      </c>
      <c r="AJ27" s="30">
        <v>0</v>
      </c>
      <c r="AK27" s="30">
        <f>Table13[[#This Row],[Year 1]]</f>
        <v>86135</v>
      </c>
      <c r="AL27" s="30">
        <f>Table13[[#This Row],[Year 2]]</f>
        <v>43818</v>
      </c>
      <c r="AM27" s="30">
        <f>Table13[[#This Row],[Year 3]]</f>
        <v>0</v>
      </c>
      <c r="AN27" s="1">
        <v>3</v>
      </c>
    </row>
    <row r="28" spans="1:40" hidden="1" x14ac:dyDescent="0.25">
      <c r="A28" s="1" t="s">
        <v>48</v>
      </c>
      <c r="B28" s="1" t="s">
        <v>445</v>
      </c>
      <c r="C28" s="1" t="s">
        <v>50</v>
      </c>
      <c r="D28" s="1" t="s">
        <v>446</v>
      </c>
      <c r="E28" s="1" t="s">
        <v>447</v>
      </c>
      <c r="F28" s="22" t="s">
        <v>3</v>
      </c>
      <c r="G28" s="1" t="s">
        <v>6085</v>
      </c>
      <c r="H28" s="1" t="s">
        <v>6</v>
      </c>
      <c r="I28" s="1" t="s">
        <v>20</v>
      </c>
      <c r="J28" s="1" t="s">
        <v>27</v>
      </c>
      <c r="K28" s="1" t="s">
        <v>9</v>
      </c>
      <c r="L28" s="1" t="s">
        <v>53</v>
      </c>
      <c r="M28" s="11" t="s">
        <v>188</v>
      </c>
      <c r="N28" s="1" t="s">
        <v>6037</v>
      </c>
      <c r="O28" s="1" t="s">
        <v>13</v>
      </c>
      <c r="P28" s="1" t="s">
        <v>60</v>
      </c>
      <c r="Q28" s="1" t="s">
        <v>5329</v>
      </c>
      <c r="R28" s="1" t="s">
        <v>448</v>
      </c>
      <c r="S28" s="1" t="s">
        <v>6075</v>
      </c>
      <c r="T28" s="1" t="s">
        <v>6074</v>
      </c>
      <c r="U28" s="1" t="s">
        <v>6093</v>
      </c>
      <c r="V28" s="1" t="s">
        <v>6181</v>
      </c>
      <c r="W28" s="27">
        <v>50</v>
      </c>
      <c r="X28" s="27">
        <v>50</v>
      </c>
      <c r="Y28" s="33">
        <f>AVERAGE(Table13[[#This Row],[Score 1]],Table13[[#This Row],[Score 2]])</f>
        <v>50</v>
      </c>
      <c r="Z28" s="1">
        <v>1</v>
      </c>
      <c r="AA28" s="1">
        <v>2</v>
      </c>
      <c r="AB28" s="22">
        <f>Table13[[#This Row],[Rank 1]]+Table13[[#This Row],[Rank 2]]</f>
        <v>3</v>
      </c>
      <c r="AC28" s="1" t="str">
        <f>IF(AND(Table13[[#This Row],[Average score]]&gt;75,Table13[[#This Row],[Total rank]]&gt;6.5),"Yes","No")</f>
        <v>No</v>
      </c>
      <c r="AD28" s="1" t="str">
        <f>IF(AND(Table13[[#This Row],[Average score]]&gt;80,Table13[[#This Row],[Total rank]]&gt;7.5),"Yes","No")</f>
        <v>No</v>
      </c>
      <c r="AF28" s="8">
        <v>45716</v>
      </c>
      <c r="AG28" s="1">
        <v>2</v>
      </c>
      <c r="AH28" s="27">
        <v>30000</v>
      </c>
      <c r="AI28" s="27">
        <v>30000</v>
      </c>
      <c r="AJ28" s="30">
        <v>0</v>
      </c>
      <c r="AK28" s="30">
        <f>Table13[[#This Row],[Year 1]]</f>
        <v>30000</v>
      </c>
      <c r="AL28" s="30">
        <f>Table13[[#This Row],[Year 2]]</f>
        <v>30000</v>
      </c>
      <c r="AM28" s="30">
        <f>Table13[[#This Row],[Year 3]]</f>
        <v>0</v>
      </c>
      <c r="AN28" s="1">
        <v>3</v>
      </c>
    </row>
    <row r="29" spans="1:40" hidden="1" x14ac:dyDescent="0.25">
      <c r="A29" s="1" t="s">
        <v>48</v>
      </c>
      <c r="B29" s="1" t="s">
        <v>449</v>
      </c>
      <c r="C29" s="1" t="s">
        <v>50</v>
      </c>
      <c r="D29" s="1" t="s">
        <v>450</v>
      </c>
      <c r="E29" s="1" t="s">
        <v>451</v>
      </c>
      <c r="F29" s="22" t="s">
        <v>3</v>
      </c>
      <c r="G29" s="1" t="s">
        <v>6085</v>
      </c>
      <c r="H29" s="1" t="s">
        <v>6</v>
      </c>
      <c r="I29" s="1" t="s">
        <v>20</v>
      </c>
      <c r="J29" s="1" t="s">
        <v>26</v>
      </c>
      <c r="K29" s="1" t="s">
        <v>9</v>
      </c>
      <c r="L29" s="1" t="s">
        <v>53</v>
      </c>
      <c r="M29" s="11" t="s">
        <v>188</v>
      </c>
      <c r="N29" s="1" t="s">
        <v>6037</v>
      </c>
      <c r="O29" s="1" t="s">
        <v>13</v>
      </c>
      <c r="P29" s="1" t="s">
        <v>452</v>
      </c>
      <c r="Q29" s="1" t="s">
        <v>5330</v>
      </c>
      <c r="R29" s="1" t="s">
        <v>1676</v>
      </c>
      <c r="S29" s="1" t="s">
        <v>6075</v>
      </c>
      <c r="T29" s="1" t="s">
        <v>6074</v>
      </c>
      <c r="U29" s="1" t="s">
        <v>6093</v>
      </c>
      <c r="V29" s="1" t="s">
        <v>6181</v>
      </c>
      <c r="W29" s="27">
        <v>67.857142857142861</v>
      </c>
      <c r="X29" s="27">
        <v>42.857142857142854</v>
      </c>
      <c r="Y29" s="33">
        <f>AVERAGE(Table13[[#This Row],[Score 1]],Table13[[#This Row],[Score 2]])</f>
        <v>55.357142857142861</v>
      </c>
      <c r="Z29" s="1">
        <v>3</v>
      </c>
      <c r="AA29" s="1">
        <v>2</v>
      </c>
      <c r="AB29" s="22">
        <f>Table13[[#This Row],[Rank 1]]+Table13[[#This Row],[Rank 2]]</f>
        <v>5</v>
      </c>
      <c r="AC29" s="1" t="str">
        <f>IF(AND(Table13[[#This Row],[Average score]]&gt;75,Table13[[#This Row],[Total rank]]&gt;6.5),"Yes","No")</f>
        <v>No</v>
      </c>
      <c r="AD29" s="1" t="str">
        <f>IF(AND(Table13[[#This Row],[Average score]]&gt;80,Table13[[#This Row],[Total rank]]&gt;7.5),"Yes","No")</f>
        <v>No</v>
      </c>
      <c r="AF29" s="8">
        <v>46023</v>
      </c>
      <c r="AG29" s="1">
        <v>1</v>
      </c>
      <c r="AH29" s="27">
        <v>115517</v>
      </c>
      <c r="AI29" s="29">
        <v>24000</v>
      </c>
      <c r="AJ29" s="30">
        <v>0</v>
      </c>
      <c r="AK29" s="30">
        <f>Table13[[#This Row],[Year 1]]</f>
        <v>115517</v>
      </c>
      <c r="AL29" s="30">
        <f>Table13[[#This Row],[Year 2]]</f>
        <v>24000</v>
      </c>
      <c r="AM29" s="30">
        <f>Table13[[#This Row],[Year 3]]</f>
        <v>0</v>
      </c>
      <c r="AN29" s="1">
        <v>3</v>
      </c>
    </row>
    <row r="30" spans="1:40" hidden="1" x14ac:dyDescent="0.25">
      <c r="A30" s="1" t="s">
        <v>48</v>
      </c>
      <c r="B30" s="2" t="s">
        <v>461</v>
      </c>
      <c r="C30" s="1" t="s">
        <v>50</v>
      </c>
      <c r="D30" s="1" t="s">
        <v>462</v>
      </c>
      <c r="E30" s="1" t="s">
        <v>463</v>
      </c>
      <c r="F30" s="22" t="s">
        <v>3</v>
      </c>
      <c r="G30" s="1" t="s">
        <v>6085</v>
      </c>
      <c r="H30" s="1" t="s">
        <v>6</v>
      </c>
      <c r="I30" s="1" t="s">
        <v>20</v>
      </c>
      <c r="J30" s="1" t="s">
        <v>26</v>
      </c>
      <c r="K30" s="1" t="s">
        <v>9</v>
      </c>
      <c r="L30" s="1" t="s">
        <v>53</v>
      </c>
      <c r="M30" s="11" t="s">
        <v>188</v>
      </c>
      <c r="N30" s="1" t="s">
        <v>6037</v>
      </c>
      <c r="O30" s="1" t="s">
        <v>16</v>
      </c>
      <c r="P30" s="1" t="s">
        <v>181</v>
      </c>
      <c r="Q30" s="1" t="s">
        <v>5332</v>
      </c>
      <c r="R30" s="1" t="s">
        <v>464</v>
      </c>
      <c r="S30" s="1" t="s">
        <v>6122</v>
      </c>
      <c r="T30" s="1" t="s">
        <v>6121</v>
      </c>
      <c r="U30" s="1" t="s">
        <v>6122</v>
      </c>
      <c r="V30" s="1" t="s">
        <v>6180</v>
      </c>
      <c r="W30" s="27">
        <v>71.428571428571431</v>
      </c>
      <c r="X30" s="27">
        <v>60.714285714285708</v>
      </c>
      <c r="Y30" s="33">
        <f>AVERAGE(Table13[[#This Row],[Score 1]],Table13[[#This Row],[Score 2]])</f>
        <v>66.071428571428569</v>
      </c>
      <c r="Z30" s="1">
        <v>3</v>
      </c>
      <c r="AA30" s="1">
        <v>3</v>
      </c>
      <c r="AB30" s="22">
        <f>Table13[[#This Row],[Rank 1]]+Table13[[#This Row],[Rank 2]]</f>
        <v>6</v>
      </c>
      <c r="AC30" s="1" t="str">
        <f>IF(AND(Table13[[#This Row],[Average score]]&gt;75,Table13[[#This Row],[Total rank]]&gt;6.5),"Yes","No")</f>
        <v>No</v>
      </c>
      <c r="AD30" s="1" t="str">
        <f>IF(AND(Table13[[#This Row],[Average score]]&gt;80,Table13[[#This Row],[Total rank]]&gt;7.5),"Yes","No")</f>
        <v>No</v>
      </c>
      <c r="AF30" s="8">
        <v>45684</v>
      </c>
      <c r="AG30" s="1">
        <v>2</v>
      </c>
      <c r="AH30" s="27">
        <v>120555</v>
      </c>
      <c r="AI30" s="27">
        <v>90000</v>
      </c>
      <c r="AJ30" s="30">
        <v>0</v>
      </c>
      <c r="AK30" s="30">
        <f>Table13[[#This Row],[Year 1]]</f>
        <v>120555</v>
      </c>
      <c r="AL30" s="30">
        <f>Table13[[#This Row],[Year 2]]</f>
        <v>90000</v>
      </c>
      <c r="AM30" s="30">
        <f>Table13[[#This Row],[Year 3]]</f>
        <v>0</v>
      </c>
      <c r="AN30" s="1">
        <v>2</v>
      </c>
    </row>
    <row r="31" spans="1:40" hidden="1" x14ac:dyDescent="0.25">
      <c r="A31" s="1" t="s">
        <v>48</v>
      </c>
      <c r="B31" s="1" t="s">
        <v>467</v>
      </c>
      <c r="C31" s="1" t="s">
        <v>50</v>
      </c>
      <c r="D31" s="1" t="s">
        <v>468</v>
      </c>
      <c r="E31" s="1" t="s">
        <v>469</v>
      </c>
      <c r="F31" s="22" t="s">
        <v>3</v>
      </c>
      <c r="G31" s="1" t="s">
        <v>6085</v>
      </c>
      <c r="H31" s="1" t="s">
        <v>6</v>
      </c>
      <c r="I31" s="1" t="s">
        <v>20</v>
      </c>
      <c r="J31" s="1" t="s">
        <v>26</v>
      </c>
      <c r="K31" s="1" t="s">
        <v>9</v>
      </c>
      <c r="L31" s="1" t="s">
        <v>53</v>
      </c>
      <c r="M31" s="11" t="s">
        <v>188</v>
      </c>
      <c r="N31" s="1" t="s">
        <v>6037</v>
      </c>
      <c r="O31" s="1" t="s">
        <v>16</v>
      </c>
      <c r="P31" s="1" t="s">
        <v>175</v>
      </c>
      <c r="Q31" s="1" t="s">
        <v>5333</v>
      </c>
      <c r="R31" s="1" t="s">
        <v>470</v>
      </c>
      <c r="S31" s="1" t="s">
        <v>6111</v>
      </c>
      <c r="T31" s="1" t="s">
        <v>6112</v>
      </c>
      <c r="U31" s="1" t="s">
        <v>6127</v>
      </c>
      <c r="V31" s="1" t="s">
        <v>6179</v>
      </c>
      <c r="W31" s="27">
        <v>64.285714285714292</v>
      </c>
      <c r="X31" s="27">
        <v>67.857142857142861</v>
      </c>
      <c r="Y31" s="33">
        <f>AVERAGE(Table13[[#This Row],[Score 1]],Table13[[#This Row],[Score 2]])</f>
        <v>66.071428571428584</v>
      </c>
      <c r="Z31" s="1">
        <v>2</v>
      </c>
      <c r="AA31" s="1">
        <v>3</v>
      </c>
      <c r="AB31" s="22">
        <f>Table13[[#This Row],[Rank 1]]+Table13[[#This Row],[Rank 2]]</f>
        <v>5</v>
      </c>
      <c r="AC31" s="1" t="str">
        <f>IF(AND(Table13[[#This Row],[Average score]]&gt;75,Table13[[#This Row],[Total rank]]&gt;6.5),"Yes","No")</f>
        <v>No</v>
      </c>
      <c r="AD31" s="1" t="str">
        <f>IF(AND(Table13[[#This Row],[Average score]]&gt;80,Table13[[#This Row],[Total rank]]&gt;7.5),"Yes","No")</f>
        <v>No</v>
      </c>
      <c r="AF31" s="8">
        <v>45722</v>
      </c>
      <c r="AG31" s="1">
        <v>1</v>
      </c>
      <c r="AH31" s="27">
        <v>177000</v>
      </c>
      <c r="AI31" s="30">
        <v>0</v>
      </c>
      <c r="AJ31" s="30">
        <v>0</v>
      </c>
      <c r="AK31" s="30">
        <f>Table13[[#This Row],[Year 1]]</f>
        <v>177000</v>
      </c>
      <c r="AL31" s="30">
        <f>Table13[[#This Row],[Year 2]]</f>
        <v>0</v>
      </c>
      <c r="AM31" s="30">
        <f>Table13[[#This Row],[Year 3]]</f>
        <v>0</v>
      </c>
      <c r="AN31" s="1">
        <v>4</v>
      </c>
    </row>
    <row r="32" spans="1:40" hidden="1" x14ac:dyDescent="0.25">
      <c r="A32" s="1" t="s">
        <v>48</v>
      </c>
      <c r="B32" s="1" t="s">
        <v>472</v>
      </c>
      <c r="C32" s="1" t="s">
        <v>50</v>
      </c>
      <c r="D32" s="1" t="s">
        <v>473</v>
      </c>
      <c r="E32" s="1" t="s">
        <v>474</v>
      </c>
      <c r="F32" s="22" t="s">
        <v>3</v>
      </c>
      <c r="G32" s="1" t="s">
        <v>6085</v>
      </c>
      <c r="H32" s="1" t="s">
        <v>6</v>
      </c>
      <c r="I32" s="1" t="s">
        <v>20</v>
      </c>
      <c r="J32" s="1" t="s">
        <v>26</v>
      </c>
      <c r="K32" s="1" t="s">
        <v>9</v>
      </c>
      <c r="L32" s="1" t="s">
        <v>53</v>
      </c>
      <c r="M32" s="11" t="s">
        <v>188</v>
      </c>
      <c r="N32" s="1" t="s">
        <v>6037</v>
      </c>
      <c r="O32" s="1" t="s">
        <v>13</v>
      </c>
      <c r="P32" s="1" t="s">
        <v>247</v>
      </c>
      <c r="Q32" s="1" t="s">
        <v>5334</v>
      </c>
      <c r="R32" s="1" t="s">
        <v>475</v>
      </c>
      <c r="S32" s="1" t="s">
        <v>6075</v>
      </c>
      <c r="T32" s="1" t="s">
        <v>6074</v>
      </c>
      <c r="U32" s="1" t="s">
        <v>6093</v>
      </c>
      <c r="V32" s="1" t="s">
        <v>6181</v>
      </c>
      <c r="W32" s="27">
        <v>89.285714285714292</v>
      </c>
      <c r="X32" s="27">
        <v>46.428571428571431</v>
      </c>
      <c r="Y32" s="33">
        <f>AVERAGE(Table13[[#This Row],[Score 1]],Table13[[#This Row],[Score 2]])</f>
        <v>67.857142857142861</v>
      </c>
      <c r="Z32" s="1">
        <v>4</v>
      </c>
      <c r="AA32" s="1">
        <v>2</v>
      </c>
      <c r="AB32" s="22">
        <f>Table13[[#This Row],[Rank 1]]+Table13[[#This Row],[Rank 2]]</f>
        <v>6</v>
      </c>
      <c r="AC32" s="1" t="str">
        <f>IF(AND(Table13[[#This Row],[Average score]]&gt;75,Table13[[#This Row],[Total rank]]&gt;6.5),"Yes","No")</f>
        <v>No</v>
      </c>
      <c r="AD32" s="1" t="str">
        <f>IF(AND(Table13[[#This Row],[Average score]]&gt;80,Table13[[#This Row],[Total rank]]&gt;7.5),"Yes","No")</f>
        <v>No</v>
      </c>
      <c r="AF32" s="8">
        <v>45699</v>
      </c>
      <c r="AG32" s="1">
        <v>2</v>
      </c>
      <c r="AH32" s="27">
        <v>186000</v>
      </c>
      <c r="AI32" s="27">
        <v>188000</v>
      </c>
      <c r="AJ32" s="30">
        <v>0</v>
      </c>
      <c r="AK32" s="30">
        <f>Table13[[#This Row],[Year 1]]</f>
        <v>186000</v>
      </c>
      <c r="AL32" s="30">
        <f>Table13[[#This Row],[Year 2]]</f>
        <v>188000</v>
      </c>
      <c r="AM32" s="30">
        <f>Table13[[#This Row],[Year 3]]</f>
        <v>0</v>
      </c>
      <c r="AN32" s="1">
        <v>2</v>
      </c>
    </row>
    <row r="33" spans="1:40" hidden="1" x14ac:dyDescent="0.25">
      <c r="A33" s="1" t="s">
        <v>48</v>
      </c>
      <c r="B33" s="1" t="s">
        <v>484</v>
      </c>
      <c r="C33" s="1" t="s">
        <v>50</v>
      </c>
      <c r="D33" s="1" t="s">
        <v>485</v>
      </c>
      <c r="E33" s="1" t="s">
        <v>486</v>
      </c>
      <c r="F33" s="22" t="s">
        <v>3</v>
      </c>
      <c r="G33" s="1" t="s">
        <v>6085</v>
      </c>
      <c r="H33" s="1" t="s">
        <v>6</v>
      </c>
      <c r="I33" s="1" t="s">
        <v>20</v>
      </c>
      <c r="J33" s="1" t="s">
        <v>25</v>
      </c>
      <c r="K33" s="1" t="s">
        <v>9</v>
      </c>
      <c r="L33" s="1" t="s">
        <v>53</v>
      </c>
      <c r="M33" s="11" t="s">
        <v>188</v>
      </c>
      <c r="N33" s="1" t="s">
        <v>6037</v>
      </c>
      <c r="O33" s="1" t="s">
        <v>16</v>
      </c>
      <c r="P33" s="1" t="s">
        <v>235</v>
      </c>
      <c r="Q33" s="1" t="s">
        <v>5336</v>
      </c>
      <c r="R33" s="1" t="s">
        <v>487</v>
      </c>
      <c r="S33" s="1" t="s">
        <v>6117</v>
      </c>
      <c r="T33" s="1" t="s">
        <v>6118</v>
      </c>
      <c r="U33" s="1" t="s">
        <v>6126</v>
      </c>
      <c r="V33" s="1" t="s">
        <v>6177</v>
      </c>
      <c r="W33" s="27">
        <v>53.571428571428569</v>
      </c>
      <c r="X33" s="27">
        <v>75</v>
      </c>
      <c r="Y33" s="33">
        <f>AVERAGE(Table13[[#This Row],[Score 1]],Table13[[#This Row],[Score 2]])</f>
        <v>64.285714285714278</v>
      </c>
      <c r="Z33" s="1">
        <v>2</v>
      </c>
      <c r="AA33" s="1">
        <v>3</v>
      </c>
      <c r="AB33" s="22">
        <f>Table13[[#This Row],[Rank 1]]+Table13[[#This Row],[Rank 2]]</f>
        <v>5</v>
      </c>
      <c r="AC33" s="1" t="str">
        <f>IF(AND(Table13[[#This Row],[Average score]]&gt;75,Table13[[#This Row],[Total rank]]&gt;6.5),"Yes","No")</f>
        <v>No</v>
      </c>
      <c r="AD33" s="1" t="str">
        <f>IF(AND(Table13[[#This Row],[Average score]]&gt;80,Table13[[#This Row],[Total rank]]&gt;7.5),"Yes","No")</f>
        <v>No</v>
      </c>
      <c r="AF33" s="8">
        <v>45747</v>
      </c>
      <c r="AG33" s="1">
        <v>1</v>
      </c>
      <c r="AH33" s="27">
        <v>54785</v>
      </c>
      <c r="AI33" s="29">
        <v>88785</v>
      </c>
      <c r="AJ33" s="30">
        <v>0</v>
      </c>
      <c r="AK33" s="30">
        <f>Table13[[#This Row],[Year 1]]</f>
        <v>54785</v>
      </c>
      <c r="AL33" s="30">
        <f>Table13[[#This Row],[Year 2]]</f>
        <v>88785</v>
      </c>
      <c r="AM33" s="30">
        <f>Table13[[#This Row],[Year 3]]</f>
        <v>0</v>
      </c>
      <c r="AN33" s="1">
        <v>3</v>
      </c>
    </row>
    <row r="34" spans="1:40" hidden="1" x14ac:dyDescent="0.25">
      <c r="A34" s="1" t="s">
        <v>48</v>
      </c>
      <c r="B34" s="1" t="s">
        <v>488</v>
      </c>
      <c r="C34" s="1" t="s">
        <v>50</v>
      </c>
      <c r="D34" s="1" t="s">
        <v>489</v>
      </c>
      <c r="E34" s="1" t="s">
        <v>490</v>
      </c>
      <c r="F34" s="22" t="s">
        <v>3</v>
      </c>
      <c r="G34" s="1" t="s">
        <v>6085</v>
      </c>
      <c r="H34" s="1" t="s">
        <v>6</v>
      </c>
      <c r="I34" s="1" t="s">
        <v>24</v>
      </c>
      <c r="J34" s="1" t="s">
        <v>26</v>
      </c>
      <c r="K34" s="1" t="s">
        <v>9</v>
      </c>
      <c r="L34" s="1" t="s">
        <v>78</v>
      </c>
      <c r="M34" s="11" t="s">
        <v>188</v>
      </c>
      <c r="N34" s="1" t="s">
        <v>6037</v>
      </c>
      <c r="O34" s="1" t="s">
        <v>13</v>
      </c>
      <c r="P34" s="1" t="s">
        <v>126</v>
      </c>
      <c r="Q34" s="1" t="s">
        <v>5337</v>
      </c>
      <c r="R34" s="1" t="s">
        <v>491</v>
      </c>
      <c r="S34" s="1" t="s">
        <v>6075</v>
      </c>
      <c r="T34" s="1" t="s">
        <v>6074</v>
      </c>
      <c r="U34" s="1" t="s">
        <v>6093</v>
      </c>
      <c r="V34" s="1" t="s">
        <v>6181</v>
      </c>
      <c r="W34" s="27">
        <v>75</v>
      </c>
      <c r="X34" s="27">
        <v>89.285714285714292</v>
      </c>
      <c r="Y34" s="33">
        <f>AVERAGE(Table13[[#This Row],[Score 1]],Table13[[#This Row],[Score 2]])</f>
        <v>82.142857142857139</v>
      </c>
      <c r="Z34" s="1">
        <v>2</v>
      </c>
      <c r="AA34" s="1">
        <v>5</v>
      </c>
      <c r="AB34" s="22">
        <f>Table13[[#This Row],[Rank 1]]+Table13[[#This Row],[Rank 2]]</f>
        <v>7</v>
      </c>
      <c r="AC34" s="1" t="str">
        <f>IF(AND(Table13[[#This Row],[Average score]]&gt;75,Table13[[#This Row],[Total rank]]&gt;6.5),"Yes","No")</f>
        <v>Yes</v>
      </c>
      <c r="AD34" s="1" t="str">
        <f>IF(AND(Table13[[#This Row],[Average score]]&gt;80,Table13[[#This Row],[Total rank]]&gt;7.5),"Yes","No")</f>
        <v>No</v>
      </c>
      <c r="AF34" s="8">
        <v>45672</v>
      </c>
      <c r="AG34" s="1">
        <v>2</v>
      </c>
      <c r="AH34" s="27">
        <v>94400</v>
      </c>
      <c r="AI34" s="27">
        <v>241900</v>
      </c>
      <c r="AJ34" s="30">
        <v>0</v>
      </c>
      <c r="AK34" s="30">
        <f>Table13[[#This Row],[Year 1]]</f>
        <v>94400</v>
      </c>
      <c r="AL34" s="30">
        <f>Table13[[#This Row],[Year 2]]</f>
        <v>241900</v>
      </c>
      <c r="AM34" s="30">
        <f>Table13[[#This Row],[Year 3]]</f>
        <v>0</v>
      </c>
      <c r="AN34" s="1">
        <v>3</v>
      </c>
    </row>
    <row r="35" spans="1:40" hidden="1" x14ac:dyDescent="0.25">
      <c r="A35" s="1" t="s">
        <v>48</v>
      </c>
      <c r="B35" s="1" t="s">
        <v>507</v>
      </c>
      <c r="C35" s="1" t="s">
        <v>50</v>
      </c>
      <c r="D35" s="1" t="s">
        <v>508</v>
      </c>
      <c r="E35" s="1" t="s">
        <v>509</v>
      </c>
      <c r="F35" s="22" t="s">
        <v>3</v>
      </c>
      <c r="G35" s="1" t="s">
        <v>6085</v>
      </c>
      <c r="H35" s="1" t="s">
        <v>6</v>
      </c>
      <c r="I35" s="1" t="s">
        <v>20</v>
      </c>
      <c r="J35" s="1" t="s">
        <v>26</v>
      </c>
      <c r="K35" s="1" t="s">
        <v>9</v>
      </c>
      <c r="L35" s="1" t="s">
        <v>78</v>
      </c>
      <c r="M35" s="11" t="s">
        <v>188</v>
      </c>
      <c r="N35" s="1" t="s">
        <v>6037</v>
      </c>
      <c r="O35" s="1" t="s">
        <v>19</v>
      </c>
      <c r="P35" s="1" t="s">
        <v>510</v>
      </c>
      <c r="Q35" s="1" t="s">
        <v>5340</v>
      </c>
      <c r="R35" s="1" t="s">
        <v>511</v>
      </c>
      <c r="S35" s="1" t="s">
        <v>6137</v>
      </c>
      <c r="T35" s="1" t="s">
        <v>6138</v>
      </c>
      <c r="U35" s="1" t="s">
        <v>6160</v>
      </c>
      <c r="V35" s="1" t="s">
        <v>6203</v>
      </c>
      <c r="W35" s="27">
        <v>50</v>
      </c>
      <c r="X35" s="27">
        <v>50</v>
      </c>
      <c r="Y35" s="33">
        <f>AVERAGE(Table13[[#This Row],[Score 1]],Table13[[#This Row],[Score 2]])</f>
        <v>50</v>
      </c>
      <c r="Z35" s="1">
        <v>1</v>
      </c>
      <c r="AA35" s="1">
        <v>2</v>
      </c>
      <c r="AB35" s="22">
        <f>Table13[[#This Row],[Rank 1]]+Table13[[#This Row],[Rank 2]]</f>
        <v>3</v>
      </c>
      <c r="AC35" s="1" t="str">
        <f>IF(AND(Table13[[#This Row],[Average score]]&gt;75,Table13[[#This Row],[Total rank]]&gt;6.5),"Yes","No")</f>
        <v>No</v>
      </c>
      <c r="AD35" s="1" t="str">
        <f>IF(AND(Table13[[#This Row],[Average score]]&gt;80,Table13[[#This Row],[Total rank]]&gt;7.5),"Yes","No")</f>
        <v>No</v>
      </c>
      <c r="AF35" s="8">
        <v>45730</v>
      </c>
      <c r="AG35" s="1">
        <v>2</v>
      </c>
      <c r="AH35" s="27">
        <v>31500</v>
      </c>
      <c r="AI35" s="27">
        <v>38500</v>
      </c>
      <c r="AJ35" s="30">
        <v>0</v>
      </c>
      <c r="AK35" s="30">
        <f>Table13[[#This Row],[Year 1]]</f>
        <v>31500</v>
      </c>
      <c r="AL35" s="30">
        <f>Table13[[#This Row],[Year 2]]</f>
        <v>38500</v>
      </c>
      <c r="AM35" s="30">
        <f>Table13[[#This Row],[Year 3]]</f>
        <v>0</v>
      </c>
      <c r="AN35" s="1">
        <v>2</v>
      </c>
    </row>
    <row r="36" spans="1:40" hidden="1" x14ac:dyDescent="0.25">
      <c r="A36" s="2" t="s">
        <v>48</v>
      </c>
      <c r="B36" s="10" t="s">
        <v>523</v>
      </c>
      <c r="C36" s="2" t="s">
        <v>50</v>
      </c>
      <c r="D36" s="1" t="s">
        <v>524</v>
      </c>
      <c r="E36" s="2" t="s">
        <v>525</v>
      </c>
      <c r="F36" s="22" t="s">
        <v>3</v>
      </c>
      <c r="G36" s="1" t="s">
        <v>6085</v>
      </c>
      <c r="H36" s="1" t="s">
        <v>6</v>
      </c>
      <c r="I36" s="1" t="s">
        <v>20</v>
      </c>
      <c r="J36" s="1" t="s">
        <v>25</v>
      </c>
      <c r="K36" s="1" t="s">
        <v>9</v>
      </c>
      <c r="L36" s="1" t="s">
        <v>53</v>
      </c>
      <c r="M36" s="11" t="s">
        <v>188</v>
      </c>
      <c r="N36" s="1" t="s">
        <v>6037</v>
      </c>
      <c r="O36" s="1" t="s">
        <v>16</v>
      </c>
      <c r="P36" s="1" t="s">
        <v>175</v>
      </c>
      <c r="Q36" s="1" t="s">
        <v>5343</v>
      </c>
      <c r="R36" s="1" t="s">
        <v>1681</v>
      </c>
      <c r="S36" s="1" t="s">
        <v>6113</v>
      </c>
      <c r="T36" s="1" t="s">
        <v>6114</v>
      </c>
      <c r="U36" s="2" t="s">
        <v>6128</v>
      </c>
      <c r="V36" s="1" t="s">
        <v>6182</v>
      </c>
      <c r="W36" s="29">
        <f>Table13[[#This Row],[Score 2]]</f>
        <v>53.571428571428569</v>
      </c>
      <c r="X36" s="27">
        <v>53.571428571428569</v>
      </c>
      <c r="Y36" s="33">
        <f>AVERAGE(Table13[[#This Row],[Score 1]],Table13[[#This Row],[Score 2]])</f>
        <v>53.571428571428569</v>
      </c>
      <c r="Z36" s="2">
        <f>Table13[[#This Row],[Rank 2]]</f>
        <v>2</v>
      </c>
      <c r="AA36" s="1">
        <v>2</v>
      </c>
      <c r="AB36" s="22">
        <f>Table13[[#This Row],[Rank 1]]+Table13[[#This Row],[Rank 2]]</f>
        <v>4</v>
      </c>
      <c r="AC36" s="1" t="str">
        <f>IF(AND(Table13[[#This Row],[Average score]]&gt;75,Table13[[#This Row],[Total rank]]&gt;6.5),"Yes","No")</f>
        <v>No</v>
      </c>
      <c r="AD36" s="1" t="str">
        <f>IF(AND(Table13[[#This Row],[Average score]]&gt;80,Table13[[#This Row],[Total rank]]&gt;7.5),"Yes","No")</f>
        <v>No</v>
      </c>
      <c r="AF36" s="8">
        <v>45732</v>
      </c>
      <c r="AG36" s="1">
        <v>2</v>
      </c>
      <c r="AH36" s="30">
        <v>113700</v>
      </c>
      <c r="AI36" s="27">
        <v>118700</v>
      </c>
      <c r="AJ36" s="30">
        <v>0</v>
      </c>
      <c r="AK36" s="30">
        <f>Table13[[#This Row],[Year 1]]</f>
        <v>113700</v>
      </c>
      <c r="AL36" s="30">
        <f>Table13[[#This Row],[Year 2]]</f>
        <v>118700</v>
      </c>
      <c r="AM36" s="30">
        <f>Table13[[#This Row],[Year 3]]</f>
        <v>0</v>
      </c>
      <c r="AN36" s="1">
        <v>3</v>
      </c>
    </row>
    <row r="37" spans="1:40" hidden="1" x14ac:dyDescent="0.25">
      <c r="A37" s="1" t="s">
        <v>48</v>
      </c>
      <c r="B37" s="1" t="s">
        <v>526</v>
      </c>
      <c r="C37" s="1" t="s">
        <v>50</v>
      </c>
      <c r="D37" s="1" t="s">
        <v>527</v>
      </c>
      <c r="E37" s="1" t="s">
        <v>528</v>
      </c>
      <c r="F37" s="22" t="s">
        <v>3</v>
      </c>
      <c r="G37" s="1" t="s">
        <v>6085</v>
      </c>
      <c r="H37" s="1" t="s">
        <v>6</v>
      </c>
      <c r="I37" s="1" t="s">
        <v>20</v>
      </c>
      <c r="J37" s="1" t="s">
        <v>26</v>
      </c>
      <c r="K37" s="1" t="s">
        <v>9</v>
      </c>
      <c r="L37" s="1" t="s">
        <v>78</v>
      </c>
      <c r="M37" s="11" t="s">
        <v>188</v>
      </c>
      <c r="N37" s="1" t="s">
        <v>6037</v>
      </c>
      <c r="O37" s="1" t="s">
        <v>16</v>
      </c>
      <c r="P37" s="1" t="s">
        <v>497</v>
      </c>
      <c r="Q37" s="1" t="s">
        <v>5344</v>
      </c>
      <c r="R37" s="1" t="s">
        <v>1683</v>
      </c>
      <c r="S37" s="1" t="s">
        <v>6111</v>
      </c>
      <c r="T37" s="1" t="s">
        <v>6112</v>
      </c>
      <c r="U37" s="1" t="s">
        <v>6127</v>
      </c>
      <c r="V37" s="1" t="s">
        <v>6179</v>
      </c>
      <c r="W37" s="27">
        <v>60.714285714285708</v>
      </c>
      <c r="X37" s="27">
        <v>85.714285714285708</v>
      </c>
      <c r="Y37" s="33">
        <f>AVERAGE(Table13[[#This Row],[Score 1]],Table13[[#This Row],[Score 2]])</f>
        <v>73.214285714285708</v>
      </c>
      <c r="Z37" s="1">
        <v>3</v>
      </c>
      <c r="AA37" s="1">
        <v>4</v>
      </c>
      <c r="AB37" s="22">
        <f>Table13[[#This Row],[Rank 1]]+Table13[[#This Row],[Rank 2]]</f>
        <v>7</v>
      </c>
      <c r="AC37" s="1" t="str">
        <f>IF(AND(Table13[[#This Row],[Average score]]&gt;75,Table13[[#This Row],[Total rank]]&gt;6.5),"Yes","No")</f>
        <v>No</v>
      </c>
      <c r="AD37" s="1" t="str">
        <f>IF(AND(Table13[[#This Row],[Average score]]&gt;80,Table13[[#This Row],[Total rank]]&gt;7.5),"Yes","No")</f>
        <v>No</v>
      </c>
      <c r="AF37" s="8">
        <v>45661</v>
      </c>
      <c r="AG37" s="1">
        <v>2</v>
      </c>
      <c r="AH37" s="27">
        <v>132200</v>
      </c>
      <c r="AI37" s="27">
        <v>132200</v>
      </c>
      <c r="AJ37" s="30">
        <v>0</v>
      </c>
      <c r="AK37" s="30">
        <f>Table13[[#This Row],[Year 1]]</f>
        <v>132200</v>
      </c>
      <c r="AL37" s="30">
        <f>Table13[[#This Row],[Year 2]]</f>
        <v>132200</v>
      </c>
      <c r="AM37" s="30">
        <f>Table13[[#This Row],[Year 3]]</f>
        <v>0</v>
      </c>
      <c r="AN37" s="1">
        <v>3</v>
      </c>
    </row>
    <row r="38" spans="1:40" hidden="1" x14ac:dyDescent="0.25">
      <c r="A38" s="1" t="s">
        <v>48</v>
      </c>
      <c r="B38" s="1" t="s">
        <v>538</v>
      </c>
      <c r="C38" s="1" t="s">
        <v>50</v>
      </c>
      <c r="D38" s="1" t="s">
        <v>539</v>
      </c>
      <c r="E38" s="1" t="s">
        <v>540</v>
      </c>
      <c r="F38" s="22" t="s">
        <v>3</v>
      </c>
      <c r="G38" s="1" t="s">
        <v>6085</v>
      </c>
      <c r="H38" s="1" t="s">
        <v>6</v>
      </c>
      <c r="I38" s="1" t="s">
        <v>20</v>
      </c>
      <c r="J38" s="1" t="s">
        <v>26</v>
      </c>
      <c r="K38" s="1" t="s">
        <v>9</v>
      </c>
      <c r="L38" s="1" t="s">
        <v>53</v>
      </c>
      <c r="M38" s="1" t="s">
        <v>1828</v>
      </c>
      <c r="N38" s="1" t="s">
        <v>6037</v>
      </c>
      <c r="O38" s="1" t="s">
        <v>13</v>
      </c>
      <c r="P38" s="1" t="s">
        <v>284</v>
      </c>
      <c r="Q38" s="1" t="s">
        <v>5346</v>
      </c>
      <c r="R38" s="1" t="s">
        <v>541</v>
      </c>
      <c r="S38" s="1" t="s">
        <v>6072</v>
      </c>
      <c r="T38" s="1" t="s">
        <v>6073</v>
      </c>
      <c r="U38" s="1" t="s">
        <v>6092</v>
      </c>
      <c r="V38" s="1" t="s">
        <v>6176</v>
      </c>
      <c r="W38" s="27">
        <v>60.714285714285708</v>
      </c>
      <c r="X38" s="27">
        <v>46.428571428571431</v>
      </c>
      <c r="Y38" s="33">
        <f>AVERAGE(Table13[[#This Row],[Score 1]],Table13[[#This Row],[Score 2]])</f>
        <v>53.571428571428569</v>
      </c>
      <c r="Z38" s="1">
        <v>2</v>
      </c>
      <c r="AA38" s="1">
        <v>1</v>
      </c>
      <c r="AB38" s="22">
        <f>Table13[[#This Row],[Rank 1]]+Table13[[#This Row],[Rank 2]]</f>
        <v>3</v>
      </c>
      <c r="AC38" s="1" t="str">
        <f>IF(AND(Table13[[#This Row],[Average score]]&gt;75,Table13[[#This Row],[Total rank]]&gt;6.5),"Yes","No")</f>
        <v>No</v>
      </c>
      <c r="AD38" s="1" t="str">
        <f>IF(AND(Table13[[#This Row],[Average score]]&gt;80,Table13[[#This Row],[Total rank]]&gt;7.5),"Yes","No")</f>
        <v>No</v>
      </c>
      <c r="AF38" s="8">
        <v>45663</v>
      </c>
      <c r="AG38" s="1">
        <v>2</v>
      </c>
      <c r="AH38" s="27">
        <v>110558</v>
      </c>
      <c r="AI38" s="27">
        <v>70020</v>
      </c>
      <c r="AJ38" s="30">
        <v>0</v>
      </c>
      <c r="AK38" s="30">
        <f>Table13[[#This Row],[Year 1]]</f>
        <v>110558</v>
      </c>
      <c r="AL38" s="30">
        <f>Table13[[#This Row],[Year 2]]</f>
        <v>70020</v>
      </c>
      <c r="AM38" s="30">
        <f>Table13[[#This Row],[Year 3]]</f>
        <v>0</v>
      </c>
      <c r="AN38" s="1">
        <v>3</v>
      </c>
    </row>
    <row r="39" spans="1:40" hidden="1" x14ac:dyDescent="0.25">
      <c r="A39" s="1" t="s">
        <v>48</v>
      </c>
      <c r="B39" s="1" t="s">
        <v>549</v>
      </c>
      <c r="C39" s="1" t="s">
        <v>50</v>
      </c>
      <c r="D39" s="1" t="s">
        <v>550</v>
      </c>
      <c r="E39" s="1" t="s">
        <v>551</v>
      </c>
      <c r="F39" s="22" t="s">
        <v>3</v>
      </c>
      <c r="G39" s="1" t="s">
        <v>6085</v>
      </c>
      <c r="H39" s="1" t="s">
        <v>6</v>
      </c>
      <c r="I39" s="1" t="s">
        <v>20</v>
      </c>
      <c r="J39" s="1" t="s">
        <v>25</v>
      </c>
      <c r="K39" s="1" t="s">
        <v>9</v>
      </c>
      <c r="L39" s="1" t="s">
        <v>78</v>
      </c>
      <c r="M39" s="11" t="s">
        <v>188</v>
      </c>
      <c r="N39" s="1" t="s">
        <v>6037</v>
      </c>
      <c r="O39" s="1" t="s">
        <v>14</v>
      </c>
      <c r="P39" s="1" t="s">
        <v>235</v>
      </c>
      <c r="Q39" s="1" t="s">
        <v>5348</v>
      </c>
      <c r="R39" s="1" t="s">
        <v>552</v>
      </c>
      <c r="S39" s="1" t="s">
        <v>6144</v>
      </c>
      <c r="T39" s="1" t="s">
        <v>6143</v>
      </c>
      <c r="U39" s="1" t="s">
        <v>6161</v>
      </c>
      <c r="V39" s="1" t="s">
        <v>6183</v>
      </c>
      <c r="W39" s="27">
        <v>75</v>
      </c>
      <c r="X39" s="27">
        <v>75</v>
      </c>
      <c r="Y39" s="33">
        <f>AVERAGE(Table13[[#This Row],[Score 1]],Table13[[#This Row],[Score 2]])</f>
        <v>75</v>
      </c>
      <c r="Z39" s="1">
        <v>4</v>
      </c>
      <c r="AA39" s="1">
        <v>4</v>
      </c>
      <c r="AB39" s="22">
        <f>Table13[[#This Row],[Rank 1]]+Table13[[#This Row],[Rank 2]]</f>
        <v>8</v>
      </c>
      <c r="AC39" s="1" t="str">
        <f>IF(AND(Table13[[#This Row],[Average score]]&gt;75,Table13[[#This Row],[Total rank]]&gt;6.5),"Yes","No")</f>
        <v>No</v>
      </c>
      <c r="AD39" s="1" t="str">
        <f>IF(AND(Table13[[#This Row],[Average score]]&gt;80,Table13[[#This Row],[Total rank]]&gt;7.5),"Yes","No")</f>
        <v>No</v>
      </c>
      <c r="AF39" s="8">
        <v>45663</v>
      </c>
      <c r="AG39" s="1">
        <v>2</v>
      </c>
      <c r="AH39" s="27">
        <v>19500</v>
      </c>
      <c r="AI39" s="27">
        <v>35500</v>
      </c>
      <c r="AJ39" s="30">
        <v>0</v>
      </c>
      <c r="AK39" s="30">
        <f>Table13[[#This Row],[Year 1]]</f>
        <v>19500</v>
      </c>
      <c r="AL39" s="30">
        <f>Table13[[#This Row],[Year 2]]</f>
        <v>35500</v>
      </c>
      <c r="AM39" s="30">
        <f>Table13[[#This Row],[Year 3]]</f>
        <v>0</v>
      </c>
      <c r="AN39" s="1">
        <v>3</v>
      </c>
    </row>
    <row r="40" spans="1:40" hidden="1" x14ac:dyDescent="0.25">
      <c r="A40" s="1" t="s">
        <v>48</v>
      </c>
      <c r="B40" s="1" t="s">
        <v>555</v>
      </c>
      <c r="C40" s="1" t="s">
        <v>50</v>
      </c>
      <c r="D40" s="1" t="s">
        <v>556</v>
      </c>
      <c r="E40" s="1" t="s">
        <v>557</v>
      </c>
      <c r="F40" s="22" t="s">
        <v>3</v>
      </c>
      <c r="G40" s="1" t="s">
        <v>6085</v>
      </c>
      <c r="H40" s="1" t="s">
        <v>6</v>
      </c>
      <c r="I40" s="1" t="s">
        <v>20</v>
      </c>
      <c r="J40" s="1" t="s">
        <v>25</v>
      </c>
      <c r="K40" s="1" t="s">
        <v>9</v>
      </c>
      <c r="L40" s="1" t="s">
        <v>53</v>
      </c>
      <c r="M40" s="11" t="s">
        <v>188</v>
      </c>
      <c r="N40" s="1" t="s">
        <v>6037</v>
      </c>
      <c r="O40" s="1" t="s">
        <v>16</v>
      </c>
      <c r="P40" s="1" t="s">
        <v>235</v>
      </c>
      <c r="Q40" s="1" t="s">
        <v>5349</v>
      </c>
      <c r="R40" s="1" t="s">
        <v>558</v>
      </c>
      <c r="S40" s="1" t="s">
        <v>6117</v>
      </c>
      <c r="T40" s="1" t="s">
        <v>6118</v>
      </c>
      <c r="U40" s="1" t="s">
        <v>6126</v>
      </c>
      <c r="V40" s="1" t="s">
        <v>6177</v>
      </c>
      <c r="W40" s="27">
        <v>67.857142857142861</v>
      </c>
      <c r="X40" s="27">
        <v>71.428571428571431</v>
      </c>
      <c r="Y40" s="33">
        <f>AVERAGE(Table13[[#This Row],[Score 1]],Table13[[#This Row],[Score 2]])</f>
        <v>69.642857142857139</v>
      </c>
      <c r="Z40" s="1">
        <v>3</v>
      </c>
      <c r="AA40" s="1">
        <v>3</v>
      </c>
      <c r="AB40" s="22">
        <f>Table13[[#This Row],[Rank 1]]+Table13[[#This Row],[Rank 2]]</f>
        <v>6</v>
      </c>
      <c r="AC40" s="1" t="str">
        <f>IF(AND(Table13[[#This Row],[Average score]]&gt;75,Table13[[#This Row],[Total rank]]&gt;6.5),"Yes","No")</f>
        <v>No</v>
      </c>
      <c r="AD40" s="1" t="str">
        <f>IF(AND(Table13[[#This Row],[Average score]]&gt;80,Table13[[#This Row],[Total rank]]&gt;7.5),"Yes","No")</f>
        <v>No</v>
      </c>
      <c r="AF40" s="8">
        <v>45702</v>
      </c>
      <c r="AG40" s="1">
        <v>1</v>
      </c>
      <c r="AH40" s="27">
        <v>173210</v>
      </c>
      <c r="AI40" s="30">
        <v>0</v>
      </c>
      <c r="AJ40" s="30">
        <v>0</v>
      </c>
      <c r="AK40" s="30">
        <f>Table13[[#This Row],[Year 1]]</f>
        <v>173210</v>
      </c>
      <c r="AL40" s="30">
        <f>Table13[[#This Row],[Year 2]]</f>
        <v>0</v>
      </c>
      <c r="AM40" s="30">
        <f>Table13[[#This Row],[Year 3]]</f>
        <v>0</v>
      </c>
      <c r="AN40" s="1">
        <v>3</v>
      </c>
    </row>
    <row r="41" spans="1:40" hidden="1" x14ac:dyDescent="0.25">
      <c r="A41" s="1" t="s">
        <v>48</v>
      </c>
      <c r="B41" s="1" t="s">
        <v>560</v>
      </c>
      <c r="C41" s="1" t="s">
        <v>50</v>
      </c>
      <c r="D41" s="1" t="s">
        <v>561</v>
      </c>
      <c r="E41" s="1" t="s">
        <v>562</v>
      </c>
      <c r="F41" s="22" t="s">
        <v>3</v>
      </c>
      <c r="G41" s="1" t="s">
        <v>6085</v>
      </c>
      <c r="H41" s="1" t="s">
        <v>6</v>
      </c>
      <c r="I41" s="1" t="s">
        <v>21</v>
      </c>
      <c r="J41" s="1" t="s">
        <v>25</v>
      </c>
      <c r="K41" s="1" t="s">
        <v>9</v>
      </c>
      <c r="L41" s="1" t="s">
        <v>53</v>
      </c>
      <c r="M41" s="11" t="s">
        <v>188</v>
      </c>
      <c r="N41" s="1" t="s">
        <v>6037</v>
      </c>
      <c r="O41" s="1" t="s">
        <v>14</v>
      </c>
      <c r="P41" s="1" t="s">
        <v>563</v>
      </c>
      <c r="Q41" s="18" t="s">
        <v>5350</v>
      </c>
      <c r="R41" s="1" t="s">
        <v>564</v>
      </c>
      <c r="S41" s="1" t="s">
        <v>6133</v>
      </c>
      <c r="T41" s="1" t="s">
        <v>6134</v>
      </c>
      <c r="U41" s="1" t="s">
        <v>6094</v>
      </c>
      <c r="V41" s="1" t="s">
        <v>6184</v>
      </c>
      <c r="W41" s="27">
        <v>67.857142857142861</v>
      </c>
      <c r="X41" s="27">
        <v>28.571428571428569</v>
      </c>
      <c r="Y41" s="33">
        <f>AVERAGE(Table13[[#This Row],[Score 1]],Table13[[#This Row],[Score 2]])</f>
        <v>48.214285714285715</v>
      </c>
      <c r="Z41" s="1">
        <v>2</v>
      </c>
      <c r="AA41" s="1">
        <v>1</v>
      </c>
      <c r="AB41" s="22">
        <f>Table13[[#This Row],[Rank 1]]+Table13[[#This Row],[Rank 2]]</f>
        <v>3</v>
      </c>
      <c r="AC41" s="1" t="str">
        <f>IF(AND(Table13[[#This Row],[Average score]]&gt;75,Table13[[#This Row],[Total rank]]&gt;6.5),"Yes","No")</f>
        <v>No</v>
      </c>
      <c r="AD41" s="1" t="str">
        <f>IF(AND(Table13[[#This Row],[Average score]]&gt;80,Table13[[#This Row],[Total rank]]&gt;7.5),"Yes","No")</f>
        <v>No</v>
      </c>
      <c r="AF41" s="8">
        <v>45705</v>
      </c>
      <c r="AG41" s="1">
        <v>2</v>
      </c>
      <c r="AH41" s="27">
        <v>65385</v>
      </c>
      <c r="AI41" s="27">
        <v>64000</v>
      </c>
      <c r="AJ41" s="30">
        <v>0</v>
      </c>
      <c r="AK41" s="30">
        <f>Table13[[#This Row],[Year 1]]</f>
        <v>65385</v>
      </c>
      <c r="AL41" s="30">
        <f>Table13[[#This Row],[Year 2]]</f>
        <v>64000</v>
      </c>
      <c r="AM41" s="30">
        <f>Table13[[#This Row],[Year 3]]</f>
        <v>0</v>
      </c>
      <c r="AN41" s="1">
        <v>3</v>
      </c>
    </row>
    <row r="42" spans="1:40" hidden="1" x14ac:dyDescent="0.25">
      <c r="A42" s="1" t="s">
        <v>48</v>
      </c>
      <c r="B42" s="1" t="s">
        <v>567</v>
      </c>
      <c r="C42" s="1" t="s">
        <v>50</v>
      </c>
      <c r="D42" s="1" t="s">
        <v>568</v>
      </c>
      <c r="E42" s="1" t="s">
        <v>569</v>
      </c>
      <c r="F42" s="22" t="s">
        <v>3</v>
      </c>
      <c r="G42" s="1" t="s">
        <v>6085</v>
      </c>
      <c r="H42" s="1" t="s">
        <v>6</v>
      </c>
      <c r="I42" s="1" t="s">
        <v>20</v>
      </c>
      <c r="J42" s="1" t="s">
        <v>25</v>
      </c>
      <c r="K42" s="1" t="s">
        <v>9</v>
      </c>
      <c r="L42" s="1" t="s">
        <v>53</v>
      </c>
      <c r="M42" s="11" t="s">
        <v>188</v>
      </c>
      <c r="N42" s="1" t="s">
        <v>6037</v>
      </c>
      <c r="O42" s="1" t="s">
        <v>13</v>
      </c>
      <c r="P42" s="1" t="s">
        <v>126</v>
      </c>
      <c r="Q42" s="1" t="s">
        <v>5351</v>
      </c>
      <c r="R42" s="1" t="s">
        <v>570</v>
      </c>
      <c r="S42" s="1" t="s">
        <v>6075</v>
      </c>
      <c r="T42" s="1" t="s">
        <v>6074</v>
      </c>
      <c r="U42" s="1" t="s">
        <v>6093</v>
      </c>
      <c r="V42" s="1" t="s">
        <v>6181</v>
      </c>
      <c r="W42" s="27">
        <v>50</v>
      </c>
      <c r="X42" s="27">
        <v>53.571428571428569</v>
      </c>
      <c r="Y42" s="33">
        <f>AVERAGE(Table13[[#This Row],[Score 1]],Table13[[#This Row],[Score 2]])</f>
        <v>51.785714285714285</v>
      </c>
      <c r="Z42" s="1">
        <v>3</v>
      </c>
      <c r="AA42" s="1">
        <v>3</v>
      </c>
      <c r="AB42" s="22">
        <f>Table13[[#This Row],[Rank 1]]+Table13[[#This Row],[Rank 2]]</f>
        <v>6</v>
      </c>
      <c r="AC42" s="1" t="str">
        <f>IF(AND(Table13[[#This Row],[Average score]]&gt;75,Table13[[#This Row],[Total rank]]&gt;6.5),"Yes","No")</f>
        <v>No</v>
      </c>
      <c r="AD42" s="1" t="str">
        <f>IF(AND(Table13[[#This Row],[Average score]]&gt;80,Table13[[#This Row],[Total rank]]&gt;7.5),"Yes","No")</f>
        <v>No</v>
      </c>
      <c r="AF42" s="8">
        <v>45691</v>
      </c>
      <c r="AG42" s="1">
        <v>1</v>
      </c>
      <c r="AH42" s="27">
        <v>0.01</v>
      </c>
      <c r="AI42" s="29">
        <v>50000</v>
      </c>
      <c r="AJ42" s="30">
        <v>0</v>
      </c>
      <c r="AK42" s="30">
        <f>Table13[[#This Row],[Year 1]]</f>
        <v>0.01</v>
      </c>
      <c r="AL42" s="30">
        <f>Table13[[#This Row],[Year 2]]</f>
        <v>50000</v>
      </c>
      <c r="AM42" s="30">
        <f>Table13[[#This Row],[Year 3]]</f>
        <v>0</v>
      </c>
      <c r="AN42" s="1">
        <v>3</v>
      </c>
    </row>
    <row r="43" spans="1:40" hidden="1" x14ac:dyDescent="0.25">
      <c r="A43" s="1" t="s">
        <v>48</v>
      </c>
      <c r="B43" s="1" t="s">
        <v>578</v>
      </c>
      <c r="C43" s="1" t="s">
        <v>50</v>
      </c>
      <c r="D43" s="1" t="s">
        <v>579</v>
      </c>
      <c r="E43" s="1" t="s">
        <v>580</v>
      </c>
      <c r="F43" s="22" t="s">
        <v>3</v>
      </c>
      <c r="G43" s="1" t="s">
        <v>6085</v>
      </c>
      <c r="H43" s="1" t="s">
        <v>6</v>
      </c>
      <c r="I43" s="1" t="s">
        <v>20</v>
      </c>
      <c r="J43" s="1" t="s">
        <v>25</v>
      </c>
      <c r="K43" s="1" t="s">
        <v>9</v>
      </c>
      <c r="L43" s="1" t="s">
        <v>78</v>
      </c>
      <c r="M43" s="11" t="s">
        <v>188</v>
      </c>
      <c r="N43" s="1" t="s">
        <v>6037</v>
      </c>
      <c r="O43" s="1" t="s">
        <v>14</v>
      </c>
      <c r="P43" s="1" t="s">
        <v>581</v>
      </c>
      <c r="Q43" s="1" t="s">
        <v>5353</v>
      </c>
      <c r="R43" s="1" t="s">
        <v>582</v>
      </c>
      <c r="S43" s="1" t="s">
        <v>6151</v>
      </c>
      <c r="T43" s="1" t="s">
        <v>6147</v>
      </c>
      <c r="U43" s="1" t="s">
        <v>6151</v>
      </c>
      <c r="V43" s="1" t="s">
        <v>6185</v>
      </c>
      <c r="W43" s="27">
        <v>85.714285714285708</v>
      </c>
      <c r="X43" s="27">
        <v>64.285714285714292</v>
      </c>
      <c r="Y43" s="33">
        <f>AVERAGE(Table13[[#This Row],[Score 1]],Table13[[#This Row],[Score 2]])</f>
        <v>75</v>
      </c>
      <c r="Z43" s="1">
        <v>4</v>
      </c>
      <c r="AA43" s="1">
        <v>2</v>
      </c>
      <c r="AB43" s="22">
        <f>Table13[[#This Row],[Rank 1]]+Table13[[#This Row],[Rank 2]]</f>
        <v>6</v>
      </c>
      <c r="AC43" s="1" t="str">
        <f>IF(AND(Table13[[#This Row],[Average score]]&gt;75,Table13[[#This Row],[Total rank]]&gt;6.5),"Yes","No")</f>
        <v>No</v>
      </c>
      <c r="AD43" s="1" t="str">
        <f>IF(AND(Table13[[#This Row],[Average score]]&gt;80,Table13[[#This Row],[Total rank]]&gt;7.5),"Yes","No")</f>
        <v>No</v>
      </c>
      <c r="AF43" s="8">
        <v>45742</v>
      </c>
      <c r="AG43" s="1">
        <v>2</v>
      </c>
      <c r="AH43" s="27">
        <v>47090</v>
      </c>
      <c r="AI43" s="27">
        <v>47090</v>
      </c>
      <c r="AJ43" s="30">
        <v>0</v>
      </c>
      <c r="AK43" s="30">
        <f>Table13[[#This Row],[Year 1]]</f>
        <v>47090</v>
      </c>
      <c r="AL43" s="30">
        <f>Table13[[#This Row],[Year 2]]</f>
        <v>47090</v>
      </c>
      <c r="AM43" s="30">
        <f>Table13[[#This Row],[Year 3]]</f>
        <v>0</v>
      </c>
      <c r="AN43" s="1">
        <v>3</v>
      </c>
    </row>
    <row r="44" spans="1:40" hidden="1" x14ac:dyDescent="0.25">
      <c r="A44" s="1" t="s">
        <v>48</v>
      </c>
      <c r="B44" s="2" t="s">
        <v>609</v>
      </c>
      <c r="C44" s="1" t="s">
        <v>50</v>
      </c>
      <c r="D44" s="1" t="s">
        <v>610</v>
      </c>
      <c r="E44" s="1" t="s">
        <v>611</v>
      </c>
      <c r="F44" s="22" t="s">
        <v>3</v>
      </c>
      <c r="G44" s="1" t="s">
        <v>6085</v>
      </c>
      <c r="H44" s="1" t="s">
        <v>6</v>
      </c>
      <c r="I44" s="1" t="s">
        <v>20</v>
      </c>
      <c r="J44" s="1" t="s">
        <v>25</v>
      </c>
      <c r="K44" s="1" t="s">
        <v>9</v>
      </c>
      <c r="L44" s="1" t="s">
        <v>78</v>
      </c>
      <c r="M44" s="11" t="s">
        <v>188</v>
      </c>
      <c r="N44" s="1" t="s">
        <v>6037</v>
      </c>
      <c r="O44" s="1" t="s">
        <v>16</v>
      </c>
      <c r="P44" s="1" t="s">
        <v>235</v>
      </c>
      <c r="Q44" s="1" t="s">
        <v>5358</v>
      </c>
      <c r="R44" s="1" t="s">
        <v>612</v>
      </c>
      <c r="S44" s="1" t="s">
        <v>6122</v>
      </c>
      <c r="T44" s="1" t="s">
        <v>6121</v>
      </c>
      <c r="U44" s="1" t="s">
        <v>6122</v>
      </c>
      <c r="V44" s="1" t="s">
        <v>6180</v>
      </c>
      <c r="W44" s="27">
        <v>60.714285714285708</v>
      </c>
      <c r="X44" s="27">
        <v>39.285714285714285</v>
      </c>
      <c r="Y44" s="33">
        <f>AVERAGE(Table13[[#This Row],[Score 1]],Table13[[#This Row],[Score 2]])</f>
        <v>50</v>
      </c>
      <c r="Z44" s="1">
        <v>2</v>
      </c>
      <c r="AA44" s="1">
        <v>2</v>
      </c>
      <c r="AB44" s="22">
        <f>Table13[[#This Row],[Rank 1]]+Table13[[#This Row],[Rank 2]]</f>
        <v>4</v>
      </c>
      <c r="AC44" s="1" t="str">
        <f>IF(AND(Table13[[#This Row],[Average score]]&gt;75,Table13[[#This Row],[Total rank]]&gt;6.5),"Yes","No")</f>
        <v>No</v>
      </c>
      <c r="AD44" s="1" t="str">
        <f>IF(AND(Table13[[#This Row],[Average score]]&gt;80,Table13[[#This Row],[Total rank]]&gt;7.5),"Yes","No")</f>
        <v>No</v>
      </c>
      <c r="AF44" s="8">
        <v>45747</v>
      </c>
      <c r="AG44" s="1">
        <v>2</v>
      </c>
      <c r="AH44" s="27">
        <v>114500</v>
      </c>
      <c r="AI44" s="27">
        <v>79000</v>
      </c>
      <c r="AJ44" s="30">
        <v>0</v>
      </c>
      <c r="AK44" s="30">
        <f>Table13[[#This Row],[Year 1]]</f>
        <v>114500</v>
      </c>
      <c r="AL44" s="30">
        <f>Table13[[#This Row],[Year 2]]</f>
        <v>79000</v>
      </c>
      <c r="AM44" s="30">
        <f>Table13[[#This Row],[Year 3]]</f>
        <v>0</v>
      </c>
      <c r="AN44" s="1">
        <v>2</v>
      </c>
    </row>
    <row r="45" spans="1:40" hidden="1" x14ac:dyDescent="0.25">
      <c r="A45" s="1" t="s">
        <v>48</v>
      </c>
      <c r="B45" s="1" t="s">
        <v>615</v>
      </c>
      <c r="C45" s="1" t="s">
        <v>50</v>
      </c>
      <c r="D45" s="1" t="s">
        <v>616</v>
      </c>
      <c r="E45" s="1" t="s">
        <v>617</v>
      </c>
      <c r="F45" s="22" t="s">
        <v>3</v>
      </c>
      <c r="G45" s="1" t="s">
        <v>6085</v>
      </c>
      <c r="H45" s="1" t="s">
        <v>6</v>
      </c>
      <c r="I45" s="1" t="s">
        <v>20</v>
      </c>
      <c r="J45" s="1" t="s">
        <v>25</v>
      </c>
      <c r="K45" s="1" t="s">
        <v>9</v>
      </c>
      <c r="L45" s="1" t="s">
        <v>53</v>
      </c>
      <c r="M45" s="11" t="s">
        <v>188</v>
      </c>
      <c r="N45" s="1" t="s">
        <v>6037</v>
      </c>
      <c r="O45" s="1" t="s">
        <v>15</v>
      </c>
      <c r="P45" s="1" t="s">
        <v>199</v>
      </c>
      <c r="Q45" s="1" t="s">
        <v>5359</v>
      </c>
      <c r="R45" s="1" t="s">
        <v>618</v>
      </c>
      <c r="S45" s="1" t="s">
        <v>6057</v>
      </c>
      <c r="T45" s="1" t="s">
        <v>6058</v>
      </c>
      <c r="U45" s="1" t="s">
        <v>6095</v>
      </c>
      <c r="V45" s="1" t="s">
        <v>6186</v>
      </c>
      <c r="W45" s="27">
        <v>57.142857142857139</v>
      </c>
      <c r="X45" s="27">
        <v>67.857142857142861</v>
      </c>
      <c r="Y45" s="33">
        <f>AVERAGE(Table13[[#This Row],[Score 1]],Table13[[#This Row],[Score 2]])</f>
        <v>62.5</v>
      </c>
      <c r="Z45" s="1">
        <v>2</v>
      </c>
      <c r="AA45" s="1">
        <v>1</v>
      </c>
      <c r="AB45" s="22">
        <f>Table13[[#This Row],[Rank 1]]+Table13[[#This Row],[Rank 2]]</f>
        <v>3</v>
      </c>
      <c r="AC45" s="1" t="str">
        <f>IF(AND(Table13[[#This Row],[Average score]]&gt;75,Table13[[#This Row],[Total rank]]&gt;6.5),"Yes","No")</f>
        <v>No</v>
      </c>
      <c r="AD45" s="1" t="str">
        <f>IF(AND(Table13[[#This Row],[Average score]]&gt;80,Table13[[#This Row],[Total rank]]&gt;7.5),"Yes","No")</f>
        <v>No</v>
      </c>
      <c r="AF45" s="8">
        <v>45717</v>
      </c>
      <c r="AG45" s="1">
        <v>1</v>
      </c>
      <c r="AH45" s="27">
        <v>89911</v>
      </c>
      <c r="AI45" s="30">
        <v>0</v>
      </c>
      <c r="AJ45" s="30">
        <v>0</v>
      </c>
      <c r="AK45" s="30">
        <f>Table13[[#This Row],[Year 1]]</f>
        <v>89911</v>
      </c>
      <c r="AL45" s="30">
        <f>Table13[[#This Row],[Year 2]]</f>
        <v>0</v>
      </c>
      <c r="AM45" s="30">
        <f>Table13[[#This Row],[Year 3]]</f>
        <v>0</v>
      </c>
      <c r="AN45" s="1">
        <v>3</v>
      </c>
    </row>
    <row r="46" spans="1:40" hidden="1" x14ac:dyDescent="0.25">
      <c r="A46" s="1" t="s">
        <v>48</v>
      </c>
      <c r="B46" s="1" t="s">
        <v>624</v>
      </c>
      <c r="C46" s="1" t="s">
        <v>50</v>
      </c>
      <c r="D46" s="1" t="s">
        <v>625</v>
      </c>
      <c r="E46" s="1" t="s">
        <v>626</v>
      </c>
      <c r="F46" s="22" t="s">
        <v>3</v>
      </c>
      <c r="G46" s="1" t="s">
        <v>6085</v>
      </c>
      <c r="H46" s="1" t="s">
        <v>6</v>
      </c>
      <c r="I46" s="1" t="s">
        <v>20</v>
      </c>
      <c r="J46" s="1" t="s">
        <v>25</v>
      </c>
      <c r="K46" s="1" t="s">
        <v>9</v>
      </c>
      <c r="L46" s="1" t="s">
        <v>53</v>
      </c>
      <c r="M46" s="11" t="s">
        <v>188</v>
      </c>
      <c r="N46" s="1" t="s">
        <v>6037</v>
      </c>
      <c r="O46" s="1" t="s">
        <v>10</v>
      </c>
      <c r="P46" s="1" t="s">
        <v>627</v>
      </c>
      <c r="Q46" s="18" t="s">
        <v>5361</v>
      </c>
      <c r="R46" s="1" t="s">
        <v>628</v>
      </c>
      <c r="S46" s="1" t="s">
        <v>6048</v>
      </c>
      <c r="T46" s="1" t="s">
        <v>6047</v>
      </c>
      <c r="U46" s="1" t="s">
        <v>6086</v>
      </c>
      <c r="V46" s="1" t="s">
        <v>6106</v>
      </c>
      <c r="W46" s="27">
        <v>75</v>
      </c>
      <c r="X46" s="27">
        <v>85.714285714285708</v>
      </c>
      <c r="Y46" s="33">
        <f>AVERAGE(Table13[[#This Row],[Score 1]],Table13[[#This Row],[Score 2]])</f>
        <v>80.357142857142861</v>
      </c>
      <c r="Z46" s="1">
        <v>4</v>
      </c>
      <c r="AA46" s="1">
        <v>3</v>
      </c>
      <c r="AB46" s="22">
        <f>Table13[[#This Row],[Rank 1]]+Table13[[#This Row],[Rank 2]]</f>
        <v>7</v>
      </c>
      <c r="AC46" s="1" t="str">
        <f>IF(AND(Table13[[#This Row],[Average score]]&gt;75,Table13[[#This Row],[Total rank]]&gt;6.5),"Yes","No")</f>
        <v>Yes</v>
      </c>
      <c r="AD46" s="1" t="str">
        <f>IF(AND(Table13[[#This Row],[Average score]]&gt;80,Table13[[#This Row],[Total rank]]&gt;7.5),"Yes","No")</f>
        <v>No</v>
      </c>
      <c r="AF46" s="8">
        <v>45695</v>
      </c>
      <c r="AG46" s="1">
        <v>1</v>
      </c>
      <c r="AH46" s="27">
        <v>130000</v>
      </c>
      <c r="AI46" s="30">
        <v>0</v>
      </c>
      <c r="AJ46" s="30">
        <v>0</v>
      </c>
      <c r="AK46" s="30">
        <f>Table13[[#This Row],[Year 1]]</f>
        <v>130000</v>
      </c>
      <c r="AL46" s="30">
        <f>Table13[[#This Row],[Year 2]]</f>
        <v>0</v>
      </c>
      <c r="AM46" s="30">
        <f>Table13[[#This Row],[Year 3]]</f>
        <v>0</v>
      </c>
      <c r="AN46" s="1">
        <v>2</v>
      </c>
    </row>
    <row r="47" spans="1:40" hidden="1" x14ac:dyDescent="0.25">
      <c r="A47" s="1" t="s">
        <v>48</v>
      </c>
      <c r="B47" s="1" t="s">
        <v>630</v>
      </c>
      <c r="C47" s="1" t="s">
        <v>50</v>
      </c>
      <c r="D47" s="1" t="s">
        <v>631</v>
      </c>
      <c r="E47" s="1" t="s">
        <v>632</v>
      </c>
      <c r="F47" s="22" t="s">
        <v>3</v>
      </c>
      <c r="G47" s="1" t="s">
        <v>6085</v>
      </c>
      <c r="H47" s="1" t="s">
        <v>6</v>
      </c>
      <c r="I47" s="1" t="s">
        <v>20</v>
      </c>
      <c r="J47" s="1" t="s">
        <v>26</v>
      </c>
      <c r="K47" s="1" t="s">
        <v>9</v>
      </c>
      <c r="L47" s="1" t="s">
        <v>78</v>
      </c>
      <c r="M47" s="11" t="s">
        <v>188</v>
      </c>
      <c r="N47" s="1" t="s">
        <v>6037</v>
      </c>
      <c r="O47" s="1" t="s">
        <v>12</v>
      </c>
      <c r="P47" s="1" t="s">
        <v>126</v>
      </c>
      <c r="Q47" s="1" t="s">
        <v>5362</v>
      </c>
      <c r="R47" s="1" t="s">
        <v>633</v>
      </c>
      <c r="S47" s="1" t="s">
        <v>6153</v>
      </c>
      <c r="T47" s="1" t="s">
        <v>6155</v>
      </c>
      <c r="U47" s="1" t="s">
        <v>6157</v>
      </c>
      <c r="V47" s="1" t="s">
        <v>6164</v>
      </c>
      <c r="W47" s="27">
        <v>89.285714285714292</v>
      </c>
      <c r="X47" s="27">
        <v>67.857142857142861</v>
      </c>
      <c r="Y47" s="33">
        <f>AVERAGE(Table13[[#This Row],[Score 1]],Table13[[#This Row],[Score 2]])</f>
        <v>78.571428571428584</v>
      </c>
      <c r="Z47" s="1">
        <v>4</v>
      </c>
      <c r="AA47" s="1">
        <v>4</v>
      </c>
      <c r="AB47" s="22">
        <f>Table13[[#This Row],[Rank 1]]+Table13[[#This Row],[Rank 2]]</f>
        <v>8</v>
      </c>
      <c r="AC47" s="1" t="str">
        <f>IF(AND(Table13[[#This Row],[Average score]]&gt;75,Table13[[#This Row],[Total rank]]&gt;6.5),"Yes","No")</f>
        <v>Yes</v>
      </c>
      <c r="AD47" s="1" t="str">
        <f>IF(AND(Table13[[#This Row],[Average score]]&gt;80,Table13[[#This Row],[Total rank]]&gt;7.5),"Yes","No")</f>
        <v>No</v>
      </c>
      <c r="AF47" s="8">
        <v>45712</v>
      </c>
      <c r="AG47" s="1">
        <v>2</v>
      </c>
      <c r="AH47" s="27">
        <v>171000</v>
      </c>
      <c r="AI47" s="27">
        <v>243000</v>
      </c>
      <c r="AJ47" s="30">
        <v>0</v>
      </c>
      <c r="AK47" s="30">
        <f>Table13[[#This Row],[Year 1]]</f>
        <v>171000</v>
      </c>
      <c r="AL47" s="30">
        <f>Table13[[#This Row],[Year 2]]</f>
        <v>243000</v>
      </c>
      <c r="AM47" s="30">
        <f>Table13[[#This Row],[Year 3]]</f>
        <v>0</v>
      </c>
      <c r="AN47" s="1">
        <v>3</v>
      </c>
    </row>
    <row r="48" spans="1:40" hidden="1" x14ac:dyDescent="0.25">
      <c r="A48" s="1" t="s">
        <v>48</v>
      </c>
      <c r="B48" s="1" t="s">
        <v>642</v>
      </c>
      <c r="C48" s="1" t="s">
        <v>50</v>
      </c>
      <c r="D48" s="1" t="s">
        <v>643</v>
      </c>
      <c r="E48" s="1" t="s">
        <v>644</v>
      </c>
      <c r="F48" s="22" t="s">
        <v>3</v>
      </c>
      <c r="G48" s="1" t="s">
        <v>6085</v>
      </c>
      <c r="H48" s="1" t="s">
        <v>6</v>
      </c>
      <c r="I48" s="1" t="s">
        <v>20</v>
      </c>
      <c r="J48" s="1" t="s">
        <v>25</v>
      </c>
      <c r="K48" s="1" t="s">
        <v>9</v>
      </c>
      <c r="L48" s="1" t="s">
        <v>53</v>
      </c>
      <c r="M48" s="11" t="s">
        <v>188</v>
      </c>
      <c r="N48" s="1" t="s">
        <v>6037</v>
      </c>
      <c r="O48" s="1" t="s">
        <v>19</v>
      </c>
      <c r="P48" s="1" t="s">
        <v>60</v>
      </c>
      <c r="Q48" s="1" t="s">
        <v>5364</v>
      </c>
      <c r="R48" s="1" t="s">
        <v>645</v>
      </c>
      <c r="S48" s="1" t="s">
        <v>6139</v>
      </c>
      <c r="T48" s="1" t="s">
        <v>6140</v>
      </c>
      <c r="U48" s="1" t="s">
        <v>6162</v>
      </c>
      <c r="V48" s="1" t="s">
        <v>6187</v>
      </c>
      <c r="W48" s="27">
        <v>78.571428571428569</v>
      </c>
      <c r="X48" s="27">
        <v>64.285714285714292</v>
      </c>
      <c r="Y48" s="33">
        <f>AVERAGE(Table13[[#This Row],[Score 1]],Table13[[#This Row],[Score 2]])</f>
        <v>71.428571428571431</v>
      </c>
      <c r="Z48" s="1">
        <v>4</v>
      </c>
      <c r="AA48" s="1">
        <v>3</v>
      </c>
      <c r="AB48" s="22">
        <f>Table13[[#This Row],[Rank 1]]+Table13[[#This Row],[Rank 2]]</f>
        <v>7</v>
      </c>
      <c r="AC48" s="1" t="str">
        <f>IF(AND(Table13[[#This Row],[Average score]]&gt;75,Table13[[#This Row],[Total rank]]&gt;6.5),"Yes","No")</f>
        <v>No</v>
      </c>
      <c r="AD48" s="1" t="str">
        <f>IF(AND(Table13[[#This Row],[Average score]]&gt;80,Table13[[#This Row],[Total rank]]&gt;7.5),"Yes","No")</f>
        <v>No</v>
      </c>
      <c r="AF48" s="8">
        <v>46027</v>
      </c>
      <c r="AG48" s="1">
        <v>1</v>
      </c>
      <c r="AH48" s="27">
        <v>15000</v>
      </c>
      <c r="AI48" s="30">
        <v>0</v>
      </c>
      <c r="AJ48" s="30">
        <v>0</v>
      </c>
      <c r="AK48" s="30">
        <f>Table13[[#This Row],[Year 1]]</f>
        <v>15000</v>
      </c>
      <c r="AL48" s="30">
        <f>Table13[[#This Row],[Year 2]]</f>
        <v>0</v>
      </c>
      <c r="AM48" s="30">
        <f>Table13[[#This Row],[Year 3]]</f>
        <v>0</v>
      </c>
      <c r="AN48" s="1">
        <v>3</v>
      </c>
    </row>
    <row r="49" spans="1:40" hidden="1" x14ac:dyDescent="0.25">
      <c r="A49" s="1" t="s">
        <v>48</v>
      </c>
      <c r="B49" s="1" t="s">
        <v>1016</v>
      </c>
      <c r="C49" s="1" t="s">
        <v>50</v>
      </c>
      <c r="D49" s="1" t="s">
        <v>1074</v>
      </c>
      <c r="E49" s="1" t="s">
        <v>1075</v>
      </c>
      <c r="F49" s="22" t="s">
        <v>3</v>
      </c>
      <c r="G49" s="1" t="s">
        <v>6085</v>
      </c>
      <c r="H49" s="1" t="s">
        <v>7</v>
      </c>
      <c r="I49" s="1" t="s">
        <v>17</v>
      </c>
      <c r="J49" s="1" t="s">
        <v>25</v>
      </c>
      <c r="K49" s="1" t="s">
        <v>9</v>
      </c>
      <c r="L49" s="1" t="s">
        <v>53</v>
      </c>
      <c r="M49" s="11" t="s">
        <v>188</v>
      </c>
      <c r="N49" s="1" t="s">
        <v>6037</v>
      </c>
      <c r="O49" s="1" t="s">
        <v>12</v>
      </c>
      <c r="P49" s="1" t="s">
        <v>1384</v>
      </c>
      <c r="Q49" s="1" t="s">
        <v>5366</v>
      </c>
      <c r="R49" s="1" t="s">
        <v>1385</v>
      </c>
      <c r="S49" s="1" t="s">
        <v>6153</v>
      </c>
      <c r="T49" s="1" t="s">
        <v>6168</v>
      </c>
      <c r="U49" s="1" t="s">
        <v>6173</v>
      </c>
      <c r="V49" s="1" t="s">
        <v>6157</v>
      </c>
      <c r="W49" s="27">
        <v>77.777777777777786</v>
      </c>
      <c r="X49" s="27">
        <v>97.222222222222214</v>
      </c>
      <c r="Y49" s="33">
        <f>AVERAGE(Table13[[#This Row],[Score 1]],Table13[[#This Row],[Score 2]])</f>
        <v>87.5</v>
      </c>
      <c r="Z49" s="1">
        <v>3</v>
      </c>
      <c r="AA49" s="1">
        <v>4</v>
      </c>
      <c r="AB49" s="22">
        <f>Table13[[#This Row],[Rank 1]]+Table13[[#This Row],[Rank 2]]</f>
        <v>7</v>
      </c>
      <c r="AC49" s="1" t="str">
        <f>IF(AND(Table13[[#This Row],[Average score]]&gt;75,Table13[[#This Row],[Total rank]]&gt;6.5),"Yes","No")</f>
        <v>Yes</v>
      </c>
      <c r="AD49" s="1" t="str">
        <f>IF(AND(Table13[[#This Row],[Average score]]&gt;80,Table13[[#This Row],[Total rank]]&gt;7.5),"Yes","No")</f>
        <v>No</v>
      </c>
      <c r="AF49" s="8">
        <v>46032</v>
      </c>
      <c r="AG49" s="1">
        <v>2</v>
      </c>
      <c r="AH49" s="27">
        <v>502800</v>
      </c>
      <c r="AI49" s="27">
        <v>521100</v>
      </c>
      <c r="AJ49" s="30">
        <v>0</v>
      </c>
      <c r="AK49" s="30">
        <f>Table13[[#This Row],[Year 1]]</f>
        <v>502800</v>
      </c>
      <c r="AL49" s="30">
        <f>Table13[[#This Row],[Year 2]]</f>
        <v>521100</v>
      </c>
      <c r="AM49" s="30">
        <f>Table13[[#This Row],[Year 3]]</f>
        <v>0</v>
      </c>
      <c r="AN49" s="1">
        <v>3</v>
      </c>
    </row>
    <row r="50" spans="1:40" x14ac:dyDescent="0.25">
      <c r="A50" s="1" t="s">
        <v>48</v>
      </c>
      <c r="B50" s="2" t="s">
        <v>653</v>
      </c>
      <c r="C50" s="1" t="s">
        <v>50</v>
      </c>
      <c r="D50" s="1" t="s">
        <v>654</v>
      </c>
      <c r="E50" s="1" t="s">
        <v>655</v>
      </c>
      <c r="F50" s="22" t="s">
        <v>3</v>
      </c>
      <c r="G50" s="1" t="s">
        <v>6085</v>
      </c>
      <c r="H50" s="1" t="s">
        <v>6</v>
      </c>
      <c r="I50" s="1" t="s">
        <v>20</v>
      </c>
      <c r="J50" s="1" t="s">
        <v>25</v>
      </c>
      <c r="K50" s="1" t="s">
        <v>9</v>
      </c>
      <c r="L50" s="1" t="s">
        <v>53</v>
      </c>
      <c r="M50" s="11" t="s">
        <v>188</v>
      </c>
      <c r="N50" s="1" t="s">
        <v>6037</v>
      </c>
      <c r="O50" s="1" t="s">
        <v>18</v>
      </c>
      <c r="P50" s="1" t="s">
        <v>656</v>
      </c>
      <c r="Q50" s="1" t="s">
        <v>5367</v>
      </c>
      <c r="R50" s="20" t="s">
        <v>657</v>
      </c>
      <c r="S50" s="1" t="s">
        <v>6059</v>
      </c>
      <c r="T50" s="1" t="s">
        <v>6060</v>
      </c>
      <c r="U50" s="1" t="s">
        <v>6096</v>
      </c>
      <c r="V50" s="1" t="s">
        <v>6214</v>
      </c>
      <c r="W50" s="27">
        <v>89.285714285714292</v>
      </c>
      <c r="X50" s="29">
        <f>Table13[[#This Row],[Score 1]]</f>
        <v>89.285714285714292</v>
      </c>
      <c r="Y50" s="33">
        <f>AVERAGE(Table13[[#This Row],[Score 1]],Table13[[#This Row],[Score 2]])</f>
        <v>89.285714285714292</v>
      </c>
      <c r="Z50" s="1">
        <v>5</v>
      </c>
      <c r="AA50" s="2">
        <f>Table13[[#This Row],[Rank 1]]</f>
        <v>5</v>
      </c>
      <c r="AB50" s="22">
        <f>Table13[[#This Row],[Rank 1]]+Table13[[#This Row],[Rank 2]]</f>
        <v>10</v>
      </c>
      <c r="AC50" s="1" t="str">
        <f>IF(AND(Table13[[#This Row],[Average score]]&gt;75,Table13[[#This Row],[Total rank]]&gt;6.5),"Yes","No")</f>
        <v>Yes</v>
      </c>
      <c r="AD50" s="1" t="str">
        <f>IF(AND(Table13[[#This Row],[Average score]]&gt;80,Table13[[#This Row],[Total rank]]&gt;7.5),"Yes","No")</f>
        <v>Yes</v>
      </c>
      <c r="AE50" s="1" t="s">
        <v>6221</v>
      </c>
      <c r="AF50" s="8">
        <v>45717</v>
      </c>
      <c r="AG50" s="1">
        <v>2</v>
      </c>
      <c r="AH50" s="27">
        <v>143621</v>
      </c>
      <c r="AI50" s="27">
        <v>176500</v>
      </c>
      <c r="AJ50" s="30">
        <v>0</v>
      </c>
      <c r="AK50" s="30">
        <v>145000</v>
      </c>
      <c r="AL50" s="30">
        <v>177000</v>
      </c>
      <c r="AM50" s="30">
        <f>Table13[[#This Row],[Year 3]]</f>
        <v>0</v>
      </c>
      <c r="AN50" s="1">
        <v>3</v>
      </c>
    </row>
    <row r="51" spans="1:40" hidden="1" x14ac:dyDescent="0.25">
      <c r="A51" s="1" t="s">
        <v>48</v>
      </c>
      <c r="B51" s="1" t="s">
        <v>660</v>
      </c>
      <c r="C51" s="1" t="s">
        <v>50</v>
      </c>
      <c r="D51" s="1" t="s">
        <v>661</v>
      </c>
      <c r="E51" s="1" t="s">
        <v>662</v>
      </c>
      <c r="F51" s="22" t="s">
        <v>3</v>
      </c>
      <c r="G51" s="1" t="s">
        <v>6085</v>
      </c>
      <c r="H51" s="1" t="s">
        <v>6</v>
      </c>
      <c r="I51" s="1" t="s">
        <v>24</v>
      </c>
      <c r="J51" s="1" t="s">
        <v>25</v>
      </c>
      <c r="K51" s="1" t="s">
        <v>9</v>
      </c>
      <c r="L51" s="1" t="s">
        <v>53</v>
      </c>
      <c r="M51" s="11" t="s">
        <v>188</v>
      </c>
      <c r="N51" s="1" t="s">
        <v>6037</v>
      </c>
      <c r="O51" s="1" t="s">
        <v>13</v>
      </c>
      <c r="P51" s="1" t="s">
        <v>60</v>
      </c>
      <c r="Q51" s="1" t="s">
        <v>5368</v>
      </c>
      <c r="R51" s="1" t="s">
        <v>663</v>
      </c>
      <c r="S51" s="1" t="s">
        <v>6075</v>
      </c>
      <c r="T51" s="1" t="s">
        <v>6074</v>
      </c>
      <c r="U51" s="1" t="s">
        <v>6093</v>
      </c>
      <c r="V51" s="1" t="s">
        <v>6181</v>
      </c>
      <c r="W51" s="27">
        <v>75</v>
      </c>
      <c r="X51" s="27">
        <v>71.428571428571431</v>
      </c>
      <c r="Y51" s="33">
        <f>AVERAGE(Table13[[#This Row],[Score 1]],Table13[[#This Row],[Score 2]])</f>
        <v>73.214285714285722</v>
      </c>
      <c r="Z51" s="1">
        <v>3</v>
      </c>
      <c r="AA51" s="1">
        <v>3</v>
      </c>
      <c r="AB51" s="22">
        <f>Table13[[#This Row],[Rank 1]]+Table13[[#This Row],[Rank 2]]</f>
        <v>6</v>
      </c>
      <c r="AC51" s="1" t="str">
        <f>IF(AND(Table13[[#This Row],[Average score]]&gt;75,Table13[[#This Row],[Total rank]]&gt;6.5),"Yes","No")</f>
        <v>No</v>
      </c>
      <c r="AD51" s="1" t="str">
        <f>IF(AND(Table13[[#This Row],[Average score]]&gt;80,Table13[[#This Row],[Total rank]]&gt;7.5),"Yes","No")</f>
        <v>No</v>
      </c>
      <c r="AF51" s="8">
        <v>45658</v>
      </c>
      <c r="AG51" s="1">
        <v>1</v>
      </c>
      <c r="AH51" s="27">
        <v>222400</v>
      </c>
      <c r="AI51" s="30">
        <v>0</v>
      </c>
      <c r="AJ51" s="30">
        <v>0</v>
      </c>
      <c r="AK51" s="30">
        <f>Table13[[#This Row],[Year 1]]</f>
        <v>222400</v>
      </c>
      <c r="AL51" s="30">
        <f>Table13[[#This Row],[Year 2]]</f>
        <v>0</v>
      </c>
      <c r="AM51" s="30">
        <f>Table13[[#This Row],[Year 3]]</f>
        <v>0</v>
      </c>
      <c r="AN51" s="1">
        <v>4</v>
      </c>
    </row>
    <row r="52" spans="1:40" hidden="1" x14ac:dyDescent="0.25">
      <c r="A52" s="1" t="s">
        <v>48</v>
      </c>
      <c r="B52" s="1" t="s">
        <v>665</v>
      </c>
      <c r="C52" s="1" t="s">
        <v>50</v>
      </c>
      <c r="D52" s="1" t="s">
        <v>666</v>
      </c>
      <c r="E52" s="1" t="s">
        <v>667</v>
      </c>
      <c r="F52" s="22" t="s">
        <v>3</v>
      </c>
      <c r="G52" s="1" t="s">
        <v>6085</v>
      </c>
      <c r="H52" s="1" t="s">
        <v>5</v>
      </c>
      <c r="I52" s="1" t="s">
        <v>20</v>
      </c>
      <c r="J52" s="1" t="s">
        <v>26</v>
      </c>
      <c r="K52" s="1" t="s">
        <v>9</v>
      </c>
      <c r="L52" s="1" t="s">
        <v>53</v>
      </c>
      <c r="M52" s="11" t="s">
        <v>188</v>
      </c>
      <c r="N52" s="1" t="s">
        <v>6037</v>
      </c>
      <c r="O52" s="1" t="s">
        <v>14</v>
      </c>
      <c r="P52" s="1" t="s">
        <v>668</v>
      </c>
      <c r="Q52" s="1" t="s">
        <v>5369</v>
      </c>
      <c r="R52" s="1" t="s">
        <v>669</v>
      </c>
      <c r="S52" s="1" t="s">
        <v>6145</v>
      </c>
      <c r="T52" s="1" t="s">
        <v>6146</v>
      </c>
      <c r="U52" s="1" t="s">
        <v>6156</v>
      </c>
      <c r="V52" s="1" t="s">
        <v>6169</v>
      </c>
      <c r="W52" s="27">
        <v>75</v>
      </c>
      <c r="X52" s="27">
        <v>57.142857142857139</v>
      </c>
      <c r="Y52" s="33">
        <f>AVERAGE(Table13[[#This Row],[Score 1]],Table13[[#This Row],[Score 2]])</f>
        <v>66.071428571428569</v>
      </c>
      <c r="Z52" s="1">
        <v>4</v>
      </c>
      <c r="AA52" s="1">
        <v>2</v>
      </c>
      <c r="AB52" s="22">
        <f>Table13[[#This Row],[Rank 1]]+Table13[[#This Row],[Rank 2]]</f>
        <v>6</v>
      </c>
      <c r="AC52" s="1" t="str">
        <f>IF(AND(Table13[[#This Row],[Average score]]&gt;75,Table13[[#This Row],[Total rank]]&gt;6.5),"Yes","No")</f>
        <v>No</v>
      </c>
      <c r="AD52" s="1" t="str">
        <f>IF(AND(Table13[[#This Row],[Average score]]&gt;80,Table13[[#This Row],[Total rank]]&gt;7.5),"Yes","No")</f>
        <v>No</v>
      </c>
      <c r="AF52" s="8">
        <v>45663</v>
      </c>
      <c r="AG52" s="1">
        <v>3</v>
      </c>
      <c r="AH52" s="27">
        <v>49580</v>
      </c>
      <c r="AI52" s="27">
        <v>99580</v>
      </c>
      <c r="AJ52" s="27">
        <v>78580</v>
      </c>
      <c r="AK52" s="27">
        <f>Table13[[#This Row],[Year 1]]</f>
        <v>49580</v>
      </c>
      <c r="AL52" s="27">
        <f>Table13[[#This Row],[Year 2]]</f>
        <v>99580</v>
      </c>
      <c r="AM52" s="27">
        <f>Table13[[#This Row],[Year 3]]</f>
        <v>78580</v>
      </c>
      <c r="AN52" s="1">
        <v>3</v>
      </c>
    </row>
    <row r="53" spans="1:40" hidden="1" x14ac:dyDescent="0.25">
      <c r="A53" s="1" t="s">
        <v>48</v>
      </c>
      <c r="B53" s="1" t="s">
        <v>688</v>
      </c>
      <c r="C53" s="1" t="s">
        <v>50</v>
      </c>
      <c r="D53" s="1" t="s">
        <v>689</v>
      </c>
      <c r="E53" s="1" t="s">
        <v>690</v>
      </c>
      <c r="F53" s="22" t="s">
        <v>3</v>
      </c>
      <c r="G53" s="1" t="s">
        <v>6085</v>
      </c>
      <c r="H53" s="1" t="s">
        <v>6</v>
      </c>
      <c r="I53" s="1" t="s">
        <v>20</v>
      </c>
      <c r="J53" s="1" t="s">
        <v>25</v>
      </c>
      <c r="K53" s="1" t="s">
        <v>9</v>
      </c>
      <c r="L53" s="1" t="s">
        <v>53</v>
      </c>
      <c r="M53" s="11" t="s">
        <v>188</v>
      </c>
      <c r="N53" s="1" t="s">
        <v>6037</v>
      </c>
      <c r="O53" s="1" t="s">
        <v>19</v>
      </c>
      <c r="P53" s="1" t="s">
        <v>284</v>
      </c>
      <c r="Q53" s="1" t="s">
        <v>5373</v>
      </c>
      <c r="R53" s="1" t="s">
        <v>691</v>
      </c>
      <c r="S53" s="1" t="s">
        <v>6133</v>
      </c>
      <c r="T53" s="1" t="s">
        <v>6150</v>
      </c>
      <c r="U53" s="1" t="s">
        <v>6158</v>
      </c>
      <c r="V53" s="1" t="s">
        <v>6094</v>
      </c>
      <c r="W53" s="27">
        <v>85.714285714285708</v>
      </c>
      <c r="X53" s="27">
        <v>71.428571428571431</v>
      </c>
      <c r="Y53" s="33">
        <f>AVERAGE(Table13[[#This Row],[Score 1]],Table13[[#This Row],[Score 2]])</f>
        <v>78.571428571428569</v>
      </c>
      <c r="Z53" s="1">
        <v>4</v>
      </c>
      <c r="AA53" s="1">
        <v>3</v>
      </c>
      <c r="AB53" s="22">
        <f>Table13[[#This Row],[Rank 1]]+Table13[[#This Row],[Rank 2]]</f>
        <v>7</v>
      </c>
      <c r="AC53" s="1" t="str">
        <f>IF(AND(Table13[[#This Row],[Average score]]&gt;75,Table13[[#This Row],[Total rank]]&gt;6.5),"Yes","No")</f>
        <v>Yes</v>
      </c>
      <c r="AD53" s="1" t="str">
        <f>IF(AND(Table13[[#This Row],[Average score]]&gt;80,Table13[[#This Row],[Total rank]]&gt;7.5),"Yes","No")</f>
        <v>No</v>
      </c>
      <c r="AF53" s="8">
        <v>45663</v>
      </c>
      <c r="AG53" s="1">
        <v>2</v>
      </c>
      <c r="AH53" s="27">
        <v>149000</v>
      </c>
      <c r="AI53" s="27">
        <v>149000</v>
      </c>
      <c r="AJ53" s="30">
        <v>0</v>
      </c>
      <c r="AK53" s="30">
        <f>Table13[[#This Row],[Year 1]]</f>
        <v>149000</v>
      </c>
      <c r="AL53" s="30">
        <f>Table13[[#This Row],[Year 2]]</f>
        <v>149000</v>
      </c>
      <c r="AM53" s="30">
        <f>Table13[[#This Row],[Year 3]]</f>
        <v>0</v>
      </c>
      <c r="AN53" s="1">
        <v>3</v>
      </c>
    </row>
    <row r="54" spans="1:40" hidden="1" x14ac:dyDescent="0.25">
      <c r="A54" s="1" t="s">
        <v>48</v>
      </c>
      <c r="B54" s="1" t="s">
        <v>697</v>
      </c>
      <c r="C54" s="1" t="s">
        <v>50</v>
      </c>
      <c r="D54" s="1" t="s">
        <v>698</v>
      </c>
      <c r="E54" s="1" t="s">
        <v>699</v>
      </c>
      <c r="F54" s="22" t="s">
        <v>3</v>
      </c>
      <c r="G54" s="1" t="s">
        <v>6085</v>
      </c>
      <c r="H54" s="1" t="s">
        <v>6</v>
      </c>
      <c r="I54" s="1" t="s">
        <v>24</v>
      </c>
      <c r="J54" s="1" t="s">
        <v>25</v>
      </c>
      <c r="K54" s="1" t="s">
        <v>9</v>
      </c>
      <c r="L54" s="1" t="s">
        <v>78</v>
      </c>
      <c r="M54" s="11" t="s">
        <v>188</v>
      </c>
      <c r="N54" s="1" t="s">
        <v>6037</v>
      </c>
      <c r="O54" s="1" t="s">
        <v>13</v>
      </c>
      <c r="P54" s="1" t="s">
        <v>700</v>
      </c>
      <c r="Q54" s="1" t="s">
        <v>5374</v>
      </c>
      <c r="R54" s="1" t="s">
        <v>701</v>
      </c>
      <c r="S54" s="1" t="s">
        <v>6078</v>
      </c>
      <c r="T54" s="1" t="s">
        <v>6077</v>
      </c>
      <c r="U54" s="1" t="s">
        <v>6090</v>
      </c>
      <c r="V54" s="1" t="s">
        <v>6174</v>
      </c>
      <c r="W54" s="27">
        <v>71.428571428571431</v>
      </c>
      <c r="X54" s="27">
        <v>39.285714285714285</v>
      </c>
      <c r="Y54" s="33">
        <f>AVERAGE(Table13[[#This Row],[Score 1]],Table13[[#This Row],[Score 2]])</f>
        <v>55.357142857142861</v>
      </c>
      <c r="Z54" s="1">
        <v>4</v>
      </c>
      <c r="AA54" s="1">
        <v>1</v>
      </c>
      <c r="AB54" s="22">
        <f>Table13[[#This Row],[Rank 1]]+Table13[[#This Row],[Rank 2]]</f>
        <v>5</v>
      </c>
      <c r="AC54" s="1" t="str">
        <f>IF(AND(Table13[[#This Row],[Average score]]&gt;75,Table13[[#This Row],[Total rank]]&gt;6.5),"Yes","No")</f>
        <v>No</v>
      </c>
      <c r="AD54" s="1" t="str">
        <f>IF(AND(Table13[[#This Row],[Average score]]&gt;80,Table13[[#This Row],[Total rank]]&gt;7.5),"Yes","No")</f>
        <v>No</v>
      </c>
      <c r="AF54" s="8">
        <v>45813</v>
      </c>
      <c r="AG54" s="1">
        <v>2</v>
      </c>
      <c r="AH54" s="27">
        <v>38000</v>
      </c>
      <c r="AI54" s="27">
        <v>36000</v>
      </c>
      <c r="AJ54" s="30">
        <v>0</v>
      </c>
      <c r="AK54" s="30">
        <f>Table13[[#This Row],[Year 1]]</f>
        <v>38000</v>
      </c>
      <c r="AL54" s="30">
        <f>Table13[[#This Row],[Year 2]]</f>
        <v>36000</v>
      </c>
      <c r="AM54" s="30">
        <f>Table13[[#This Row],[Year 3]]</f>
        <v>0</v>
      </c>
      <c r="AN54" s="1">
        <v>3</v>
      </c>
    </row>
    <row r="55" spans="1:40" hidden="1" x14ac:dyDescent="0.25">
      <c r="A55" s="1" t="s">
        <v>48</v>
      </c>
      <c r="B55" s="1" t="s">
        <v>709</v>
      </c>
      <c r="C55" s="1" t="s">
        <v>50</v>
      </c>
      <c r="D55" s="1" t="s">
        <v>710</v>
      </c>
      <c r="E55" s="1" t="s">
        <v>711</v>
      </c>
      <c r="F55" s="22" t="s">
        <v>3</v>
      </c>
      <c r="G55" s="1" t="s">
        <v>6085</v>
      </c>
      <c r="H55" s="1" t="s">
        <v>7</v>
      </c>
      <c r="I55" s="1" t="s">
        <v>20</v>
      </c>
      <c r="J55" s="1" t="s">
        <v>26</v>
      </c>
      <c r="K55" s="1" t="s">
        <v>9</v>
      </c>
      <c r="L55" s="1" t="s">
        <v>53</v>
      </c>
      <c r="M55" s="11" t="s">
        <v>188</v>
      </c>
      <c r="N55" s="1" t="s">
        <v>6037</v>
      </c>
      <c r="O55" s="1" t="s">
        <v>13</v>
      </c>
      <c r="P55" s="1" t="s">
        <v>247</v>
      </c>
      <c r="Q55" s="1" t="s">
        <v>5377</v>
      </c>
      <c r="R55" s="1" t="s">
        <v>1685</v>
      </c>
      <c r="S55" s="1" t="s">
        <v>6081</v>
      </c>
      <c r="T55" s="1" t="s">
        <v>6082</v>
      </c>
      <c r="U55" s="1" t="s">
        <v>6097</v>
      </c>
      <c r="V55" s="1" t="s">
        <v>6188</v>
      </c>
      <c r="W55" s="27">
        <v>77.777777777777786</v>
      </c>
      <c r="X55" s="27">
        <v>83.333333333333343</v>
      </c>
      <c r="Y55" s="33">
        <f>AVERAGE(Table13[[#This Row],[Score 1]],Table13[[#This Row],[Score 2]])</f>
        <v>80.555555555555571</v>
      </c>
      <c r="Z55" s="1">
        <v>4</v>
      </c>
      <c r="AA55" s="1">
        <v>5</v>
      </c>
      <c r="AB55" s="22">
        <f>Table13[[#This Row],[Rank 1]]+Table13[[#This Row],[Rank 2]]</f>
        <v>9</v>
      </c>
      <c r="AC55" s="1" t="str">
        <f>IF(AND(Table13[[#This Row],[Average score]]&gt;75,Table13[[#This Row],[Total rank]]&gt;6.5),"Yes","No")</f>
        <v>Yes</v>
      </c>
      <c r="AD55" s="1" t="str">
        <f>IF(AND(Table13[[#This Row],[Average score]]&gt;80,Table13[[#This Row],[Total rank]]&gt;7.5),"Yes","No")</f>
        <v>Yes</v>
      </c>
      <c r="AF55" s="8">
        <v>46023</v>
      </c>
      <c r="AG55" s="1">
        <v>2</v>
      </c>
      <c r="AH55" s="27">
        <v>417960</v>
      </c>
      <c r="AI55" s="27">
        <v>395960</v>
      </c>
      <c r="AJ55" s="30">
        <v>0</v>
      </c>
      <c r="AK55" s="30">
        <f>Table13[[#This Row],[Year 1]]</f>
        <v>417960</v>
      </c>
      <c r="AL55" s="30">
        <f>Table13[[#This Row],[Year 2]]</f>
        <v>395960</v>
      </c>
      <c r="AM55" s="30">
        <f>Table13[[#This Row],[Year 3]]</f>
        <v>0</v>
      </c>
      <c r="AN55" s="1">
        <v>3</v>
      </c>
    </row>
    <row r="56" spans="1:40" x14ac:dyDescent="0.25">
      <c r="A56" s="1" t="s">
        <v>48</v>
      </c>
      <c r="B56" s="1" t="s">
        <v>714</v>
      </c>
      <c r="C56" s="1" t="s">
        <v>50</v>
      </c>
      <c r="D56" s="1" t="s">
        <v>715</v>
      </c>
      <c r="E56" s="1" t="s">
        <v>716</v>
      </c>
      <c r="F56" s="22" t="s">
        <v>3</v>
      </c>
      <c r="G56" s="1" t="s">
        <v>6085</v>
      </c>
      <c r="H56" s="1" t="s">
        <v>6</v>
      </c>
      <c r="I56" s="1" t="s">
        <v>24</v>
      </c>
      <c r="J56" s="1" t="s">
        <v>25</v>
      </c>
      <c r="K56" s="1" t="s">
        <v>9</v>
      </c>
      <c r="L56" s="1" t="s">
        <v>53</v>
      </c>
      <c r="M56" s="11" t="s">
        <v>188</v>
      </c>
      <c r="N56" s="1" t="s">
        <v>6037</v>
      </c>
      <c r="O56" s="1" t="s">
        <v>14</v>
      </c>
      <c r="P56" s="1" t="s">
        <v>60</v>
      </c>
      <c r="Q56" s="1" t="s">
        <v>5299</v>
      </c>
      <c r="R56" s="1" t="s">
        <v>717</v>
      </c>
      <c r="S56" s="1" t="s">
        <v>6145</v>
      </c>
      <c r="T56" s="1" t="s">
        <v>6146</v>
      </c>
      <c r="U56" s="1" t="s">
        <v>6156</v>
      </c>
      <c r="V56" s="1" t="s">
        <v>6169</v>
      </c>
      <c r="W56" s="27">
        <v>100</v>
      </c>
      <c r="X56" s="27">
        <v>92.857142857142861</v>
      </c>
      <c r="Y56" s="33">
        <f>AVERAGE(Table13[[#This Row],[Score 1]],Table13[[#This Row],[Score 2]])</f>
        <v>96.428571428571431</v>
      </c>
      <c r="Z56" s="1">
        <v>5</v>
      </c>
      <c r="AA56" s="1">
        <v>5</v>
      </c>
      <c r="AB56" s="22">
        <f>Table13[[#This Row],[Rank 1]]+Table13[[#This Row],[Rank 2]]</f>
        <v>10</v>
      </c>
      <c r="AC56" s="1" t="str">
        <f>IF(AND(Table13[[#This Row],[Average score]]&gt;75,Table13[[#This Row],[Total rank]]&gt;6.5),"Yes","No")</f>
        <v>Yes</v>
      </c>
      <c r="AD56" s="1" t="str">
        <f>IF(AND(Table13[[#This Row],[Average score]]&gt;80,Table13[[#This Row],[Total rank]]&gt;7.5),"Yes","No")</f>
        <v>Yes</v>
      </c>
      <c r="AE56" s="1" t="s">
        <v>6221</v>
      </c>
      <c r="AF56" s="8">
        <v>45691</v>
      </c>
      <c r="AG56" s="1">
        <v>1</v>
      </c>
      <c r="AH56" s="27">
        <v>95310</v>
      </c>
      <c r="AI56" s="30">
        <v>0</v>
      </c>
      <c r="AJ56" s="30">
        <v>0</v>
      </c>
      <c r="AK56" s="30">
        <v>96000</v>
      </c>
      <c r="AL56" s="30">
        <f>Table13[[#This Row],[Year 2]]</f>
        <v>0</v>
      </c>
      <c r="AM56" s="30">
        <f>Table13[[#This Row],[Year 3]]</f>
        <v>0</v>
      </c>
      <c r="AN56" s="1">
        <v>3</v>
      </c>
    </row>
    <row r="57" spans="1:40" hidden="1" x14ac:dyDescent="0.25">
      <c r="A57" s="1" t="s">
        <v>48</v>
      </c>
      <c r="B57" s="1" t="s">
        <v>731</v>
      </c>
      <c r="C57" s="1" t="s">
        <v>50</v>
      </c>
      <c r="D57" s="1" t="s">
        <v>732</v>
      </c>
      <c r="E57" s="1" t="s">
        <v>733</v>
      </c>
      <c r="F57" s="22" t="s">
        <v>3</v>
      </c>
      <c r="G57" s="1" t="s">
        <v>6085</v>
      </c>
      <c r="H57" s="1" t="s">
        <v>5</v>
      </c>
      <c r="I57" s="1" t="s">
        <v>20</v>
      </c>
      <c r="J57" s="1" t="s">
        <v>25</v>
      </c>
      <c r="K57" s="1" t="s">
        <v>9</v>
      </c>
      <c r="L57" s="1" t="s">
        <v>53</v>
      </c>
      <c r="M57" s="11" t="s">
        <v>188</v>
      </c>
      <c r="N57" s="1" t="s">
        <v>6037</v>
      </c>
      <c r="O57" s="1" t="s">
        <v>13</v>
      </c>
      <c r="P57" s="1" t="s">
        <v>563</v>
      </c>
      <c r="Q57" s="1" t="s">
        <v>5380</v>
      </c>
      <c r="R57" s="1" t="s">
        <v>734</v>
      </c>
      <c r="S57" s="1" t="s">
        <v>6070</v>
      </c>
      <c r="T57" s="1" t="s">
        <v>6071</v>
      </c>
      <c r="U57" s="1" t="s">
        <v>6088</v>
      </c>
      <c r="V57" s="1" t="s">
        <v>6171</v>
      </c>
      <c r="W57" s="27">
        <v>85.714285714285708</v>
      </c>
      <c r="X57" s="27">
        <v>60.714285714285708</v>
      </c>
      <c r="Y57" s="33">
        <f>AVERAGE(Table13[[#This Row],[Score 1]],Table13[[#This Row],[Score 2]])</f>
        <v>73.214285714285708</v>
      </c>
      <c r="Z57" s="1">
        <v>2</v>
      </c>
      <c r="AA57" s="1">
        <v>3</v>
      </c>
      <c r="AB57" s="22">
        <f>Table13[[#This Row],[Rank 1]]+Table13[[#This Row],[Rank 2]]</f>
        <v>5</v>
      </c>
      <c r="AC57" s="1" t="str">
        <f>IF(AND(Table13[[#This Row],[Average score]]&gt;75,Table13[[#This Row],[Total rank]]&gt;6.5),"Yes","No")</f>
        <v>No</v>
      </c>
      <c r="AD57" s="1" t="str">
        <f>IF(AND(Table13[[#This Row],[Average score]]&gt;80,Table13[[#This Row],[Total rank]]&gt;7.5),"Yes","No")</f>
        <v>No</v>
      </c>
      <c r="AF57" s="8">
        <v>46174</v>
      </c>
      <c r="AG57" s="1">
        <v>3</v>
      </c>
      <c r="AH57" s="27">
        <v>241170</v>
      </c>
      <c r="AI57" s="27">
        <v>247000</v>
      </c>
      <c r="AJ57" s="27">
        <v>253000</v>
      </c>
      <c r="AK57" s="27">
        <f>Table13[[#This Row],[Year 1]]</f>
        <v>241170</v>
      </c>
      <c r="AL57" s="27">
        <f>Table13[[#This Row],[Year 2]]</f>
        <v>247000</v>
      </c>
      <c r="AM57" s="27">
        <f>Table13[[#This Row],[Year 3]]</f>
        <v>253000</v>
      </c>
      <c r="AN57" s="1">
        <v>3</v>
      </c>
    </row>
    <row r="58" spans="1:40" hidden="1" x14ac:dyDescent="0.25">
      <c r="A58" s="1" t="s">
        <v>48</v>
      </c>
      <c r="B58" s="1" t="s">
        <v>1219</v>
      </c>
      <c r="C58" s="1" t="s">
        <v>50</v>
      </c>
      <c r="D58" s="1" t="s">
        <v>1311</v>
      </c>
      <c r="E58" s="1" t="s">
        <v>1312</v>
      </c>
      <c r="F58" s="22" t="s">
        <v>3</v>
      </c>
      <c r="G58" s="1" t="s">
        <v>6085</v>
      </c>
      <c r="H58" s="1" t="s">
        <v>6</v>
      </c>
      <c r="I58" s="1" t="s">
        <v>20</v>
      </c>
      <c r="J58" s="1" t="s">
        <v>25</v>
      </c>
      <c r="K58" s="1" t="s">
        <v>9</v>
      </c>
      <c r="L58" s="1" t="s">
        <v>53</v>
      </c>
      <c r="M58" s="11" t="s">
        <v>188</v>
      </c>
      <c r="N58" s="1" t="s">
        <v>6037</v>
      </c>
      <c r="O58" s="1" t="s">
        <v>14</v>
      </c>
      <c r="P58" s="1" t="s">
        <v>707</v>
      </c>
      <c r="Q58" s="1" t="s">
        <v>5381</v>
      </c>
      <c r="R58" s="1" t="s">
        <v>1585</v>
      </c>
      <c r="S58" s="1" t="s">
        <v>6139</v>
      </c>
      <c r="T58" s="1" t="s">
        <v>6140</v>
      </c>
      <c r="U58" s="1" t="s">
        <v>6162</v>
      </c>
      <c r="V58" s="1" t="s">
        <v>6187</v>
      </c>
      <c r="W58" s="27">
        <v>57.142857142857139</v>
      </c>
      <c r="X58" s="27">
        <v>75</v>
      </c>
      <c r="Y58" s="33">
        <f>AVERAGE(Table13[[#This Row],[Score 1]],Table13[[#This Row],[Score 2]])</f>
        <v>66.071428571428569</v>
      </c>
      <c r="Z58" s="1">
        <v>2</v>
      </c>
      <c r="AA58" s="1">
        <v>3</v>
      </c>
      <c r="AB58" s="22">
        <f>Table13[[#This Row],[Rank 1]]+Table13[[#This Row],[Rank 2]]</f>
        <v>5</v>
      </c>
      <c r="AC58" s="1" t="str">
        <f>IF(AND(Table13[[#This Row],[Average score]]&gt;75,Table13[[#This Row],[Total rank]]&gt;6.5),"Yes","No")</f>
        <v>No</v>
      </c>
      <c r="AD58" s="1" t="str">
        <f>IF(AND(Table13[[#This Row],[Average score]]&gt;80,Table13[[#This Row],[Total rank]]&gt;7.5),"Yes","No")</f>
        <v>No</v>
      </c>
      <c r="AF58" s="8">
        <v>46069</v>
      </c>
      <c r="AG58" s="1">
        <v>2</v>
      </c>
      <c r="AH58" s="27">
        <v>180000</v>
      </c>
      <c r="AI58" s="27">
        <v>180000</v>
      </c>
      <c r="AJ58" s="30">
        <v>0</v>
      </c>
      <c r="AK58" s="30">
        <f>Table13[[#This Row],[Year 1]]</f>
        <v>180000</v>
      </c>
      <c r="AL58" s="30">
        <f>Table13[[#This Row],[Year 2]]</f>
        <v>180000</v>
      </c>
      <c r="AM58" s="30">
        <f>Table13[[#This Row],[Year 3]]</f>
        <v>0</v>
      </c>
      <c r="AN58" s="1">
        <v>3</v>
      </c>
    </row>
    <row r="59" spans="1:40" hidden="1" x14ac:dyDescent="0.25">
      <c r="A59" s="1" t="s">
        <v>48</v>
      </c>
      <c r="B59" s="1" t="s">
        <v>1202</v>
      </c>
      <c r="C59" s="1" t="s">
        <v>50</v>
      </c>
      <c r="D59" s="1" t="s">
        <v>1277</v>
      </c>
      <c r="E59" s="1" t="s">
        <v>1278</v>
      </c>
      <c r="F59" s="22" t="s">
        <v>3</v>
      </c>
      <c r="G59" s="1" t="s">
        <v>6085</v>
      </c>
      <c r="H59" s="1" t="s">
        <v>6</v>
      </c>
      <c r="I59" s="1" t="s">
        <v>20</v>
      </c>
      <c r="J59" s="1" t="s">
        <v>25</v>
      </c>
      <c r="K59" s="1" t="s">
        <v>9</v>
      </c>
      <c r="L59" s="1" t="s">
        <v>53</v>
      </c>
      <c r="M59" s="11" t="s">
        <v>188</v>
      </c>
      <c r="N59" s="1" t="s">
        <v>6037</v>
      </c>
      <c r="O59" s="1" t="s">
        <v>11</v>
      </c>
      <c r="P59" s="1" t="s">
        <v>139</v>
      </c>
      <c r="Q59" s="1" t="s">
        <v>5382</v>
      </c>
      <c r="R59" s="1" t="s">
        <v>1539</v>
      </c>
      <c r="S59" s="1" t="s">
        <v>6053</v>
      </c>
      <c r="T59" s="1" t="s">
        <v>6054</v>
      </c>
      <c r="U59" s="1" t="s">
        <v>6087</v>
      </c>
      <c r="V59" s="1" t="s">
        <v>6170</v>
      </c>
      <c r="W59" s="27">
        <v>92.857142857142861</v>
      </c>
      <c r="X59" s="27">
        <v>67.857142857142861</v>
      </c>
      <c r="Y59" s="33">
        <f>AVERAGE(Table13[[#This Row],[Score 1]],Table13[[#This Row],[Score 2]])</f>
        <v>80.357142857142861</v>
      </c>
      <c r="Z59" s="1">
        <v>5</v>
      </c>
      <c r="AA59" s="1">
        <v>3</v>
      </c>
      <c r="AB59" s="22">
        <f>Table13[[#This Row],[Rank 1]]+Table13[[#This Row],[Rank 2]]</f>
        <v>8</v>
      </c>
      <c r="AC59" s="1" t="str">
        <f>IF(AND(Table13[[#This Row],[Average score]]&gt;75,Table13[[#This Row],[Total rank]]&gt;6.5),"Yes","No")</f>
        <v>Yes</v>
      </c>
      <c r="AD59" s="1" t="str">
        <f>IF(AND(Table13[[#This Row],[Average score]]&gt;80,Table13[[#This Row],[Total rank]]&gt;7.5),"Yes","No")</f>
        <v>Yes</v>
      </c>
      <c r="AF59" s="8">
        <v>46125</v>
      </c>
      <c r="AG59" s="1">
        <v>2</v>
      </c>
      <c r="AH59" s="27">
        <v>172368</v>
      </c>
      <c r="AI59" s="27">
        <v>156586</v>
      </c>
      <c r="AJ59" s="30">
        <v>0</v>
      </c>
      <c r="AK59" s="30">
        <f>Table13[[#This Row],[Year 1]]</f>
        <v>172368</v>
      </c>
      <c r="AL59" s="30">
        <f>Table13[[#This Row],[Year 2]]</f>
        <v>156586</v>
      </c>
      <c r="AM59" s="30">
        <f>Table13[[#This Row],[Year 3]]</f>
        <v>0</v>
      </c>
      <c r="AN59" s="1">
        <v>3</v>
      </c>
    </row>
    <row r="60" spans="1:40" hidden="1" x14ac:dyDescent="0.25">
      <c r="A60" s="1" t="s">
        <v>48</v>
      </c>
      <c r="B60" s="1" t="s">
        <v>738</v>
      </c>
      <c r="C60" s="1" t="s">
        <v>50</v>
      </c>
      <c r="D60" s="1" t="s">
        <v>545</v>
      </c>
      <c r="E60" s="1" t="s">
        <v>546</v>
      </c>
      <c r="F60" s="22" t="s">
        <v>3</v>
      </c>
      <c r="G60" s="1" t="s">
        <v>6085</v>
      </c>
      <c r="H60" s="1" t="s">
        <v>6</v>
      </c>
      <c r="I60" s="1" t="s">
        <v>20</v>
      </c>
      <c r="J60" s="1" t="s">
        <v>26</v>
      </c>
      <c r="K60" s="1" t="s">
        <v>9</v>
      </c>
      <c r="L60" s="1" t="s">
        <v>53</v>
      </c>
      <c r="M60" s="11" t="s">
        <v>188</v>
      </c>
      <c r="N60" s="1" t="s">
        <v>6037</v>
      </c>
      <c r="O60" s="1" t="s">
        <v>16</v>
      </c>
      <c r="P60" s="1" t="s">
        <v>66</v>
      </c>
      <c r="Q60" s="1" t="s">
        <v>5347</v>
      </c>
      <c r="R60" s="1" t="s">
        <v>739</v>
      </c>
      <c r="S60" s="1" t="s">
        <v>6119</v>
      </c>
      <c r="T60" s="1" t="s">
        <v>6120</v>
      </c>
      <c r="U60" s="1" t="s">
        <v>6129</v>
      </c>
      <c r="V60" s="1" t="s">
        <v>6189</v>
      </c>
      <c r="W60" s="27">
        <v>60.714285714285708</v>
      </c>
      <c r="X60" s="27">
        <v>57.142857142857139</v>
      </c>
      <c r="Y60" s="33">
        <f>AVERAGE(Table13[[#This Row],[Score 1]],Table13[[#This Row],[Score 2]])</f>
        <v>58.928571428571423</v>
      </c>
      <c r="Z60" s="1">
        <v>1</v>
      </c>
      <c r="AA60" s="1">
        <v>3</v>
      </c>
      <c r="AB60" s="22">
        <f>Table13[[#This Row],[Rank 1]]+Table13[[#This Row],[Rank 2]]</f>
        <v>4</v>
      </c>
      <c r="AC60" s="1" t="str">
        <f>IF(AND(Table13[[#This Row],[Average score]]&gt;75,Table13[[#This Row],[Total rank]]&gt;6.5),"Yes","No")</f>
        <v>No</v>
      </c>
      <c r="AD60" s="1" t="str">
        <f>IF(AND(Table13[[#This Row],[Average score]]&gt;80,Table13[[#This Row],[Total rank]]&gt;7.5),"Yes","No")</f>
        <v>No</v>
      </c>
      <c r="AF60" s="8">
        <v>45658</v>
      </c>
      <c r="AG60" s="1">
        <v>2</v>
      </c>
      <c r="AH60" s="27">
        <v>230000</v>
      </c>
      <c r="AI60" s="27">
        <v>230000</v>
      </c>
      <c r="AJ60" s="30">
        <v>0</v>
      </c>
      <c r="AK60" s="30">
        <f>Table13[[#This Row],[Year 1]]</f>
        <v>230000</v>
      </c>
      <c r="AL60" s="30">
        <f>Table13[[#This Row],[Year 2]]</f>
        <v>230000</v>
      </c>
      <c r="AM60" s="30">
        <f>Table13[[#This Row],[Year 3]]</f>
        <v>0</v>
      </c>
      <c r="AN60" s="1">
        <v>3</v>
      </c>
    </row>
    <row r="61" spans="1:40" hidden="1" x14ac:dyDescent="0.25">
      <c r="A61" s="1" t="s">
        <v>48</v>
      </c>
      <c r="B61" s="10" t="s">
        <v>751</v>
      </c>
      <c r="C61" s="1" t="s">
        <v>50</v>
      </c>
      <c r="D61" s="1" t="s">
        <v>752</v>
      </c>
      <c r="E61" s="1" t="s">
        <v>753</v>
      </c>
      <c r="F61" s="22" t="s">
        <v>3</v>
      </c>
      <c r="G61" s="1" t="s">
        <v>6085</v>
      </c>
      <c r="H61" s="1" t="s">
        <v>6</v>
      </c>
      <c r="I61" s="1" t="s">
        <v>20</v>
      </c>
      <c r="J61" s="1" t="s">
        <v>25</v>
      </c>
      <c r="K61" s="1" t="s">
        <v>9</v>
      </c>
      <c r="L61" s="1" t="s">
        <v>53</v>
      </c>
      <c r="M61" s="11" t="s">
        <v>188</v>
      </c>
      <c r="N61" s="1" t="s">
        <v>6037</v>
      </c>
      <c r="O61" s="1" t="s">
        <v>16</v>
      </c>
      <c r="P61" s="1" t="s">
        <v>754</v>
      </c>
      <c r="Q61" s="1" t="s">
        <v>5386</v>
      </c>
      <c r="R61" s="1" t="s">
        <v>755</v>
      </c>
      <c r="S61" s="1" t="s">
        <v>6113</v>
      </c>
      <c r="T61" s="1" t="s">
        <v>6114</v>
      </c>
      <c r="U61" s="2" t="s">
        <v>6128</v>
      </c>
      <c r="V61" s="1" t="s">
        <v>6182</v>
      </c>
      <c r="W61" s="29">
        <f>Table13[[#This Row],[Score 2]]</f>
        <v>64.285714285714292</v>
      </c>
      <c r="X61" s="27">
        <v>64.285714285714292</v>
      </c>
      <c r="Y61" s="33">
        <f>AVERAGE(Table13[[#This Row],[Score 1]],Table13[[#This Row],[Score 2]])</f>
        <v>64.285714285714292</v>
      </c>
      <c r="Z61" s="2">
        <f>Table13[[#This Row],[Rank 2]]</f>
        <v>3</v>
      </c>
      <c r="AA61" s="1">
        <v>3</v>
      </c>
      <c r="AB61" s="22">
        <f>Table13[[#This Row],[Rank 1]]+Table13[[#This Row],[Rank 2]]</f>
        <v>6</v>
      </c>
      <c r="AC61" s="1" t="str">
        <f>IF(AND(Table13[[#This Row],[Average score]]&gt;75,Table13[[#This Row],[Total rank]]&gt;6.5),"Yes","No")</f>
        <v>No</v>
      </c>
      <c r="AD61" s="1" t="str">
        <f>IF(AND(Table13[[#This Row],[Average score]]&gt;80,Table13[[#This Row],[Total rank]]&gt;7.5),"Yes","No")</f>
        <v>No</v>
      </c>
      <c r="AF61" s="8">
        <v>45806</v>
      </c>
      <c r="AG61" s="1">
        <v>2</v>
      </c>
      <c r="AH61" s="27">
        <v>127135</v>
      </c>
      <c r="AI61" s="27">
        <v>217135</v>
      </c>
      <c r="AJ61" s="30">
        <v>0</v>
      </c>
      <c r="AK61" s="30">
        <f>Table13[[#This Row],[Year 1]]</f>
        <v>127135</v>
      </c>
      <c r="AL61" s="30">
        <f>Table13[[#This Row],[Year 2]]</f>
        <v>217135</v>
      </c>
      <c r="AM61" s="30">
        <f>Table13[[#This Row],[Year 3]]</f>
        <v>0</v>
      </c>
      <c r="AN61" s="1">
        <v>2</v>
      </c>
    </row>
    <row r="62" spans="1:40" hidden="1" x14ac:dyDescent="0.25">
      <c r="A62" s="1" t="s">
        <v>48</v>
      </c>
      <c r="B62" s="1" t="s">
        <v>758</v>
      </c>
      <c r="C62" s="1" t="s">
        <v>50</v>
      </c>
      <c r="D62" s="1" t="s">
        <v>759</v>
      </c>
      <c r="E62" s="1" t="s">
        <v>760</v>
      </c>
      <c r="F62" s="22" t="s">
        <v>3</v>
      </c>
      <c r="G62" s="1" t="s">
        <v>6085</v>
      </c>
      <c r="H62" s="1" t="s">
        <v>6</v>
      </c>
      <c r="I62" s="1" t="s">
        <v>20</v>
      </c>
      <c r="J62" s="1" t="s">
        <v>26</v>
      </c>
      <c r="K62" s="1" t="s">
        <v>9</v>
      </c>
      <c r="L62" s="1" t="s">
        <v>53</v>
      </c>
      <c r="M62" s="11" t="s">
        <v>188</v>
      </c>
      <c r="N62" s="1" t="s">
        <v>6037</v>
      </c>
      <c r="O62" s="1" t="s">
        <v>14</v>
      </c>
      <c r="P62" s="1" t="s">
        <v>761</v>
      </c>
      <c r="Q62" s="1" t="s">
        <v>4519</v>
      </c>
      <c r="R62" s="1" t="s">
        <v>762</v>
      </c>
      <c r="S62" s="1" t="s">
        <v>6151</v>
      </c>
      <c r="T62" s="1" t="s">
        <v>6147</v>
      </c>
      <c r="U62" s="1" t="s">
        <v>6151</v>
      </c>
      <c r="V62" s="1" t="s">
        <v>6185</v>
      </c>
      <c r="W62" s="27">
        <v>100</v>
      </c>
      <c r="X62" s="27">
        <v>82.142857142857139</v>
      </c>
      <c r="Y62" s="33">
        <f>AVERAGE(Table13[[#This Row],[Score 1]],Table13[[#This Row],[Score 2]])</f>
        <v>91.071428571428569</v>
      </c>
      <c r="Z62" s="1">
        <v>5</v>
      </c>
      <c r="AA62" s="1">
        <v>4</v>
      </c>
      <c r="AB62" s="22">
        <f>Table13[[#This Row],[Rank 1]]+Table13[[#This Row],[Rank 2]]</f>
        <v>9</v>
      </c>
      <c r="AC62" s="1" t="str">
        <f>IF(AND(Table13[[#This Row],[Average score]]&gt;75,Table13[[#This Row],[Total rank]]&gt;6.5),"Yes","No")</f>
        <v>Yes</v>
      </c>
      <c r="AD62" s="1" t="str">
        <f>IF(AND(Table13[[#This Row],[Average score]]&gt;80,Table13[[#This Row],[Total rank]]&gt;7.5),"Yes","No")</f>
        <v>Yes</v>
      </c>
      <c r="AF62" s="8">
        <v>46023</v>
      </c>
      <c r="AG62" s="1">
        <v>2</v>
      </c>
      <c r="AH62" s="27">
        <v>190000</v>
      </c>
      <c r="AI62" s="27">
        <v>183000</v>
      </c>
      <c r="AJ62" s="30">
        <v>0</v>
      </c>
      <c r="AK62" s="30">
        <f>Table13[[#This Row],[Year 1]]</f>
        <v>190000</v>
      </c>
      <c r="AL62" s="30">
        <f>Table13[[#This Row],[Year 2]]</f>
        <v>183000</v>
      </c>
      <c r="AM62" s="30">
        <f>Table13[[#This Row],[Year 3]]</f>
        <v>0</v>
      </c>
      <c r="AN62" s="1">
        <v>3</v>
      </c>
    </row>
    <row r="63" spans="1:40" hidden="1" x14ac:dyDescent="0.25">
      <c r="A63" s="1" t="s">
        <v>48</v>
      </c>
      <c r="B63" s="1" t="s">
        <v>777</v>
      </c>
      <c r="C63" s="1" t="s">
        <v>50</v>
      </c>
      <c r="D63" s="1" t="s">
        <v>778</v>
      </c>
      <c r="E63" s="1" t="s">
        <v>779</v>
      </c>
      <c r="F63" s="22" t="s">
        <v>3</v>
      </c>
      <c r="G63" s="1" t="s">
        <v>6085</v>
      </c>
      <c r="H63" s="1" t="s">
        <v>6</v>
      </c>
      <c r="I63" s="1" t="s">
        <v>24</v>
      </c>
      <c r="J63" s="1" t="s">
        <v>25</v>
      </c>
      <c r="K63" s="1" t="s">
        <v>9</v>
      </c>
      <c r="L63" s="1" t="s">
        <v>53</v>
      </c>
      <c r="M63" s="11" t="s">
        <v>188</v>
      </c>
      <c r="N63" s="1" t="s">
        <v>6037</v>
      </c>
      <c r="O63" s="1" t="s">
        <v>13</v>
      </c>
      <c r="P63" s="1" t="s">
        <v>139</v>
      </c>
      <c r="Q63" s="1" t="s">
        <v>5388</v>
      </c>
      <c r="R63" s="1" t="s">
        <v>780</v>
      </c>
      <c r="S63" s="1" t="s">
        <v>6070</v>
      </c>
      <c r="T63" s="1" t="s">
        <v>6071</v>
      </c>
      <c r="U63" s="1" t="s">
        <v>6088</v>
      </c>
      <c r="V63" s="1" t="s">
        <v>6171</v>
      </c>
      <c r="W63" s="27">
        <v>85.714285714285708</v>
      </c>
      <c r="X63" s="27">
        <v>82.142857142857139</v>
      </c>
      <c r="Y63" s="33">
        <f>AVERAGE(Table13[[#This Row],[Score 1]],Table13[[#This Row],[Score 2]])</f>
        <v>83.928571428571416</v>
      </c>
      <c r="Z63" s="1">
        <v>5</v>
      </c>
      <c r="AA63" s="1">
        <v>4</v>
      </c>
      <c r="AB63" s="22">
        <f>Table13[[#This Row],[Rank 1]]+Table13[[#This Row],[Rank 2]]</f>
        <v>9</v>
      </c>
      <c r="AC63" s="1" t="str">
        <f>IF(AND(Table13[[#This Row],[Average score]]&gt;75,Table13[[#This Row],[Total rank]]&gt;6.5),"Yes","No")</f>
        <v>Yes</v>
      </c>
      <c r="AD63" s="1" t="str">
        <f>IF(AND(Table13[[#This Row],[Average score]]&gt;80,Table13[[#This Row],[Total rank]]&gt;7.5),"Yes","No")</f>
        <v>Yes</v>
      </c>
      <c r="AF63" s="8">
        <v>46023</v>
      </c>
      <c r="AG63" s="1">
        <v>2</v>
      </c>
      <c r="AH63" s="27">
        <v>132500</v>
      </c>
      <c r="AI63" s="27">
        <v>95300</v>
      </c>
      <c r="AJ63" s="30">
        <v>0</v>
      </c>
      <c r="AK63" s="30">
        <f>Table13[[#This Row],[Year 1]]</f>
        <v>132500</v>
      </c>
      <c r="AL63" s="30">
        <f>Table13[[#This Row],[Year 2]]</f>
        <v>95300</v>
      </c>
      <c r="AM63" s="30">
        <f>Table13[[#This Row],[Year 3]]</f>
        <v>0</v>
      </c>
      <c r="AN63" s="1">
        <v>3</v>
      </c>
    </row>
    <row r="64" spans="1:40" hidden="1" x14ac:dyDescent="0.25">
      <c r="A64" s="1" t="s">
        <v>48</v>
      </c>
      <c r="B64" s="1" t="s">
        <v>1018</v>
      </c>
      <c r="C64" s="1" t="s">
        <v>50</v>
      </c>
      <c r="D64" s="1" t="s">
        <v>1078</v>
      </c>
      <c r="E64" s="1" t="s">
        <v>1079</v>
      </c>
      <c r="F64" s="22" t="s">
        <v>3</v>
      </c>
      <c r="G64" s="1" t="s">
        <v>6085</v>
      </c>
      <c r="H64" s="1" t="s">
        <v>5</v>
      </c>
      <c r="I64" s="1" t="s">
        <v>20</v>
      </c>
      <c r="J64" s="1" t="s">
        <v>26</v>
      </c>
      <c r="K64" s="1" t="s">
        <v>9</v>
      </c>
      <c r="L64" s="1" t="s">
        <v>53</v>
      </c>
      <c r="M64" s="11" t="s">
        <v>188</v>
      </c>
      <c r="N64" s="1" t="s">
        <v>6037</v>
      </c>
      <c r="O64" s="1" t="s">
        <v>10</v>
      </c>
      <c r="P64" s="1" t="s">
        <v>66</v>
      </c>
      <c r="Q64" s="19" t="s">
        <v>5389</v>
      </c>
      <c r="R64" s="1" t="s">
        <v>1393</v>
      </c>
      <c r="S64" s="1" t="s">
        <v>6045</v>
      </c>
      <c r="T64" s="1" t="s">
        <v>6046</v>
      </c>
      <c r="U64" s="1" t="s">
        <v>6098</v>
      </c>
      <c r="V64" s="1" t="s">
        <v>6190</v>
      </c>
      <c r="W64" s="27">
        <v>75</v>
      </c>
      <c r="X64" s="27">
        <v>46.428571428571431</v>
      </c>
      <c r="Y64" s="33">
        <f>AVERAGE(Table13[[#This Row],[Score 1]],Table13[[#This Row],[Score 2]])</f>
        <v>60.714285714285715</v>
      </c>
      <c r="Z64" s="1">
        <v>3</v>
      </c>
      <c r="AA64" s="1">
        <v>1</v>
      </c>
      <c r="AB64" s="22">
        <f>Table13[[#This Row],[Rank 1]]+Table13[[#This Row],[Rank 2]]</f>
        <v>4</v>
      </c>
      <c r="AC64" s="1" t="str">
        <f>IF(AND(Table13[[#This Row],[Average score]]&gt;75,Table13[[#This Row],[Total rank]]&gt;6.5),"Yes","No")</f>
        <v>No</v>
      </c>
      <c r="AD64" s="1" t="str">
        <f>IF(AND(Table13[[#This Row],[Average score]]&gt;80,Table13[[#This Row],[Total rank]]&gt;7.5),"Yes","No")</f>
        <v>No</v>
      </c>
      <c r="AF64" s="8">
        <v>45705</v>
      </c>
      <c r="AG64" s="1">
        <v>3</v>
      </c>
      <c r="AH64" s="27">
        <v>54333</v>
      </c>
      <c r="AI64" s="27">
        <v>57640</v>
      </c>
      <c r="AJ64" s="27">
        <v>64240</v>
      </c>
      <c r="AK64" s="27">
        <f>Table13[[#This Row],[Year 1]]</f>
        <v>54333</v>
      </c>
      <c r="AL64" s="27">
        <f>Table13[[#This Row],[Year 2]]</f>
        <v>57640</v>
      </c>
      <c r="AM64" s="27">
        <f>Table13[[#This Row],[Year 3]]</f>
        <v>64240</v>
      </c>
      <c r="AN64" s="1">
        <v>3</v>
      </c>
    </row>
    <row r="65" spans="1:40" hidden="1" x14ac:dyDescent="0.25">
      <c r="A65" s="1" t="s">
        <v>48</v>
      </c>
      <c r="B65" s="1" t="s">
        <v>783</v>
      </c>
      <c r="C65" s="1" t="s">
        <v>50</v>
      </c>
      <c r="D65" s="1" t="s">
        <v>784</v>
      </c>
      <c r="E65" s="1" t="s">
        <v>785</v>
      </c>
      <c r="F65" s="22" t="s">
        <v>3</v>
      </c>
      <c r="G65" s="1" t="s">
        <v>6085</v>
      </c>
      <c r="H65" s="1" t="s">
        <v>6</v>
      </c>
      <c r="I65" s="1" t="s">
        <v>20</v>
      </c>
      <c r="J65" s="1" t="s">
        <v>25</v>
      </c>
      <c r="K65" s="1" t="s">
        <v>9</v>
      </c>
      <c r="L65" s="1" t="s">
        <v>53</v>
      </c>
      <c r="M65" s="11" t="s">
        <v>188</v>
      </c>
      <c r="N65" s="1" t="s">
        <v>6037</v>
      </c>
      <c r="O65" s="1" t="s">
        <v>13</v>
      </c>
      <c r="P65" s="1" t="s">
        <v>284</v>
      </c>
      <c r="Q65" s="1" t="s">
        <v>5390</v>
      </c>
      <c r="R65" s="1" t="s">
        <v>786</v>
      </c>
      <c r="S65" s="1" t="s">
        <v>6075</v>
      </c>
      <c r="T65" s="1" t="s">
        <v>6074</v>
      </c>
      <c r="U65" s="1" t="s">
        <v>6093</v>
      </c>
      <c r="V65" s="1" t="s">
        <v>6181</v>
      </c>
      <c r="W65" s="27">
        <v>75</v>
      </c>
      <c r="X65" s="27">
        <v>64.285714285714292</v>
      </c>
      <c r="Y65" s="33">
        <f>AVERAGE(Table13[[#This Row],[Score 1]],Table13[[#This Row],[Score 2]])</f>
        <v>69.642857142857139</v>
      </c>
      <c r="Z65" s="1">
        <v>4</v>
      </c>
      <c r="AA65" s="1">
        <v>4</v>
      </c>
      <c r="AB65" s="22">
        <f>Table13[[#This Row],[Rank 1]]+Table13[[#This Row],[Rank 2]]</f>
        <v>8</v>
      </c>
      <c r="AC65" s="1" t="str">
        <f>IF(AND(Table13[[#This Row],[Average score]]&gt;75,Table13[[#This Row],[Total rank]]&gt;6.5),"Yes","No")</f>
        <v>No</v>
      </c>
      <c r="AD65" s="1" t="str">
        <f>IF(AND(Table13[[#This Row],[Average score]]&gt;80,Table13[[#This Row],[Total rank]]&gt;7.5),"Yes","No")</f>
        <v>No</v>
      </c>
      <c r="AF65" s="8">
        <v>45748</v>
      </c>
      <c r="AG65" s="1">
        <v>2</v>
      </c>
      <c r="AH65" s="27">
        <v>230000</v>
      </c>
      <c r="AI65" s="27">
        <v>240000</v>
      </c>
      <c r="AJ65" s="30">
        <v>0</v>
      </c>
      <c r="AK65" s="30">
        <f>Table13[[#This Row],[Year 1]]</f>
        <v>230000</v>
      </c>
      <c r="AL65" s="30">
        <f>Table13[[#This Row],[Year 2]]</f>
        <v>240000</v>
      </c>
      <c r="AM65" s="30">
        <f>Table13[[#This Row],[Year 3]]</f>
        <v>0</v>
      </c>
      <c r="AN65" s="1">
        <v>3</v>
      </c>
    </row>
    <row r="66" spans="1:40" hidden="1" x14ac:dyDescent="0.25">
      <c r="A66" s="1" t="s">
        <v>48</v>
      </c>
      <c r="B66" s="1" t="s">
        <v>787</v>
      </c>
      <c r="C66" s="1" t="s">
        <v>50</v>
      </c>
      <c r="D66" s="1" t="s">
        <v>788</v>
      </c>
      <c r="E66" s="1" t="s">
        <v>789</v>
      </c>
      <c r="F66" s="22" t="s">
        <v>3</v>
      </c>
      <c r="G66" s="1" t="s">
        <v>6085</v>
      </c>
      <c r="H66" s="1" t="s">
        <v>5</v>
      </c>
      <c r="I66" s="1" t="s">
        <v>20</v>
      </c>
      <c r="J66" s="1" t="s">
        <v>26</v>
      </c>
      <c r="K66" s="1" t="s">
        <v>9</v>
      </c>
      <c r="L66" s="1" t="s">
        <v>53</v>
      </c>
      <c r="M66" s="11" t="s">
        <v>188</v>
      </c>
      <c r="N66" s="1" t="s">
        <v>6037</v>
      </c>
      <c r="O66" s="1" t="s">
        <v>16</v>
      </c>
      <c r="P66" s="1" t="s">
        <v>235</v>
      </c>
      <c r="Q66" s="1" t="s">
        <v>5391</v>
      </c>
      <c r="R66" s="1" t="s">
        <v>790</v>
      </c>
      <c r="S66" s="1" t="s">
        <v>6115</v>
      </c>
      <c r="T66" s="1" t="s">
        <v>6116</v>
      </c>
      <c r="U66" s="1" t="s">
        <v>6130</v>
      </c>
      <c r="V66" s="1" t="s">
        <v>6191</v>
      </c>
      <c r="W66" s="27">
        <v>71.428571428571431</v>
      </c>
      <c r="X66" s="27">
        <v>89.285714285714292</v>
      </c>
      <c r="Y66" s="33">
        <f>AVERAGE(Table13[[#This Row],[Score 1]],Table13[[#This Row],[Score 2]])</f>
        <v>80.357142857142861</v>
      </c>
      <c r="Z66" s="1">
        <v>2</v>
      </c>
      <c r="AA66" s="1">
        <v>3</v>
      </c>
      <c r="AB66" s="22">
        <f>Table13[[#This Row],[Rank 1]]+Table13[[#This Row],[Rank 2]]</f>
        <v>5</v>
      </c>
      <c r="AC66" s="1" t="str">
        <f>IF(AND(Table13[[#This Row],[Average score]]&gt;75,Table13[[#This Row],[Total rank]]&gt;6.5),"Yes","No")</f>
        <v>No</v>
      </c>
      <c r="AD66" s="1" t="str">
        <f>IF(AND(Table13[[#This Row],[Average score]]&gt;80,Table13[[#This Row],[Total rank]]&gt;7.5),"Yes","No")</f>
        <v>No</v>
      </c>
      <c r="AF66" s="8">
        <v>45334</v>
      </c>
      <c r="AG66" s="1">
        <v>1</v>
      </c>
      <c r="AH66" s="27">
        <v>-38248</v>
      </c>
      <c r="AI66" s="30">
        <v>0</v>
      </c>
      <c r="AJ66" s="30">
        <v>0</v>
      </c>
      <c r="AK66" s="30">
        <f>Table13[[#This Row],[Year 1]]</f>
        <v>-38248</v>
      </c>
      <c r="AL66" s="30">
        <f>Table13[[#This Row],[Year 2]]</f>
        <v>0</v>
      </c>
      <c r="AM66" s="30">
        <f>Table13[[#This Row],[Year 3]]</f>
        <v>0</v>
      </c>
      <c r="AN66" s="1">
        <v>2</v>
      </c>
    </row>
    <row r="67" spans="1:40" hidden="1" x14ac:dyDescent="0.25">
      <c r="A67" s="1" t="s">
        <v>48</v>
      </c>
      <c r="B67" s="1" t="s">
        <v>1019</v>
      </c>
      <c r="C67" s="1" t="s">
        <v>50</v>
      </c>
      <c r="D67" s="1" t="s">
        <v>1080</v>
      </c>
      <c r="E67" s="1" t="s">
        <v>1081</v>
      </c>
      <c r="F67" s="22" t="s">
        <v>3</v>
      </c>
      <c r="G67" s="1" t="s">
        <v>6085</v>
      </c>
      <c r="H67" s="1" t="s">
        <v>6</v>
      </c>
      <c r="I67" s="1" t="s">
        <v>24</v>
      </c>
      <c r="J67" s="1" t="s">
        <v>25</v>
      </c>
      <c r="K67" s="1" t="s">
        <v>9</v>
      </c>
      <c r="L67" s="1" t="s">
        <v>53</v>
      </c>
      <c r="M67" s="11" t="s">
        <v>188</v>
      </c>
      <c r="N67" s="1" t="s">
        <v>6037</v>
      </c>
      <c r="O67" s="1" t="s">
        <v>16</v>
      </c>
      <c r="P67" s="1" t="s">
        <v>60</v>
      </c>
      <c r="Q67" s="1" t="s">
        <v>5392</v>
      </c>
      <c r="R67" s="1" t="s">
        <v>1397</v>
      </c>
      <c r="S67" s="1" t="s">
        <v>6107</v>
      </c>
      <c r="T67" s="1" t="s">
        <v>6108</v>
      </c>
      <c r="U67" s="1" t="s">
        <v>6131</v>
      </c>
      <c r="V67" s="1" t="s">
        <v>6192</v>
      </c>
      <c r="W67" s="27">
        <v>75</v>
      </c>
      <c r="X67" s="27">
        <v>75</v>
      </c>
      <c r="Y67" s="33">
        <f>AVERAGE(Table13[[#This Row],[Score 1]],Table13[[#This Row],[Score 2]])</f>
        <v>75</v>
      </c>
      <c r="Z67" s="1">
        <v>4</v>
      </c>
      <c r="AA67" s="1">
        <v>3</v>
      </c>
      <c r="AB67" s="22">
        <f>Table13[[#This Row],[Rank 1]]+Table13[[#This Row],[Rank 2]]</f>
        <v>7</v>
      </c>
      <c r="AC67" s="1" t="str">
        <f>IF(AND(Table13[[#This Row],[Average score]]&gt;75,Table13[[#This Row],[Total rank]]&gt;6.5),"Yes","No")</f>
        <v>No</v>
      </c>
      <c r="AD67" s="1" t="str">
        <f>IF(AND(Table13[[#This Row],[Average score]]&gt;80,Table13[[#This Row],[Total rank]]&gt;7.5),"Yes","No")</f>
        <v>No</v>
      </c>
      <c r="AF67" s="9">
        <v>46054</v>
      </c>
      <c r="AG67" s="1">
        <v>2</v>
      </c>
      <c r="AH67" s="27">
        <v>146500</v>
      </c>
      <c r="AI67" s="27">
        <v>146500</v>
      </c>
      <c r="AJ67" s="30">
        <v>0</v>
      </c>
      <c r="AK67" s="30">
        <f>Table13[[#This Row],[Year 1]]</f>
        <v>146500</v>
      </c>
      <c r="AL67" s="30">
        <f>Table13[[#This Row],[Year 2]]</f>
        <v>146500</v>
      </c>
      <c r="AM67" s="30">
        <f>Table13[[#This Row],[Year 3]]</f>
        <v>0</v>
      </c>
      <c r="AN67" s="1">
        <v>3</v>
      </c>
    </row>
    <row r="68" spans="1:40" hidden="1" x14ac:dyDescent="0.25">
      <c r="A68" s="1" t="s">
        <v>48</v>
      </c>
      <c r="B68" s="1" t="s">
        <v>792</v>
      </c>
      <c r="C68" s="1" t="s">
        <v>50</v>
      </c>
      <c r="D68" s="1" t="s">
        <v>793</v>
      </c>
      <c r="E68" s="1" t="s">
        <v>794</v>
      </c>
      <c r="F68" s="22" t="s">
        <v>3</v>
      </c>
      <c r="G68" s="1" t="s">
        <v>6085</v>
      </c>
      <c r="H68" s="1" t="s">
        <v>7</v>
      </c>
      <c r="I68" s="1" t="s">
        <v>20</v>
      </c>
      <c r="J68" s="1" t="s">
        <v>26</v>
      </c>
      <c r="K68" s="1" t="s">
        <v>9</v>
      </c>
      <c r="L68" s="1" t="s">
        <v>53</v>
      </c>
      <c r="M68" s="11" t="s">
        <v>188</v>
      </c>
      <c r="N68" s="1" t="s">
        <v>6037</v>
      </c>
      <c r="O68" s="1" t="s">
        <v>12</v>
      </c>
      <c r="P68" s="1" t="s">
        <v>247</v>
      </c>
      <c r="Q68" s="1" t="s">
        <v>5393</v>
      </c>
      <c r="R68" s="1" t="s">
        <v>795</v>
      </c>
      <c r="S68" s="1" t="s">
        <v>6155</v>
      </c>
      <c r="T68" s="1" t="s">
        <v>6154</v>
      </c>
      <c r="U68" s="1" t="s">
        <v>6164</v>
      </c>
      <c r="V68" s="1" t="s">
        <v>6167</v>
      </c>
      <c r="W68" s="27">
        <v>66.666666666666657</v>
      </c>
      <c r="X68" s="27">
        <v>58.333333333333336</v>
      </c>
      <c r="Y68" s="33">
        <f>AVERAGE(Table13[[#This Row],[Score 1]],Table13[[#This Row],[Score 2]])</f>
        <v>62.5</v>
      </c>
      <c r="Z68" s="1">
        <v>2</v>
      </c>
      <c r="AA68" s="1">
        <v>2</v>
      </c>
      <c r="AB68" s="22">
        <f>Table13[[#This Row],[Rank 1]]+Table13[[#This Row],[Rank 2]]</f>
        <v>4</v>
      </c>
      <c r="AC68" s="1" t="str">
        <f>IF(AND(Table13[[#This Row],[Average score]]&gt;75,Table13[[#This Row],[Total rank]]&gt;6.5),"Yes","No")</f>
        <v>No</v>
      </c>
      <c r="AD68" s="1" t="str">
        <f>IF(AND(Table13[[#This Row],[Average score]]&gt;80,Table13[[#This Row],[Total rank]]&gt;7.5),"Yes","No")</f>
        <v>No</v>
      </c>
      <c r="AF68" s="8">
        <v>46027</v>
      </c>
      <c r="AG68" s="1">
        <v>2</v>
      </c>
      <c r="AH68" s="27">
        <v>490000</v>
      </c>
      <c r="AI68" s="27">
        <v>455000</v>
      </c>
      <c r="AJ68" s="30">
        <v>0</v>
      </c>
      <c r="AK68" s="30">
        <f>Table13[[#This Row],[Year 1]]</f>
        <v>490000</v>
      </c>
      <c r="AL68" s="30">
        <f>Table13[[#This Row],[Year 2]]</f>
        <v>455000</v>
      </c>
      <c r="AM68" s="30">
        <f>Table13[[#This Row],[Year 3]]</f>
        <v>0</v>
      </c>
      <c r="AN68" s="1">
        <v>3</v>
      </c>
    </row>
    <row r="69" spans="1:40" hidden="1" x14ac:dyDescent="0.25">
      <c r="A69" s="1" t="s">
        <v>48</v>
      </c>
      <c r="B69" s="1" t="s">
        <v>1020</v>
      </c>
      <c r="C69" s="1" t="s">
        <v>50</v>
      </c>
      <c r="D69" s="1" t="s">
        <v>1082</v>
      </c>
      <c r="E69" s="1" t="s">
        <v>1083</v>
      </c>
      <c r="F69" s="22" t="s">
        <v>3</v>
      </c>
      <c r="G69" s="1" t="s">
        <v>6085</v>
      </c>
      <c r="H69" s="1" t="s">
        <v>7</v>
      </c>
      <c r="I69" s="1" t="s">
        <v>20</v>
      </c>
      <c r="J69" s="1" t="s">
        <v>25</v>
      </c>
      <c r="K69" s="1" t="s">
        <v>8</v>
      </c>
      <c r="L69" s="1" t="s">
        <v>53</v>
      </c>
      <c r="M69" s="1" t="s">
        <v>5247</v>
      </c>
      <c r="N69" s="1" t="s">
        <v>6037</v>
      </c>
      <c r="O69" s="1" t="s">
        <v>13</v>
      </c>
      <c r="P69" s="1" t="s">
        <v>1399</v>
      </c>
      <c r="Q69" s="1" t="s">
        <v>5394</v>
      </c>
      <c r="R69" s="1" t="s">
        <v>1687</v>
      </c>
      <c r="S69" s="1" t="s">
        <v>6079</v>
      </c>
      <c r="T69" s="1" t="s">
        <v>6080</v>
      </c>
      <c r="U69" s="1" t="s">
        <v>6089</v>
      </c>
      <c r="V69" s="1" t="s">
        <v>6172</v>
      </c>
      <c r="W69" s="27">
        <v>82.5</v>
      </c>
      <c r="X69" s="27">
        <v>87.5</v>
      </c>
      <c r="Y69" s="33">
        <f>AVERAGE(Table13[[#This Row],[Score 1]],Table13[[#This Row],[Score 2]])</f>
        <v>85</v>
      </c>
      <c r="Z69" s="1">
        <v>4</v>
      </c>
      <c r="AA69" s="1">
        <v>4</v>
      </c>
      <c r="AB69" s="22">
        <f>Table13[[#This Row],[Rank 1]]+Table13[[#This Row],[Rank 2]]</f>
        <v>8</v>
      </c>
      <c r="AC69" s="1" t="str">
        <f>IF(AND(Table13[[#This Row],[Average score]]&gt;75,Table13[[#This Row],[Total rank]]&gt;6.5),"Yes","No")</f>
        <v>Yes</v>
      </c>
      <c r="AD69" s="1" t="str">
        <f>IF(AND(Table13[[#This Row],[Average score]]&gt;80,Table13[[#This Row],[Total rank]]&gt;7.5),"Yes","No")</f>
        <v>Yes</v>
      </c>
      <c r="AF69" s="8">
        <v>45614</v>
      </c>
      <c r="AG69" s="1">
        <v>1</v>
      </c>
      <c r="AH69" s="27">
        <v>520039.5</v>
      </c>
      <c r="AI69" s="30">
        <v>0</v>
      </c>
      <c r="AJ69" s="30">
        <v>0</v>
      </c>
      <c r="AK69" s="30">
        <f>Table13[[#This Row],[Year 1]]</f>
        <v>520039.5</v>
      </c>
      <c r="AL69" s="30">
        <f>Table13[[#This Row],[Year 2]]</f>
        <v>0</v>
      </c>
      <c r="AM69" s="30">
        <f>Table13[[#This Row],[Year 3]]</f>
        <v>0</v>
      </c>
      <c r="AN69" s="1">
        <v>3</v>
      </c>
    </row>
    <row r="70" spans="1:40" x14ac:dyDescent="0.25">
      <c r="A70" s="1" t="s">
        <v>48</v>
      </c>
      <c r="B70" s="1" t="s">
        <v>805</v>
      </c>
      <c r="C70" s="1" t="s">
        <v>50</v>
      </c>
      <c r="D70" s="1" t="s">
        <v>806</v>
      </c>
      <c r="E70" s="1" t="s">
        <v>807</v>
      </c>
      <c r="F70" s="22" t="s">
        <v>3</v>
      </c>
      <c r="G70" s="1" t="s">
        <v>6085</v>
      </c>
      <c r="H70" s="1" t="s">
        <v>5</v>
      </c>
      <c r="I70" s="1" t="s">
        <v>22</v>
      </c>
      <c r="J70" s="1" t="s">
        <v>25</v>
      </c>
      <c r="K70" s="1" t="s">
        <v>9</v>
      </c>
      <c r="L70" s="1" t="s">
        <v>53</v>
      </c>
      <c r="M70" s="11" t="s">
        <v>188</v>
      </c>
      <c r="N70" s="1" t="s">
        <v>6037</v>
      </c>
      <c r="O70" s="1" t="s">
        <v>13</v>
      </c>
      <c r="P70" s="1" t="s">
        <v>139</v>
      </c>
      <c r="Q70" s="1" t="s">
        <v>5396</v>
      </c>
      <c r="R70" s="1" t="s">
        <v>808</v>
      </c>
      <c r="S70" s="1" t="s">
        <v>6070</v>
      </c>
      <c r="T70" s="1" t="s">
        <v>6071</v>
      </c>
      <c r="U70" s="1" t="s">
        <v>6088</v>
      </c>
      <c r="V70" s="1" t="s">
        <v>6171</v>
      </c>
      <c r="W70" s="27">
        <v>96.428571428571431</v>
      </c>
      <c r="X70" s="27">
        <v>92.857142857142861</v>
      </c>
      <c r="Y70" s="33">
        <f>AVERAGE(Table13[[#This Row],[Score 1]],Table13[[#This Row],[Score 2]])</f>
        <v>94.642857142857139</v>
      </c>
      <c r="Z70" s="1">
        <v>5</v>
      </c>
      <c r="AA70" s="1">
        <v>5</v>
      </c>
      <c r="AB70" s="22">
        <f>Table13[[#This Row],[Rank 1]]+Table13[[#This Row],[Rank 2]]</f>
        <v>10</v>
      </c>
      <c r="AC70" s="1" t="str">
        <f>IF(AND(Table13[[#This Row],[Average score]]&gt;75,Table13[[#This Row],[Total rank]]&gt;6.5),"Yes","No")</f>
        <v>Yes</v>
      </c>
      <c r="AD70" s="1" t="str">
        <f>IF(AND(Table13[[#This Row],[Average score]]&gt;80,Table13[[#This Row],[Total rank]]&gt;7.5),"Yes","No")</f>
        <v>Yes</v>
      </c>
      <c r="AE70" s="1" t="s">
        <v>6221</v>
      </c>
      <c r="AF70" s="8">
        <v>45685</v>
      </c>
      <c r="AG70" s="1">
        <v>3</v>
      </c>
      <c r="AH70" s="27">
        <v>260000</v>
      </c>
      <c r="AI70" s="27">
        <v>250000</v>
      </c>
      <c r="AJ70" s="27">
        <v>250000</v>
      </c>
      <c r="AK70" s="27">
        <f>Table13[[#This Row],[Year 1]]</f>
        <v>260000</v>
      </c>
      <c r="AL70" s="27">
        <f>Table13[[#This Row],[Year 2]]</f>
        <v>250000</v>
      </c>
      <c r="AM70" s="27">
        <f>Table13[[#This Row],[Year 3]]</f>
        <v>250000</v>
      </c>
      <c r="AN70" s="1">
        <v>3</v>
      </c>
    </row>
    <row r="71" spans="1:40" hidden="1" x14ac:dyDescent="0.25">
      <c r="A71" s="1" t="s">
        <v>48</v>
      </c>
      <c r="B71" s="2" t="s">
        <v>813</v>
      </c>
      <c r="C71" s="1" t="s">
        <v>50</v>
      </c>
      <c r="D71" s="1" t="s">
        <v>814</v>
      </c>
      <c r="E71" s="1" t="s">
        <v>815</v>
      </c>
      <c r="F71" s="22" t="s">
        <v>3</v>
      </c>
      <c r="G71" s="1" t="s">
        <v>6085</v>
      </c>
      <c r="H71" s="1" t="s">
        <v>6</v>
      </c>
      <c r="I71" s="1" t="s">
        <v>24</v>
      </c>
      <c r="J71" s="1" t="s">
        <v>25</v>
      </c>
      <c r="K71" s="1" t="s">
        <v>9</v>
      </c>
      <c r="L71" s="1" t="s">
        <v>53</v>
      </c>
      <c r="M71" s="11" t="s">
        <v>188</v>
      </c>
      <c r="N71" s="1" t="s">
        <v>6037</v>
      </c>
      <c r="O71" s="1" t="s">
        <v>10</v>
      </c>
      <c r="P71" s="1" t="s">
        <v>126</v>
      </c>
      <c r="Q71" s="18" t="s">
        <v>5397</v>
      </c>
      <c r="R71" s="1" t="s">
        <v>816</v>
      </c>
      <c r="S71" s="1" t="s">
        <v>6048</v>
      </c>
      <c r="T71" s="1" t="s">
        <v>6051</v>
      </c>
      <c r="U71" s="1" t="s">
        <v>6086</v>
      </c>
      <c r="V71" s="1" t="s">
        <v>6193</v>
      </c>
      <c r="W71" s="27">
        <v>71.428571428571431</v>
      </c>
      <c r="X71" s="27">
        <v>78.571428571428569</v>
      </c>
      <c r="Y71" s="33">
        <f>AVERAGE(Table13[[#This Row],[Score 1]],Table13[[#This Row],[Score 2]])</f>
        <v>75</v>
      </c>
      <c r="Z71" s="1">
        <v>3</v>
      </c>
      <c r="AA71" s="1">
        <v>4</v>
      </c>
      <c r="AB71" s="22">
        <f>Table13[[#This Row],[Rank 1]]+Table13[[#This Row],[Rank 2]]</f>
        <v>7</v>
      </c>
      <c r="AC71" s="1" t="str">
        <f>IF(AND(Table13[[#This Row],[Average score]]&gt;75,Table13[[#This Row],[Total rank]]&gt;6.5),"Yes","No")</f>
        <v>No</v>
      </c>
      <c r="AD71" s="1" t="str">
        <f>IF(AND(Table13[[#This Row],[Average score]]&gt;80,Table13[[#This Row],[Total rank]]&gt;7.5),"Yes","No")</f>
        <v>No</v>
      </c>
      <c r="AF71" s="8">
        <v>46034</v>
      </c>
      <c r="AG71" s="1">
        <v>2</v>
      </c>
      <c r="AH71" s="27">
        <v>246500</v>
      </c>
      <c r="AI71" s="27">
        <v>246500</v>
      </c>
      <c r="AJ71" s="30">
        <v>0</v>
      </c>
      <c r="AK71" s="30">
        <f>Table13[[#This Row],[Year 1]]</f>
        <v>246500</v>
      </c>
      <c r="AL71" s="30">
        <f>Table13[[#This Row],[Year 2]]</f>
        <v>246500</v>
      </c>
      <c r="AM71" s="30">
        <f>Table13[[#This Row],[Year 3]]</f>
        <v>0</v>
      </c>
      <c r="AN71" s="1">
        <v>2</v>
      </c>
    </row>
    <row r="72" spans="1:40" hidden="1" x14ac:dyDescent="0.25">
      <c r="A72" s="1" t="s">
        <v>48</v>
      </c>
      <c r="B72" s="2" t="s">
        <v>839</v>
      </c>
      <c r="C72" s="1" t="s">
        <v>50</v>
      </c>
      <c r="D72" s="1" t="s">
        <v>840</v>
      </c>
      <c r="E72" s="1" t="s">
        <v>841</v>
      </c>
      <c r="F72" s="22" t="s">
        <v>3</v>
      </c>
      <c r="G72" s="1" t="s">
        <v>6085</v>
      </c>
      <c r="H72" s="1" t="s">
        <v>5</v>
      </c>
      <c r="I72" s="1" t="s">
        <v>20</v>
      </c>
      <c r="J72" s="1" t="s">
        <v>26</v>
      </c>
      <c r="K72" s="1" t="s">
        <v>9</v>
      </c>
      <c r="L72" s="1" t="s">
        <v>53</v>
      </c>
      <c r="M72" s="11" t="s">
        <v>188</v>
      </c>
      <c r="N72" s="1" t="s">
        <v>6037</v>
      </c>
      <c r="O72" s="1" t="s">
        <v>10</v>
      </c>
      <c r="P72" s="1" t="s">
        <v>66</v>
      </c>
      <c r="Q72" s="18" t="s">
        <v>5401</v>
      </c>
      <c r="R72" s="1" t="s">
        <v>842</v>
      </c>
      <c r="S72" s="1" t="s">
        <v>6048</v>
      </c>
      <c r="T72" s="1" t="s">
        <v>6051</v>
      </c>
      <c r="U72" s="1" t="s">
        <v>6086</v>
      </c>
      <c r="V72" s="1" t="s">
        <v>6193</v>
      </c>
      <c r="W72" s="27">
        <v>89.285714285714292</v>
      </c>
      <c r="X72" s="27">
        <v>78.571428571428569</v>
      </c>
      <c r="Y72" s="33">
        <f>AVERAGE(Table13[[#This Row],[Score 1]],Table13[[#This Row],[Score 2]])</f>
        <v>83.928571428571431</v>
      </c>
      <c r="Z72" s="1">
        <v>5</v>
      </c>
      <c r="AA72" s="1">
        <v>3</v>
      </c>
      <c r="AB72" s="22">
        <f>Table13[[#This Row],[Rank 1]]+Table13[[#This Row],[Rank 2]]</f>
        <v>8</v>
      </c>
      <c r="AC72" s="1" t="str">
        <f>IF(AND(Table13[[#This Row],[Average score]]&gt;75,Table13[[#This Row],[Total rank]]&gt;6.5),"Yes","No")</f>
        <v>Yes</v>
      </c>
      <c r="AD72" s="1" t="str">
        <f>IF(AND(Table13[[#This Row],[Average score]]&gt;80,Table13[[#This Row],[Total rank]]&gt;7.5),"Yes","No")</f>
        <v>Yes</v>
      </c>
      <c r="AF72" s="8">
        <v>46055</v>
      </c>
      <c r="AG72" s="1">
        <v>3</v>
      </c>
      <c r="AH72" s="27">
        <v>188000</v>
      </c>
      <c r="AI72" s="27">
        <v>168000</v>
      </c>
      <c r="AJ72" s="27">
        <v>168000</v>
      </c>
      <c r="AK72" s="27">
        <f>Table13[[#This Row],[Year 1]]</f>
        <v>188000</v>
      </c>
      <c r="AL72" s="27">
        <f>Table13[[#This Row],[Year 2]]</f>
        <v>168000</v>
      </c>
      <c r="AM72" s="27">
        <f>Table13[[#This Row],[Year 3]]</f>
        <v>168000</v>
      </c>
      <c r="AN72" s="1">
        <v>3</v>
      </c>
    </row>
    <row r="73" spans="1:40" hidden="1" x14ac:dyDescent="0.25">
      <c r="A73" s="1" t="s">
        <v>48</v>
      </c>
      <c r="B73" s="1" t="s">
        <v>865</v>
      </c>
      <c r="C73" s="1" t="s">
        <v>50</v>
      </c>
      <c r="D73" s="1" t="s">
        <v>866</v>
      </c>
      <c r="E73" s="1" t="s">
        <v>867</v>
      </c>
      <c r="F73" s="22" t="s">
        <v>3</v>
      </c>
      <c r="G73" s="1" t="s">
        <v>6085</v>
      </c>
      <c r="H73" s="1" t="s">
        <v>6</v>
      </c>
      <c r="I73" s="1" t="s">
        <v>20</v>
      </c>
      <c r="J73" s="1" t="s">
        <v>26</v>
      </c>
      <c r="K73" s="1" t="s">
        <v>9</v>
      </c>
      <c r="L73" s="1" t="s">
        <v>53</v>
      </c>
      <c r="M73" s="11" t="s">
        <v>188</v>
      </c>
      <c r="N73" s="1" t="s">
        <v>6037</v>
      </c>
      <c r="O73" s="1" t="s">
        <v>14</v>
      </c>
      <c r="P73" s="1" t="s">
        <v>126</v>
      </c>
      <c r="Q73" s="1" t="s">
        <v>5404</v>
      </c>
      <c r="R73" s="1" t="s">
        <v>868</v>
      </c>
      <c r="S73" s="1" t="s">
        <v>6145</v>
      </c>
      <c r="T73" s="1" t="s">
        <v>6146</v>
      </c>
      <c r="U73" s="1" t="s">
        <v>6156</v>
      </c>
      <c r="V73" s="1" t="s">
        <v>6169</v>
      </c>
      <c r="W73" s="27">
        <v>85.714285714285708</v>
      </c>
      <c r="X73" s="27">
        <v>71.428571428571431</v>
      </c>
      <c r="Y73" s="33">
        <f>AVERAGE(Table13[[#This Row],[Score 1]],Table13[[#This Row],[Score 2]])</f>
        <v>78.571428571428569</v>
      </c>
      <c r="Z73" s="1">
        <v>4</v>
      </c>
      <c r="AA73" s="1">
        <v>3</v>
      </c>
      <c r="AB73" s="22">
        <f>Table13[[#This Row],[Rank 1]]+Table13[[#This Row],[Rank 2]]</f>
        <v>7</v>
      </c>
      <c r="AC73" s="1" t="str">
        <f>IF(AND(Table13[[#This Row],[Average score]]&gt;75,Table13[[#This Row],[Total rank]]&gt;6.5),"Yes","No")</f>
        <v>Yes</v>
      </c>
      <c r="AD73" s="1" t="str">
        <f>IF(AND(Table13[[#This Row],[Average score]]&gt;80,Table13[[#This Row],[Total rank]]&gt;7.5),"Yes","No")</f>
        <v>No</v>
      </c>
      <c r="AF73" s="8">
        <v>45684</v>
      </c>
      <c r="AG73" s="1">
        <v>1</v>
      </c>
      <c r="AH73" s="27">
        <v>147560</v>
      </c>
      <c r="AI73" s="30">
        <v>0</v>
      </c>
      <c r="AJ73" s="30">
        <v>0</v>
      </c>
      <c r="AK73" s="30">
        <f>Table13[[#This Row],[Year 1]]</f>
        <v>147560</v>
      </c>
      <c r="AL73" s="30">
        <f>Table13[[#This Row],[Year 2]]</f>
        <v>0</v>
      </c>
      <c r="AM73" s="30">
        <f>Table13[[#This Row],[Year 3]]</f>
        <v>0</v>
      </c>
      <c r="AN73" s="1">
        <v>3</v>
      </c>
    </row>
    <row r="74" spans="1:40" hidden="1" x14ac:dyDescent="0.25">
      <c r="A74" s="1" t="s">
        <v>48</v>
      </c>
      <c r="B74" s="1" t="s">
        <v>870</v>
      </c>
      <c r="C74" s="1" t="s">
        <v>50</v>
      </c>
      <c r="D74" s="1" t="s">
        <v>871</v>
      </c>
      <c r="E74" s="1" t="s">
        <v>872</v>
      </c>
      <c r="F74" s="22" t="s">
        <v>3</v>
      </c>
      <c r="G74" s="1" t="s">
        <v>6085</v>
      </c>
      <c r="H74" s="1" t="s">
        <v>6</v>
      </c>
      <c r="I74" s="1" t="s">
        <v>22</v>
      </c>
      <c r="J74" s="1" t="s">
        <v>25</v>
      </c>
      <c r="K74" s="1" t="s">
        <v>9</v>
      </c>
      <c r="L74" s="1" t="s">
        <v>53</v>
      </c>
      <c r="M74" s="11" t="s">
        <v>188</v>
      </c>
      <c r="N74" s="1" t="s">
        <v>6037</v>
      </c>
      <c r="O74" s="1" t="s">
        <v>16</v>
      </c>
      <c r="P74" s="1" t="s">
        <v>126</v>
      </c>
      <c r="Q74" s="1" t="s">
        <v>5406</v>
      </c>
      <c r="R74" s="1" t="s">
        <v>873</v>
      </c>
      <c r="S74" s="1" t="s">
        <v>6109</v>
      </c>
      <c r="T74" s="1" t="s">
        <v>6124</v>
      </c>
      <c r="U74" s="1" t="s">
        <v>6125</v>
      </c>
      <c r="V74" s="1" t="s">
        <v>6132</v>
      </c>
      <c r="W74" s="27">
        <v>57.142857142857139</v>
      </c>
      <c r="X74" s="27">
        <v>75</v>
      </c>
      <c r="Y74" s="33">
        <f>AVERAGE(Table13[[#This Row],[Score 1]],Table13[[#This Row],[Score 2]])</f>
        <v>66.071428571428569</v>
      </c>
      <c r="Z74" s="1">
        <v>2</v>
      </c>
      <c r="AA74" s="1">
        <v>5</v>
      </c>
      <c r="AB74" s="22">
        <f>Table13[[#This Row],[Rank 1]]+Table13[[#This Row],[Rank 2]]</f>
        <v>7</v>
      </c>
      <c r="AC74" s="1" t="str">
        <f>IF(AND(Table13[[#This Row],[Average score]]&gt;75,Table13[[#This Row],[Total rank]]&gt;6.5),"Yes","No")</f>
        <v>No</v>
      </c>
      <c r="AD74" s="1" t="str">
        <f>IF(AND(Table13[[#This Row],[Average score]]&gt;80,Table13[[#This Row],[Total rank]]&gt;7.5),"Yes","No")</f>
        <v>No</v>
      </c>
      <c r="AF74" s="8">
        <v>46062</v>
      </c>
      <c r="AG74" s="1">
        <v>2</v>
      </c>
      <c r="AH74" s="27">
        <v>287600</v>
      </c>
      <c r="AI74" s="27">
        <v>287600</v>
      </c>
      <c r="AJ74" s="30">
        <v>0</v>
      </c>
      <c r="AK74" s="30">
        <f>Table13[[#This Row],[Year 1]]</f>
        <v>287600</v>
      </c>
      <c r="AL74" s="30">
        <f>Table13[[#This Row],[Year 2]]</f>
        <v>287600</v>
      </c>
      <c r="AM74" s="30">
        <f>Table13[[#This Row],[Year 3]]</f>
        <v>0</v>
      </c>
      <c r="AN74" s="1">
        <v>3</v>
      </c>
    </row>
    <row r="75" spans="1:40" hidden="1" x14ac:dyDescent="0.25">
      <c r="A75" s="1" t="s">
        <v>48</v>
      </c>
      <c r="B75" s="1" t="s">
        <v>1022</v>
      </c>
      <c r="C75" s="1" t="s">
        <v>50</v>
      </c>
      <c r="D75" s="1" t="s">
        <v>1086</v>
      </c>
      <c r="E75" s="1" t="s">
        <v>1087</v>
      </c>
      <c r="F75" s="22" t="s">
        <v>3</v>
      </c>
      <c r="G75" s="1" t="s">
        <v>6085</v>
      </c>
      <c r="H75" s="1" t="s">
        <v>6</v>
      </c>
      <c r="I75" s="1" t="s">
        <v>20</v>
      </c>
      <c r="J75" s="1" t="s">
        <v>26</v>
      </c>
      <c r="K75" s="1" t="s">
        <v>9</v>
      </c>
      <c r="L75" s="1" t="s">
        <v>53</v>
      </c>
      <c r="M75" s="11" t="s">
        <v>188</v>
      </c>
      <c r="N75" s="1" t="s">
        <v>6037</v>
      </c>
      <c r="O75" s="1" t="s">
        <v>16</v>
      </c>
      <c r="P75" s="1" t="s">
        <v>175</v>
      </c>
      <c r="Q75" s="1" t="s">
        <v>6</v>
      </c>
      <c r="R75" s="1" t="s">
        <v>1403</v>
      </c>
      <c r="S75" s="1" t="s">
        <v>6119</v>
      </c>
      <c r="T75" s="1" t="s">
        <v>6120</v>
      </c>
      <c r="U75" s="1" t="s">
        <v>6129</v>
      </c>
      <c r="V75" s="1" t="s">
        <v>6189</v>
      </c>
      <c r="W75" s="27">
        <v>42.857142857142854</v>
      </c>
      <c r="X75" s="27">
        <v>57.142857142857139</v>
      </c>
      <c r="Y75" s="33">
        <f>AVERAGE(Table13[[#This Row],[Score 1]],Table13[[#This Row],[Score 2]])</f>
        <v>50</v>
      </c>
      <c r="Z75" s="1">
        <v>1</v>
      </c>
      <c r="AA75" s="1">
        <v>2</v>
      </c>
      <c r="AB75" s="22">
        <f>Table13[[#This Row],[Rank 1]]+Table13[[#This Row],[Rank 2]]</f>
        <v>3</v>
      </c>
      <c r="AC75" s="1" t="str">
        <f>IF(AND(Table13[[#This Row],[Average score]]&gt;75,Table13[[#This Row],[Total rank]]&gt;6.5),"Yes","No")</f>
        <v>No</v>
      </c>
      <c r="AD75" s="1" t="str">
        <f>IF(AND(Table13[[#This Row],[Average score]]&gt;80,Table13[[#This Row],[Total rank]]&gt;7.5),"Yes","No")</f>
        <v>No</v>
      </c>
      <c r="AF75" s="8">
        <v>45661</v>
      </c>
      <c r="AG75" s="1">
        <v>2</v>
      </c>
      <c r="AH75" s="27">
        <v>58500</v>
      </c>
      <c r="AI75" s="27">
        <v>75000</v>
      </c>
      <c r="AJ75" s="30">
        <v>0</v>
      </c>
      <c r="AK75" s="30">
        <f>Table13[[#This Row],[Year 1]]</f>
        <v>58500</v>
      </c>
      <c r="AL75" s="30">
        <f>Table13[[#This Row],[Year 2]]</f>
        <v>75000</v>
      </c>
      <c r="AM75" s="30">
        <f>Table13[[#This Row],[Year 3]]</f>
        <v>0</v>
      </c>
      <c r="AN75" s="1">
        <v>2</v>
      </c>
    </row>
    <row r="76" spans="1:40" hidden="1" x14ac:dyDescent="0.25">
      <c r="A76" s="1" t="s">
        <v>48</v>
      </c>
      <c r="B76" s="1" t="s">
        <v>1023</v>
      </c>
      <c r="C76" s="1" t="s">
        <v>50</v>
      </c>
      <c r="D76" s="1" t="s">
        <v>1088</v>
      </c>
      <c r="E76" s="1" t="s">
        <v>1089</v>
      </c>
      <c r="F76" s="22" t="s">
        <v>3</v>
      </c>
      <c r="G76" s="1" t="s">
        <v>6085</v>
      </c>
      <c r="H76" s="1" t="s">
        <v>5</v>
      </c>
      <c r="I76" s="1" t="s">
        <v>20</v>
      </c>
      <c r="J76" s="1" t="s">
        <v>26</v>
      </c>
      <c r="K76" s="1" t="s">
        <v>9</v>
      </c>
      <c r="L76" s="1" t="s">
        <v>53</v>
      </c>
      <c r="M76" s="11" t="s">
        <v>188</v>
      </c>
      <c r="N76" s="1" t="s">
        <v>6037</v>
      </c>
      <c r="O76" s="1" t="s">
        <v>16</v>
      </c>
      <c r="P76" s="1" t="s">
        <v>107</v>
      </c>
      <c r="Q76" s="1" t="s">
        <v>5409</v>
      </c>
      <c r="R76" s="1" t="s">
        <v>1406</v>
      </c>
      <c r="S76" s="1" t="s">
        <v>6109</v>
      </c>
      <c r="T76" s="1" t="s">
        <v>6124</v>
      </c>
      <c r="U76" s="1" t="s">
        <v>6125</v>
      </c>
      <c r="V76" s="1" t="s">
        <v>6132</v>
      </c>
      <c r="W76" s="27">
        <v>67.857142857142861</v>
      </c>
      <c r="X76" s="27">
        <v>71.428571428571431</v>
      </c>
      <c r="Y76" s="33">
        <f>AVERAGE(Table13[[#This Row],[Score 1]],Table13[[#This Row],[Score 2]])</f>
        <v>69.642857142857139</v>
      </c>
      <c r="Z76" s="1">
        <v>3</v>
      </c>
      <c r="AA76" s="1">
        <v>5</v>
      </c>
      <c r="AB76" s="22">
        <f>Table13[[#This Row],[Rank 1]]+Table13[[#This Row],[Rank 2]]</f>
        <v>8</v>
      </c>
      <c r="AC76" s="1" t="str">
        <f>IF(AND(Table13[[#This Row],[Average score]]&gt;75,Table13[[#This Row],[Total rank]]&gt;6.5),"Yes","No")</f>
        <v>No</v>
      </c>
      <c r="AD76" s="1" t="str">
        <f>IF(AND(Table13[[#This Row],[Average score]]&gt;80,Table13[[#This Row],[Total rank]]&gt;7.5),"Yes","No")</f>
        <v>No</v>
      </c>
      <c r="AF76" s="8">
        <v>46037</v>
      </c>
      <c r="AG76" s="1">
        <v>3</v>
      </c>
      <c r="AH76" s="27">
        <v>200000</v>
      </c>
      <c r="AI76" s="27">
        <v>200000</v>
      </c>
      <c r="AJ76" s="27">
        <v>200000</v>
      </c>
      <c r="AK76" s="27">
        <f>Table13[[#This Row],[Year 1]]</f>
        <v>200000</v>
      </c>
      <c r="AL76" s="27">
        <f>Table13[[#This Row],[Year 2]]</f>
        <v>200000</v>
      </c>
      <c r="AM76" s="27">
        <f>Table13[[#This Row],[Year 3]]</f>
        <v>200000</v>
      </c>
      <c r="AN76" s="1">
        <v>3</v>
      </c>
    </row>
    <row r="77" spans="1:40" hidden="1" x14ac:dyDescent="0.25">
      <c r="A77" s="1" t="s">
        <v>48</v>
      </c>
      <c r="B77" s="25" t="s">
        <v>2363</v>
      </c>
      <c r="C77" s="1" t="s">
        <v>50</v>
      </c>
      <c r="D77" s="1" t="s">
        <v>3176</v>
      </c>
      <c r="E77" s="1" t="s">
        <v>3177</v>
      </c>
      <c r="F77" s="22" t="s">
        <v>3</v>
      </c>
      <c r="G77" s="1" t="s">
        <v>6085</v>
      </c>
      <c r="H77" s="1" t="s">
        <v>6</v>
      </c>
      <c r="I77" s="1" t="s">
        <v>24</v>
      </c>
      <c r="J77" s="1" t="s">
        <v>26</v>
      </c>
      <c r="K77" s="1" t="s">
        <v>9</v>
      </c>
      <c r="L77" s="1" t="s">
        <v>53</v>
      </c>
      <c r="M77" s="11" t="s">
        <v>2091</v>
      </c>
      <c r="N77" s="1" t="s">
        <v>6037</v>
      </c>
      <c r="O77" s="1" t="s">
        <v>19</v>
      </c>
      <c r="P77" s="1" t="s">
        <v>4584</v>
      </c>
      <c r="Q77" s="1" t="s">
        <v>5306</v>
      </c>
      <c r="R77" s="1" t="s">
        <v>4585</v>
      </c>
      <c r="S77" s="1" t="s">
        <v>6148</v>
      </c>
      <c r="T77" s="1" t="s">
        <v>6149</v>
      </c>
      <c r="U77" s="1" t="s">
        <v>6166</v>
      </c>
      <c r="V77" s="1" t="s">
        <v>6204</v>
      </c>
      <c r="W77" s="27">
        <v>71.428571428571431</v>
      </c>
      <c r="X77" s="27">
        <v>42.857142857142854</v>
      </c>
      <c r="Y77" s="33">
        <f>AVERAGE(Table13[[#This Row],[Score 1]],Table13[[#This Row],[Score 2]])</f>
        <v>57.142857142857139</v>
      </c>
      <c r="Z77" s="1">
        <v>3</v>
      </c>
      <c r="AA77" s="1">
        <v>1</v>
      </c>
      <c r="AB77" s="22">
        <f>Table13[[#This Row],[Rank 1]]+Table13[[#This Row],[Rank 2]]</f>
        <v>4</v>
      </c>
      <c r="AC77" s="1" t="str">
        <f>IF(AND(Table13[[#This Row],[Average score]]&gt;75,Table13[[#This Row],[Total rank]]&gt;6.5),"Yes","No")</f>
        <v>No</v>
      </c>
      <c r="AD77" s="1" t="str">
        <f>IF(AND(Table13[[#This Row],[Average score]]&gt;80,Table13[[#This Row],[Total rank]]&gt;7.5),"Yes","No")</f>
        <v>No</v>
      </c>
      <c r="AF77" s="8">
        <v>45705</v>
      </c>
      <c r="AG77" s="1">
        <v>1</v>
      </c>
      <c r="AH77" s="27">
        <v>94656</v>
      </c>
      <c r="AI77" s="30">
        <v>0</v>
      </c>
      <c r="AJ77" s="30">
        <v>0</v>
      </c>
      <c r="AK77" s="30">
        <f>Table13[[#This Row],[Year 1]]</f>
        <v>94656</v>
      </c>
      <c r="AL77" s="30">
        <f>Table13[[#This Row],[Year 2]]</f>
        <v>0</v>
      </c>
      <c r="AM77" s="30">
        <f>Table13[[#This Row],[Year 3]]</f>
        <v>0</v>
      </c>
      <c r="AN77" s="1">
        <v>3</v>
      </c>
    </row>
    <row r="78" spans="1:40" hidden="1" x14ac:dyDescent="0.25">
      <c r="A78" s="1" t="s">
        <v>48</v>
      </c>
      <c r="B78" s="1" t="s">
        <v>901</v>
      </c>
      <c r="C78" s="1" t="s">
        <v>50</v>
      </c>
      <c r="D78" s="1" t="s">
        <v>902</v>
      </c>
      <c r="E78" s="1" t="s">
        <v>903</v>
      </c>
      <c r="F78" s="22" t="s">
        <v>3</v>
      </c>
      <c r="G78" s="1" t="s">
        <v>6085</v>
      </c>
      <c r="H78" s="1" t="s">
        <v>5</v>
      </c>
      <c r="I78" s="1" t="s">
        <v>24</v>
      </c>
      <c r="J78" s="1" t="s">
        <v>25</v>
      </c>
      <c r="K78" s="1" t="s">
        <v>9</v>
      </c>
      <c r="L78" s="1" t="s">
        <v>53</v>
      </c>
      <c r="M78" s="11" t="s">
        <v>188</v>
      </c>
      <c r="N78" s="1" t="s">
        <v>6037</v>
      </c>
      <c r="O78" s="1" t="s">
        <v>13</v>
      </c>
      <c r="P78" s="1" t="s">
        <v>247</v>
      </c>
      <c r="Q78" s="1" t="s">
        <v>5412</v>
      </c>
      <c r="R78" s="1" t="s">
        <v>904</v>
      </c>
      <c r="S78" s="1" t="s">
        <v>6068</v>
      </c>
      <c r="T78" s="1" t="s">
        <v>6069</v>
      </c>
      <c r="U78" s="1" t="s">
        <v>6099</v>
      </c>
      <c r="V78" s="1" t="s">
        <v>6194</v>
      </c>
      <c r="W78" s="27">
        <v>75</v>
      </c>
      <c r="X78" s="27">
        <v>60.714285714285708</v>
      </c>
      <c r="Y78" s="33">
        <f>AVERAGE(Table13[[#This Row],[Score 1]],Table13[[#This Row],[Score 2]])</f>
        <v>67.857142857142861</v>
      </c>
      <c r="Z78" s="1">
        <v>3</v>
      </c>
      <c r="AA78" s="1">
        <v>2</v>
      </c>
      <c r="AB78" s="22">
        <f>Table13[[#This Row],[Rank 1]]+Table13[[#This Row],[Rank 2]]</f>
        <v>5</v>
      </c>
      <c r="AC78" s="1" t="str">
        <f>IF(AND(Table13[[#This Row],[Average score]]&gt;75,Table13[[#This Row],[Total rank]]&gt;6.5),"Yes","No")</f>
        <v>No</v>
      </c>
      <c r="AD78" s="1" t="str">
        <f>IF(AND(Table13[[#This Row],[Average score]]&gt;80,Table13[[#This Row],[Total rank]]&gt;7.5),"Yes","No")</f>
        <v>No</v>
      </c>
      <c r="AF78" s="8">
        <v>46083</v>
      </c>
      <c r="AG78" s="1">
        <v>3</v>
      </c>
      <c r="AH78" s="27">
        <v>230690</v>
      </c>
      <c r="AI78" s="27">
        <v>250690</v>
      </c>
      <c r="AJ78" s="27">
        <v>270690</v>
      </c>
      <c r="AK78" s="27">
        <f>Table13[[#This Row],[Year 1]]</f>
        <v>230690</v>
      </c>
      <c r="AL78" s="27">
        <f>Table13[[#This Row],[Year 2]]</f>
        <v>250690</v>
      </c>
      <c r="AM78" s="27">
        <f>Table13[[#This Row],[Year 3]]</f>
        <v>270690</v>
      </c>
      <c r="AN78" s="1">
        <v>3</v>
      </c>
    </row>
    <row r="79" spans="1:40" hidden="1" x14ac:dyDescent="0.25">
      <c r="A79" s="1" t="s">
        <v>48</v>
      </c>
      <c r="B79" s="1" t="s">
        <v>1220</v>
      </c>
      <c r="C79" s="1" t="s">
        <v>50</v>
      </c>
      <c r="D79" s="1" t="s">
        <v>1313</v>
      </c>
      <c r="E79" s="1" t="s">
        <v>1314</v>
      </c>
      <c r="F79" s="22" t="s">
        <v>3</v>
      </c>
      <c r="G79" s="1" t="s">
        <v>6085</v>
      </c>
      <c r="H79" s="1" t="s">
        <v>6</v>
      </c>
      <c r="I79" s="1" t="s">
        <v>20</v>
      </c>
      <c r="J79" s="1" t="s">
        <v>26</v>
      </c>
      <c r="K79" s="1" t="s">
        <v>9</v>
      </c>
      <c r="L79" s="1" t="s">
        <v>53</v>
      </c>
      <c r="M79" s="11" t="s">
        <v>188</v>
      </c>
      <c r="N79" s="1" t="s">
        <v>6037</v>
      </c>
      <c r="O79" s="1" t="s">
        <v>12</v>
      </c>
      <c r="P79" s="1" t="s">
        <v>66</v>
      </c>
      <c r="Q79" s="1" t="s">
        <v>5415</v>
      </c>
      <c r="R79" s="1" t="s">
        <v>1586</v>
      </c>
      <c r="S79" s="1" t="s">
        <v>6153</v>
      </c>
      <c r="T79" s="1" t="s">
        <v>6168</v>
      </c>
      <c r="U79" s="1" t="s">
        <v>6173</v>
      </c>
      <c r="V79" s="1" t="s">
        <v>6157</v>
      </c>
      <c r="W79" s="27">
        <v>75</v>
      </c>
      <c r="X79" s="27">
        <v>57.142857142857139</v>
      </c>
      <c r="Y79" s="33">
        <f>AVERAGE(Table13[[#This Row],[Score 1]],Table13[[#This Row],[Score 2]])</f>
        <v>66.071428571428569</v>
      </c>
      <c r="Z79" s="1">
        <v>3</v>
      </c>
      <c r="AA79" s="1">
        <v>3</v>
      </c>
      <c r="AB79" s="22">
        <f>Table13[[#This Row],[Rank 1]]+Table13[[#This Row],[Rank 2]]</f>
        <v>6</v>
      </c>
      <c r="AC79" s="1" t="str">
        <f>IF(AND(Table13[[#This Row],[Average score]]&gt;75,Table13[[#This Row],[Total rank]]&gt;6.5),"Yes","No")</f>
        <v>No</v>
      </c>
      <c r="AD79" s="1" t="str">
        <f>IF(AND(Table13[[#This Row],[Average score]]&gt;80,Table13[[#This Row],[Total rank]]&gt;7.5),"Yes","No")</f>
        <v>No</v>
      </c>
      <c r="AF79" s="8">
        <v>45698</v>
      </c>
      <c r="AG79" s="1">
        <v>2</v>
      </c>
      <c r="AH79" s="27">
        <v>90538</v>
      </c>
      <c r="AI79" s="27">
        <v>80538</v>
      </c>
      <c r="AJ79" s="30">
        <v>0</v>
      </c>
      <c r="AK79" s="30">
        <f>Table13[[#This Row],[Year 1]]</f>
        <v>90538</v>
      </c>
      <c r="AL79" s="30">
        <f>Table13[[#This Row],[Year 2]]</f>
        <v>80538</v>
      </c>
      <c r="AM79" s="30">
        <f>Table13[[#This Row],[Year 3]]</f>
        <v>0</v>
      </c>
      <c r="AN79" s="1">
        <v>3</v>
      </c>
    </row>
    <row r="80" spans="1:40" hidden="1" x14ac:dyDescent="0.25">
      <c r="A80" s="1" t="s">
        <v>48</v>
      </c>
      <c r="B80" s="1" t="s">
        <v>921</v>
      </c>
      <c r="C80" s="1" t="s">
        <v>50</v>
      </c>
      <c r="D80" s="1" t="s">
        <v>922</v>
      </c>
      <c r="E80" s="1" t="s">
        <v>923</v>
      </c>
      <c r="F80" s="22" t="s">
        <v>3</v>
      </c>
      <c r="G80" s="1" t="s">
        <v>6085</v>
      </c>
      <c r="H80" s="1" t="s">
        <v>6</v>
      </c>
      <c r="I80" s="1" t="s">
        <v>20</v>
      </c>
      <c r="J80" s="1" t="s">
        <v>26</v>
      </c>
      <c r="K80" s="1" t="s">
        <v>9</v>
      </c>
      <c r="L80" s="1" t="s">
        <v>53</v>
      </c>
      <c r="M80" s="11" t="s">
        <v>188</v>
      </c>
      <c r="N80" s="1" t="s">
        <v>6037</v>
      </c>
      <c r="O80" s="1" t="s">
        <v>11</v>
      </c>
      <c r="P80" s="1" t="s">
        <v>924</v>
      </c>
      <c r="Q80" s="1" t="s">
        <v>5416</v>
      </c>
      <c r="R80" s="1" t="s">
        <v>925</v>
      </c>
      <c r="S80" s="1" t="s">
        <v>6053</v>
      </c>
      <c r="T80" s="1" t="s">
        <v>6054</v>
      </c>
      <c r="U80" s="1" t="s">
        <v>6087</v>
      </c>
      <c r="V80" s="1" t="s">
        <v>6170</v>
      </c>
      <c r="W80" s="27">
        <v>60.714285714285708</v>
      </c>
      <c r="X80" s="27">
        <v>75</v>
      </c>
      <c r="Y80" s="33">
        <f>AVERAGE(Table13[[#This Row],[Score 1]],Table13[[#This Row],[Score 2]])</f>
        <v>67.857142857142861</v>
      </c>
      <c r="Z80" s="1">
        <v>3</v>
      </c>
      <c r="AA80" s="1">
        <v>3</v>
      </c>
      <c r="AB80" s="22">
        <f>Table13[[#This Row],[Rank 1]]+Table13[[#This Row],[Rank 2]]</f>
        <v>6</v>
      </c>
      <c r="AC80" s="1" t="str">
        <f>IF(AND(Table13[[#This Row],[Average score]]&gt;75,Table13[[#This Row],[Total rank]]&gt;6.5),"Yes","No")</f>
        <v>No</v>
      </c>
      <c r="AD80" s="1" t="str">
        <f>IF(AND(Table13[[#This Row],[Average score]]&gt;80,Table13[[#This Row],[Total rank]]&gt;7.5),"Yes","No")</f>
        <v>No</v>
      </c>
      <c r="AF80" s="8">
        <v>46051</v>
      </c>
      <c r="AG80" s="1">
        <v>1</v>
      </c>
      <c r="AH80" s="27">
        <v>40000</v>
      </c>
      <c r="AI80" s="30">
        <v>0</v>
      </c>
      <c r="AJ80" s="30">
        <v>0</v>
      </c>
      <c r="AK80" s="30">
        <f>Table13[[#This Row],[Year 1]]</f>
        <v>40000</v>
      </c>
      <c r="AL80" s="30">
        <f>Table13[[#This Row],[Year 2]]</f>
        <v>0</v>
      </c>
      <c r="AM80" s="30">
        <f>Table13[[#This Row],[Year 3]]</f>
        <v>0</v>
      </c>
      <c r="AN80" s="1">
        <v>2</v>
      </c>
    </row>
    <row r="81" spans="1:40" hidden="1" x14ac:dyDescent="0.25">
      <c r="A81" s="1" t="s">
        <v>48</v>
      </c>
      <c r="B81" s="1" t="s">
        <v>926</v>
      </c>
      <c r="C81" s="1" t="s">
        <v>50</v>
      </c>
      <c r="D81" s="1" t="s">
        <v>927</v>
      </c>
      <c r="E81" s="1" t="s">
        <v>928</v>
      </c>
      <c r="F81" s="22" t="s">
        <v>3</v>
      </c>
      <c r="G81" s="1" t="s">
        <v>6085</v>
      </c>
      <c r="H81" s="1" t="s">
        <v>5</v>
      </c>
      <c r="I81" s="1" t="s">
        <v>22</v>
      </c>
      <c r="J81" s="1" t="s">
        <v>25</v>
      </c>
      <c r="K81" s="1" t="s">
        <v>9</v>
      </c>
      <c r="L81" s="1" t="s">
        <v>53</v>
      </c>
      <c r="M81" s="11" t="s">
        <v>188</v>
      </c>
      <c r="N81" s="1" t="s">
        <v>6037</v>
      </c>
      <c r="O81" s="1" t="s">
        <v>16</v>
      </c>
      <c r="P81" s="1" t="s">
        <v>306</v>
      </c>
      <c r="Q81" s="1" t="s">
        <v>4225</v>
      </c>
      <c r="R81" s="1" t="s">
        <v>929</v>
      </c>
      <c r="S81" s="1" t="s">
        <v>6115</v>
      </c>
      <c r="T81" s="1" t="s">
        <v>6116</v>
      </c>
      <c r="U81" s="1" t="s">
        <v>6130</v>
      </c>
      <c r="V81" s="1" t="s">
        <v>6191</v>
      </c>
      <c r="W81" s="27">
        <v>67.857142857142861</v>
      </c>
      <c r="X81" s="27">
        <v>75</v>
      </c>
      <c r="Y81" s="33">
        <f>AVERAGE(Table13[[#This Row],[Score 1]],Table13[[#This Row],[Score 2]])</f>
        <v>71.428571428571431</v>
      </c>
      <c r="Z81" s="1">
        <v>3</v>
      </c>
      <c r="AA81" s="1">
        <v>3</v>
      </c>
      <c r="AB81" s="22">
        <f>Table13[[#This Row],[Rank 1]]+Table13[[#This Row],[Rank 2]]</f>
        <v>6</v>
      </c>
      <c r="AC81" s="1" t="str">
        <f>IF(AND(Table13[[#This Row],[Average score]]&gt;75,Table13[[#This Row],[Total rank]]&gt;6.5),"Yes","No")</f>
        <v>No</v>
      </c>
      <c r="AD81" s="1" t="str">
        <f>IF(AND(Table13[[#This Row],[Average score]]&gt;80,Table13[[#This Row],[Total rank]]&gt;7.5),"Yes","No")</f>
        <v>No</v>
      </c>
      <c r="AF81" s="8">
        <v>46078</v>
      </c>
      <c r="AG81" s="1">
        <v>2</v>
      </c>
      <c r="AH81" s="27">
        <v>128400</v>
      </c>
      <c r="AI81" s="27">
        <v>128400</v>
      </c>
      <c r="AJ81" s="30">
        <v>0</v>
      </c>
      <c r="AK81" s="30">
        <f>Table13[[#This Row],[Year 1]]</f>
        <v>128400</v>
      </c>
      <c r="AL81" s="30">
        <f>Table13[[#This Row],[Year 2]]</f>
        <v>128400</v>
      </c>
      <c r="AM81" s="30">
        <f>Table13[[#This Row],[Year 3]]</f>
        <v>0</v>
      </c>
      <c r="AN81" s="1">
        <v>3</v>
      </c>
    </row>
    <row r="82" spans="1:40" hidden="1" x14ac:dyDescent="0.25">
      <c r="A82" s="1" t="s">
        <v>48</v>
      </c>
      <c r="B82" s="25" t="s">
        <v>2356</v>
      </c>
      <c r="C82" s="1" t="s">
        <v>50</v>
      </c>
      <c r="D82" s="1" t="s">
        <v>3162</v>
      </c>
      <c r="E82" s="1" t="s">
        <v>3163</v>
      </c>
      <c r="F82" s="22" t="s">
        <v>3</v>
      </c>
      <c r="G82" s="1" t="s">
        <v>6085</v>
      </c>
      <c r="H82" s="1" t="s">
        <v>5</v>
      </c>
      <c r="I82" s="1" t="s">
        <v>21</v>
      </c>
      <c r="J82" s="1" t="s">
        <v>25</v>
      </c>
      <c r="K82" s="1" t="s">
        <v>9</v>
      </c>
      <c r="L82" s="1" t="s">
        <v>53</v>
      </c>
      <c r="M82" s="11" t="s">
        <v>188</v>
      </c>
      <c r="N82" s="1" t="s">
        <v>6037</v>
      </c>
      <c r="O82" s="1" t="s">
        <v>14</v>
      </c>
      <c r="P82" s="1" t="s">
        <v>1456</v>
      </c>
      <c r="Q82" s="1" t="s">
        <v>5</v>
      </c>
      <c r="R82" s="1" t="s">
        <v>4567</v>
      </c>
      <c r="S82" s="1" t="s">
        <v>6148</v>
      </c>
      <c r="T82" s="1" t="s">
        <v>6149</v>
      </c>
      <c r="U82" s="1" t="s">
        <v>6166</v>
      </c>
      <c r="V82" s="1" t="s">
        <v>6204</v>
      </c>
      <c r="W82" s="27">
        <v>82.142857142857139</v>
      </c>
      <c r="X82" s="27">
        <v>75</v>
      </c>
      <c r="Y82" s="33">
        <f>AVERAGE(Table13[[#This Row],[Score 1]],Table13[[#This Row],[Score 2]])</f>
        <v>78.571428571428569</v>
      </c>
      <c r="Z82" s="1">
        <v>5</v>
      </c>
      <c r="AA82" s="1">
        <v>4</v>
      </c>
      <c r="AB82" s="22">
        <f>Table13[[#This Row],[Rank 1]]+Table13[[#This Row],[Rank 2]]</f>
        <v>9</v>
      </c>
      <c r="AC82" s="1" t="str">
        <f>IF(AND(Table13[[#This Row],[Average score]]&gt;75,Table13[[#This Row],[Total rank]]&gt;6.5),"Yes","No")</f>
        <v>Yes</v>
      </c>
      <c r="AD82" s="1" t="str">
        <f>IF(AND(Table13[[#This Row],[Average score]]&gt;80,Table13[[#This Row],[Total rank]]&gt;7.5),"Yes","No")</f>
        <v>No</v>
      </c>
      <c r="AF82" s="8">
        <v>46023</v>
      </c>
      <c r="AG82" s="1">
        <v>3</v>
      </c>
      <c r="AH82" s="27">
        <v>61000</v>
      </c>
      <c r="AI82" s="27">
        <v>66000</v>
      </c>
      <c r="AJ82" s="27">
        <v>66000</v>
      </c>
      <c r="AK82" s="27">
        <f>Table13[[#This Row],[Year 1]]</f>
        <v>61000</v>
      </c>
      <c r="AL82" s="27">
        <f>Table13[[#This Row],[Year 2]]</f>
        <v>66000</v>
      </c>
      <c r="AM82" s="27">
        <f>Table13[[#This Row],[Year 3]]</f>
        <v>66000</v>
      </c>
      <c r="AN82" s="1">
        <v>3</v>
      </c>
    </row>
    <row r="83" spans="1:40" hidden="1" x14ac:dyDescent="0.25">
      <c r="A83" s="1" t="s">
        <v>48</v>
      </c>
      <c r="B83" s="1" t="s">
        <v>1024</v>
      </c>
      <c r="C83" s="1" t="s">
        <v>50</v>
      </c>
      <c r="D83" s="1" t="s">
        <v>1090</v>
      </c>
      <c r="E83" s="1" t="s">
        <v>1091</v>
      </c>
      <c r="F83" s="22" t="s">
        <v>3</v>
      </c>
      <c r="G83" s="1" t="s">
        <v>6085</v>
      </c>
      <c r="H83" s="1" t="s">
        <v>5</v>
      </c>
      <c r="I83" s="1" t="s">
        <v>20</v>
      </c>
      <c r="J83" s="1" t="s">
        <v>25</v>
      </c>
      <c r="K83" s="1" t="s">
        <v>9</v>
      </c>
      <c r="L83" s="1" t="s">
        <v>53</v>
      </c>
      <c r="M83" s="11" t="s">
        <v>188</v>
      </c>
      <c r="N83" s="1" t="s">
        <v>6037</v>
      </c>
      <c r="O83" s="1" t="s">
        <v>11</v>
      </c>
      <c r="P83" s="1" t="s">
        <v>66</v>
      </c>
      <c r="Q83" s="1" t="s">
        <v>5418</v>
      </c>
      <c r="R83" s="1" t="s">
        <v>1408</v>
      </c>
      <c r="S83" s="1" t="s">
        <v>6053</v>
      </c>
      <c r="T83" s="1" t="s">
        <v>6054</v>
      </c>
      <c r="U83" s="1" t="s">
        <v>6087</v>
      </c>
      <c r="V83" s="1" t="s">
        <v>6170</v>
      </c>
      <c r="W83" s="27">
        <v>78.571428571428569</v>
      </c>
      <c r="X83" s="27">
        <v>67.857142857142861</v>
      </c>
      <c r="Y83" s="33">
        <f>AVERAGE(Table13[[#This Row],[Score 1]],Table13[[#This Row],[Score 2]])</f>
        <v>73.214285714285722</v>
      </c>
      <c r="Z83" s="1">
        <v>5</v>
      </c>
      <c r="AA83" s="1">
        <v>3</v>
      </c>
      <c r="AB83" s="22">
        <f>Table13[[#This Row],[Rank 1]]+Table13[[#This Row],[Rank 2]]</f>
        <v>8</v>
      </c>
      <c r="AC83" s="1" t="str">
        <f>IF(AND(Table13[[#This Row],[Average score]]&gt;75,Table13[[#This Row],[Total rank]]&gt;6.5),"Yes","No")</f>
        <v>No</v>
      </c>
      <c r="AD83" s="1" t="str">
        <f>IF(AND(Table13[[#This Row],[Average score]]&gt;80,Table13[[#This Row],[Total rank]]&gt;7.5),"Yes","No")</f>
        <v>No</v>
      </c>
      <c r="AF83" s="8">
        <v>45686</v>
      </c>
      <c r="AG83" s="1">
        <v>3</v>
      </c>
      <c r="AH83" s="27">
        <v>262316</v>
      </c>
      <c r="AI83" s="27">
        <v>277516</v>
      </c>
      <c r="AJ83" s="27">
        <v>290812</v>
      </c>
      <c r="AK83" s="27">
        <f>Table13[[#This Row],[Year 1]]</f>
        <v>262316</v>
      </c>
      <c r="AL83" s="27">
        <f>Table13[[#This Row],[Year 2]]</f>
        <v>277516</v>
      </c>
      <c r="AM83" s="27">
        <f>Table13[[#This Row],[Year 3]]</f>
        <v>290812</v>
      </c>
      <c r="AN83" s="1">
        <v>3</v>
      </c>
    </row>
    <row r="84" spans="1:40" hidden="1" x14ac:dyDescent="0.25">
      <c r="A84" s="1" t="s">
        <v>48</v>
      </c>
      <c r="B84" s="1" t="s">
        <v>941</v>
      </c>
      <c r="C84" s="1" t="s">
        <v>50</v>
      </c>
      <c r="D84" s="1" t="s">
        <v>942</v>
      </c>
      <c r="E84" s="1" t="s">
        <v>943</v>
      </c>
      <c r="F84" s="22" t="s">
        <v>3</v>
      </c>
      <c r="G84" s="1" t="s">
        <v>6085</v>
      </c>
      <c r="H84" s="1" t="s">
        <v>6</v>
      </c>
      <c r="I84" s="1" t="s">
        <v>20</v>
      </c>
      <c r="J84" s="1" t="s">
        <v>25</v>
      </c>
      <c r="K84" s="1" t="s">
        <v>9</v>
      </c>
      <c r="L84" s="1" t="s">
        <v>53</v>
      </c>
      <c r="M84" s="11" t="s">
        <v>188</v>
      </c>
      <c r="N84" s="1" t="s">
        <v>6037</v>
      </c>
      <c r="O84" s="1" t="s">
        <v>13</v>
      </c>
      <c r="P84" s="1" t="s">
        <v>126</v>
      </c>
      <c r="Q84" s="1" t="s">
        <v>5420</v>
      </c>
      <c r="R84" s="1" t="s">
        <v>944</v>
      </c>
      <c r="S84" s="1" t="s">
        <v>6072</v>
      </c>
      <c r="T84" s="1" t="s">
        <v>6073</v>
      </c>
      <c r="U84" s="1" t="s">
        <v>6092</v>
      </c>
      <c r="V84" s="1" t="s">
        <v>6176</v>
      </c>
      <c r="W84" s="27">
        <v>71.428571428571431</v>
      </c>
      <c r="X84" s="27">
        <v>71.428571428571431</v>
      </c>
      <c r="Y84" s="33">
        <f>AVERAGE(Table13[[#This Row],[Score 1]],Table13[[#This Row],[Score 2]])</f>
        <v>71.428571428571431</v>
      </c>
      <c r="Z84" s="1">
        <v>3</v>
      </c>
      <c r="AA84" s="1">
        <v>4</v>
      </c>
      <c r="AB84" s="22">
        <f>Table13[[#This Row],[Rank 1]]+Table13[[#This Row],[Rank 2]]</f>
        <v>7</v>
      </c>
      <c r="AC84" s="1" t="str">
        <f>IF(AND(Table13[[#This Row],[Average score]]&gt;75,Table13[[#This Row],[Total rank]]&gt;6.5),"Yes","No")</f>
        <v>No</v>
      </c>
      <c r="AD84" s="1" t="str">
        <f>IF(AND(Table13[[#This Row],[Average score]]&gt;80,Table13[[#This Row],[Total rank]]&gt;7.5),"Yes","No")</f>
        <v>No</v>
      </c>
      <c r="AF84" s="8">
        <v>45705</v>
      </c>
      <c r="AG84" s="1">
        <v>2</v>
      </c>
      <c r="AH84" s="27">
        <v>117100</v>
      </c>
      <c r="AI84" s="27">
        <v>214900</v>
      </c>
      <c r="AJ84" s="30">
        <v>0</v>
      </c>
      <c r="AK84" s="30">
        <f>Table13[[#This Row],[Year 1]]</f>
        <v>117100</v>
      </c>
      <c r="AL84" s="30">
        <f>Table13[[#This Row],[Year 2]]</f>
        <v>214900</v>
      </c>
      <c r="AM84" s="30">
        <f>Table13[[#This Row],[Year 3]]</f>
        <v>0</v>
      </c>
      <c r="AN84" s="1">
        <v>3</v>
      </c>
    </row>
    <row r="85" spans="1:40" hidden="1" x14ac:dyDescent="0.25">
      <c r="A85" s="1" t="s">
        <v>48</v>
      </c>
      <c r="B85" s="1" t="s">
        <v>947</v>
      </c>
      <c r="C85" s="1" t="s">
        <v>50</v>
      </c>
      <c r="D85" s="1" t="s">
        <v>948</v>
      </c>
      <c r="E85" s="1" t="s">
        <v>949</v>
      </c>
      <c r="F85" s="22" t="s">
        <v>3</v>
      </c>
      <c r="G85" s="1" t="s">
        <v>6085</v>
      </c>
      <c r="H85" s="1" t="s">
        <v>5</v>
      </c>
      <c r="I85" s="1" t="s">
        <v>20</v>
      </c>
      <c r="J85" s="1" t="s">
        <v>26</v>
      </c>
      <c r="K85" s="1" t="s">
        <v>9</v>
      </c>
      <c r="L85" s="1" t="s">
        <v>53</v>
      </c>
      <c r="M85" s="11" t="s">
        <v>188</v>
      </c>
      <c r="N85" s="1" t="s">
        <v>6037</v>
      </c>
      <c r="O85" s="1" t="s">
        <v>12</v>
      </c>
      <c r="P85" s="1" t="s">
        <v>199</v>
      </c>
      <c r="Q85" s="1" t="s">
        <v>5421</v>
      </c>
      <c r="R85" s="1" t="s">
        <v>950</v>
      </c>
      <c r="S85" s="1" t="s">
        <v>6153</v>
      </c>
      <c r="T85" s="1" t="s">
        <v>6168</v>
      </c>
      <c r="U85" s="1" t="s">
        <v>6173</v>
      </c>
      <c r="V85" s="1" t="s">
        <v>6157</v>
      </c>
      <c r="W85" s="27">
        <v>67.857142857142861</v>
      </c>
      <c r="X85" s="27">
        <v>32.142857142857146</v>
      </c>
      <c r="Y85" s="33">
        <f>AVERAGE(Table13[[#This Row],[Score 1]],Table13[[#This Row],[Score 2]])</f>
        <v>50</v>
      </c>
      <c r="Z85" s="1">
        <v>3</v>
      </c>
      <c r="AA85" s="1">
        <v>1</v>
      </c>
      <c r="AB85" s="22">
        <f>Table13[[#This Row],[Rank 1]]+Table13[[#This Row],[Rank 2]]</f>
        <v>4</v>
      </c>
      <c r="AC85" s="1" t="str">
        <f>IF(AND(Table13[[#This Row],[Average score]]&gt;75,Table13[[#This Row],[Total rank]]&gt;6.5),"Yes","No")</f>
        <v>No</v>
      </c>
      <c r="AD85" s="1" t="str">
        <f>IF(AND(Table13[[#This Row],[Average score]]&gt;80,Table13[[#This Row],[Total rank]]&gt;7.5),"Yes","No")</f>
        <v>No</v>
      </c>
      <c r="AF85" s="8">
        <v>46054</v>
      </c>
      <c r="AG85" s="1">
        <v>3</v>
      </c>
      <c r="AH85" s="27">
        <v>179000</v>
      </c>
      <c r="AI85" s="27">
        <v>182000</v>
      </c>
      <c r="AJ85" s="27">
        <v>190000</v>
      </c>
      <c r="AK85" s="27">
        <f>Table13[[#This Row],[Year 1]]</f>
        <v>179000</v>
      </c>
      <c r="AL85" s="27">
        <f>Table13[[#This Row],[Year 2]]</f>
        <v>182000</v>
      </c>
      <c r="AM85" s="27">
        <f>Table13[[#This Row],[Year 3]]</f>
        <v>190000</v>
      </c>
      <c r="AN85" s="1">
        <v>3</v>
      </c>
    </row>
    <row r="86" spans="1:40" hidden="1" x14ac:dyDescent="0.25">
      <c r="A86" s="1" t="s">
        <v>48</v>
      </c>
      <c r="B86" s="1" t="s">
        <v>1218</v>
      </c>
      <c r="C86" s="1" t="s">
        <v>50</v>
      </c>
      <c r="D86" s="1" t="s">
        <v>1309</v>
      </c>
      <c r="E86" s="1" t="s">
        <v>1310</v>
      </c>
      <c r="F86" s="22" t="s">
        <v>3</v>
      </c>
      <c r="G86" s="1" t="s">
        <v>6085</v>
      </c>
      <c r="H86" s="1" t="s">
        <v>5</v>
      </c>
      <c r="I86" s="1" t="s">
        <v>21</v>
      </c>
      <c r="J86" s="1" t="s">
        <v>25</v>
      </c>
      <c r="K86" s="1" t="s">
        <v>9</v>
      </c>
      <c r="L86" s="1" t="s">
        <v>53</v>
      </c>
      <c r="M86" s="11" t="s">
        <v>188</v>
      </c>
      <c r="N86" s="1" t="s">
        <v>6037</v>
      </c>
      <c r="O86" s="1" t="s">
        <v>14</v>
      </c>
      <c r="P86" s="1" t="s">
        <v>126</v>
      </c>
      <c r="Q86" s="1" t="s">
        <v>5425</v>
      </c>
      <c r="R86" s="1" t="s">
        <v>1581</v>
      </c>
      <c r="S86" s="1" t="s">
        <v>6151</v>
      </c>
      <c r="T86" s="1" t="s">
        <v>6147</v>
      </c>
      <c r="U86" s="1" t="s">
        <v>6151</v>
      </c>
      <c r="V86" s="1" t="s">
        <v>6185</v>
      </c>
      <c r="W86" s="27">
        <v>92.857142857142861</v>
      </c>
      <c r="X86" s="27">
        <v>82.142857142857139</v>
      </c>
      <c r="Y86" s="33">
        <f>AVERAGE(Table13[[#This Row],[Score 1]],Table13[[#This Row],[Score 2]])</f>
        <v>87.5</v>
      </c>
      <c r="Z86" s="1">
        <v>5</v>
      </c>
      <c r="AA86" s="1">
        <v>4</v>
      </c>
      <c r="AB86" s="22">
        <f>Table13[[#This Row],[Rank 1]]+Table13[[#This Row],[Rank 2]]</f>
        <v>9</v>
      </c>
      <c r="AC86" s="1" t="str">
        <f>IF(AND(Table13[[#This Row],[Average score]]&gt;75,Table13[[#This Row],[Total rank]]&gt;6.5),"Yes","No")</f>
        <v>Yes</v>
      </c>
      <c r="AD86" s="1" t="str">
        <f>IF(AND(Table13[[#This Row],[Average score]]&gt;80,Table13[[#This Row],[Total rank]]&gt;7.5),"Yes","No")</f>
        <v>Yes</v>
      </c>
      <c r="AF86" s="8">
        <v>45691</v>
      </c>
      <c r="AG86" s="1">
        <v>3</v>
      </c>
      <c r="AH86" s="27">
        <v>361162.88</v>
      </c>
      <c r="AI86" s="27">
        <v>509038.56</v>
      </c>
      <c r="AJ86" s="27">
        <v>597343.25</v>
      </c>
      <c r="AK86" s="27">
        <v>350000</v>
      </c>
      <c r="AL86" s="27">
        <v>350000</v>
      </c>
      <c r="AM86" s="27">
        <v>350000</v>
      </c>
      <c r="AN86" s="1">
        <v>3</v>
      </c>
    </row>
    <row r="87" spans="1:40" hidden="1" x14ac:dyDescent="0.25">
      <c r="A87" s="1" t="s">
        <v>48</v>
      </c>
      <c r="B87" s="1" t="s">
        <v>968</v>
      </c>
      <c r="C87" s="1" t="s">
        <v>50</v>
      </c>
      <c r="D87" s="1" t="s">
        <v>969</v>
      </c>
      <c r="E87" s="1" t="s">
        <v>970</v>
      </c>
      <c r="F87" s="22" t="s">
        <v>3</v>
      </c>
      <c r="G87" s="1" t="s">
        <v>6085</v>
      </c>
      <c r="H87" s="1" t="s">
        <v>6</v>
      </c>
      <c r="I87" s="1" t="s">
        <v>20</v>
      </c>
      <c r="J87" s="1" t="s">
        <v>26</v>
      </c>
      <c r="K87" s="1" t="s">
        <v>8</v>
      </c>
      <c r="L87" s="1" t="s">
        <v>53</v>
      </c>
      <c r="M87" s="11" t="s">
        <v>188</v>
      </c>
      <c r="N87" s="1" t="s">
        <v>6037</v>
      </c>
      <c r="O87" s="1" t="s">
        <v>12</v>
      </c>
      <c r="P87" s="1" t="s">
        <v>971</v>
      </c>
      <c r="Q87" s="1" t="s">
        <v>5426</v>
      </c>
      <c r="R87" s="1" t="s">
        <v>972</v>
      </c>
      <c r="S87" s="1" t="s">
        <v>6153</v>
      </c>
      <c r="T87" s="1" t="s">
        <v>6168</v>
      </c>
      <c r="U87" s="1" t="s">
        <v>6173</v>
      </c>
      <c r="V87" s="1" t="s">
        <v>6157</v>
      </c>
      <c r="W87" s="27">
        <v>62.5</v>
      </c>
      <c r="X87" s="27">
        <v>62.5</v>
      </c>
      <c r="Y87" s="33">
        <f>AVERAGE(Table13[[#This Row],[Score 1]],Table13[[#This Row],[Score 2]])</f>
        <v>62.5</v>
      </c>
      <c r="Z87" s="1">
        <v>2</v>
      </c>
      <c r="AA87" s="1">
        <v>3</v>
      </c>
      <c r="AB87" s="22">
        <f>Table13[[#This Row],[Rank 1]]+Table13[[#This Row],[Rank 2]]</f>
        <v>5</v>
      </c>
      <c r="AC87" s="1" t="str">
        <f>IF(AND(Table13[[#This Row],[Average score]]&gt;75,Table13[[#This Row],[Total rank]]&gt;6.5),"Yes","No")</f>
        <v>No</v>
      </c>
      <c r="AD87" s="1" t="str">
        <f>IF(AND(Table13[[#This Row],[Average score]]&gt;80,Table13[[#This Row],[Total rank]]&gt;7.5),"Yes","No")</f>
        <v>No</v>
      </c>
      <c r="AF87" s="8">
        <v>46296</v>
      </c>
      <c r="AG87" s="1">
        <v>1</v>
      </c>
      <c r="AH87" s="27">
        <v>251915.63</v>
      </c>
      <c r="AI87" s="30">
        <v>0</v>
      </c>
      <c r="AJ87" s="30">
        <v>0</v>
      </c>
      <c r="AK87" s="30">
        <f>Table13[[#This Row],[Year 1]]</f>
        <v>251915.63</v>
      </c>
      <c r="AL87" s="30">
        <f>Table13[[#This Row],[Year 2]]</f>
        <v>0</v>
      </c>
      <c r="AM87" s="30">
        <f>Table13[[#This Row],[Year 3]]</f>
        <v>0</v>
      </c>
      <c r="AN87" s="1">
        <v>3</v>
      </c>
    </row>
    <row r="88" spans="1:40" hidden="1" x14ac:dyDescent="0.25">
      <c r="A88" s="1" t="s">
        <v>48</v>
      </c>
      <c r="B88" s="1" t="s">
        <v>979</v>
      </c>
      <c r="C88" s="1" t="s">
        <v>50</v>
      </c>
      <c r="D88" s="1" t="s">
        <v>980</v>
      </c>
      <c r="E88" s="1" t="s">
        <v>981</v>
      </c>
      <c r="F88" s="22" t="s">
        <v>3</v>
      </c>
      <c r="G88" s="1" t="s">
        <v>6085</v>
      </c>
      <c r="H88" s="1" t="s">
        <v>6</v>
      </c>
      <c r="I88" s="1" t="s">
        <v>20</v>
      </c>
      <c r="J88" s="1" t="s">
        <v>26</v>
      </c>
      <c r="K88" s="1" t="s">
        <v>9</v>
      </c>
      <c r="L88" s="1" t="s">
        <v>53</v>
      </c>
      <c r="M88" s="11" t="s">
        <v>188</v>
      </c>
      <c r="N88" s="1" t="s">
        <v>6037</v>
      </c>
      <c r="O88" s="1" t="s">
        <v>15</v>
      </c>
      <c r="P88" s="1" t="s">
        <v>982</v>
      </c>
      <c r="Q88" s="1" t="s">
        <v>5429</v>
      </c>
      <c r="R88" s="1" t="s">
        <v>983</v>
      </c>
      <c r="S88" s="1" t="s">
        <v>6057</v>
      </c>
      <c r="T88" s="1" t="s">
        <v>6058</v>
      </c>
      <c r="U88" s="1" t="s">
        <v>6095</v>
      </c>
      <c r="V88" s="1" t="s">
        <v>6186</v>
      </c>
      <c r="W88" s="27">
        <v>46.428571428571431</v>
      </c>
      <c r="X88" s="27">
        <v>50</v>
      </c>
      <c r="Y88" s="33">
        <f>AVERAGE(Table13[[#This Row],[Score 1]],Table13[[#This Row],[Score 2]])</f>
        <v>48.214285714285715</v>
      </c>
      <c r="Z88" s="1">
        <v>2</v>
      </c>
      <c r="AA88" s="1">
        <v>1</v>
      </c>
      <c r="AB88" s="22">
        <f>Table13[[#This Row],[Rank 1]]+Table13[[#This Row],[Rank 2]]</f>
        <v>3</v>
      </c>
      <c r="AC88" s="1" t="str">
        <f>IF(AND(Table13[[#This Row],[Average score]]&gt;75,Table13[[#This Row],[Total rank]]&gt;6.5),"Yes","No")</f>
        <v>No</v>
      </c>
      <c r="AD88" s="1" t="str">
        <f>IF(AND(Table13[[#This Row],[Average score]]&gt;80,Table13[[#This Row],[Total rank]]&gt;7.5),"Yes","No")</f>
        <v>No</v>
      </c>
      <c r="AF88" s="8">
        <v>46023</v>
      </c>
      <c r="AG88" s="1">
        <v>1</v>
      </c>
      <c r="AH88" s="27">
        <v>190000</v>
      </c>
      <c r="AI88" s="29">
        <v>100</v>
      </c>
      <c r="AJ88" s="30">
        <v>0</v>
      </c>
      <c r="AK88" s="30">
        <f>Table13[[#This Row],[Year 1]]</f>
        <v>190000</v>
      </c>
      <c r="AL88" s="30">
        <f>Table13[[#This Row],[Year 2]]</f>
        <v>100</v>
      </c>
      <c r="AM88" s="30">
        <f>Table13[[#This Row],[Year 3]]</f>
        <v>0</v>
      </c>
      <c r="AN88" s="1">
        <v>3</v>
      </c>
    </row>
    <row r="89" spans="1:40" hidden="1" x14ac:dyDescent="0.25">
      <c r="A89" s="1" t="s">
        <v>48</v>
      </c>
      <c r="B89" s="1" t="s">
        <v>1210</v>
      </c>
      <c r="C89" s="1" t="s">
        <v>50</v>
      </c>
      <c r="D89" s="1" t="s">
        <v>1293</v>
      </c>
      <c r="E89" s="1" t="s">
        <v>1294</v>
      </c>
      <c r="F89" s="22" t="s">
        <v>3</v>
      </c>
      <c r="G89" s="1" t="s">
        <v>6085</v>
      </c>
      <c r="H89" s="1" t="s">
        <v>6</v>
      </c>
      <c r="I89" s="1" t="s">
        <v>20</v>
      </c>
      <c r="J89" s="1" t="s">
        <v>26</v>
      </c>
      <c r="K89" s="1" t="s">
        <v>9</v>
      </c>
      <c r="L89" s="1" t="s">
        <v>53</v>
      </c>
      <c r="M89" s="11" t="s">
        <v>188</v>
      </c>
      <c r="N89" s="1" t="s">
        <v>6037</v>
      </c>
      <c r="O89" s="1" t="s">
        <v>15</v>
      </c>
      <c r="P89" s="1" t="s">
        <v>1565</v>
      </c>
      <c r="Q89" s="1" t="s">
        <v>5431</v>
      </c>
      <c r="R89" s="1" t="s">
        <v>1566</v>
      </c>
      <c r="S89" s="1" t="s">
        <v>6057</v>
      </c>
      <c r="T89" s="1" t="s">
        <v>6058</v>
      </c>
      <c r="U89" s="1" t="s">
        <v>6095</v>
      </c>
      <c r="V89" s="1" t="s">
        <v>6186</v>
      </c>
      <c r="W89" s="27">
        <v>64.285714285714292</v>
      </c>
      <c r="X89" s="27">
        <v>75</v>
      </c>
      <c r="Y89" s="33">
        <f>AVERAGE(Table13[[#This Row],[Score 1]],Table13[[#This Row],[Score 2]])</f>
        <v>69.642857142857139</v>
      </c>
      <c r="Z89" s="1">
        <v>4</v>
      </c>
      <c r="AA89" s="1">
        <v>2</v>
      </c>
      <c r="AB89" s="22">
        <f>Table13[[#This Row],[Rank 1]]+Table13[[#This Row],[Rank 2]]</f>
        <v>6</v>
      </c>
      <c r="AC89" s="1" t="str">
        <f>IF(AND(Table13[[#This Row],[Average score]]&gt;75,Table13[[#This Row],[Total rank]]&gt;6.5),"Yes","No")</f>
        <v>No</v>
      </c>
      <c r="AD89" s="1" t="str">
        <f>IF(AND(Table13[[#This Row],[Average score]]&gt;80,Table13[[#This Row],[Total rank]]&gt;7.5),"Yes","No")</f>
        <v>No</v>
      </c>
      <c r="AF89" s="8">
        <v>46174</v>
      </c>
      <c r="AG89" s="1">
        <v>1</v>
      </c>
      <c r="AH89" s="27">
        <v>250000</v>
      </c>
      <c r="AI89" s="30">
        <v>0</v>
      </c>
      <c r="AJ89" s="30">
        <v>0</v>
      </c>
      <c r="AK89" s="30">
        <f>Table13[[#This Row],[Year 1]]</f>
        <v>250000</v>
      </c>
      <c r="AL89" s="30">
        <f>Table13[[#This Row],[Year 2]]</f>
        <v>0</v>
      </c>
      <c r="AM89" s="30">
        <f>Table13[[#This Row],[Year 3]]</f>
        <v>0</v>
      </c>
      <c r="AN89" s="1">
        <v>4</v>
      </c>
    </row>
    <row r="90" spans="1:40" hidden="1" x14ac:dyDescent="0.25">
      <c r="A90" s="1" t="s">
        <v>48</v>
      </c>
      <c r="B90" s="10" t="s">
        <v>994</v>
      </c>
      <c r="C90" s="1" t="s">
        <v>50</v>
      </c>
      <c r="D90" s="1" t="s">
        <v>995</v>
      </c>
      <c r="E90" s="1" t="s">
        <v>996</v>
      </c>
      <c r="F90" s="22" t="s">
        <v>3</v>
      </c>
      <c r="G90" s="1" t="s">
        <v>6085</v>
      </c>
      <c r="H90" s="1" t="s">
        <v>5</v>
      </c>
      <c r="I90" s="1" t="s">
        <v>20</v>
      </c>
      <c r="J90" s="1" t="s">
        <v>26</v>
      </c>
      <c r="K90" s="1" t="s">
        <v>9</v>
      </c>
      <c r="L90" s="1" t="s">
        <v>53</v>
      </c>
      <c r="M90" s="11" t="s">
        <v>188</v>
      </c>
      <c r="N90" s="1" t="s">
        <v>6037</v>
      </c>
      <c r="O90" s="1" t="s">
        <v>13</v>
      </c>
      <c r="P90" s="1" t="s">
        <v>247</v>
      </c>
      <c r="Q90" s="1" t="s">
        <v>5433</v>
      </c>
      <c r="R90" s="1" t="s">
        <v>997</v>
      </c>
      <c r="S90" s="1" t="s">
        <v>6079</v>
      </c>
      <c r="T90" s="1" t="s">
        <v>6080</v>
      </c>
      <c r="U90" s="1" t="s">
        <v>6089</v>
      </c>
      <c r="V90" s="1" t="s">
        <v>6172</v>
      </c>
      <c r="W90" s="27">
        <v>82.142857142857139</v>
      </c>
      <c r="X90" s="27">
        <v>67.857142857142861</v>
      </c>
      <c r="Y90" s="33">
        <f>AVERAGE(Table13[[#This Row],[Score 1]],Table13[[#This Row],[Score 2]])</f>
        <v>75</v>
      </c>
      <c r="Z90" s="1">
        <v>2</v>
      </c>
      <c r="AA90" s="1">
        <v>3</v>
      </c>
      <c r="AB90" s="22">
        <f>Table13[[#This Row],[Rank 1]]+Table13[[#This Row],[Rank 2]]</f>
        <v>5</v>
      </c>
      <c r="AC90" s="1" t="str">
        <f>IF(AND(Table13[[#This Row],[Average score]]&gt;75,Table13[[#This Row],[Total rank]]&gt;6.5),"Yes","No")</f>
        <v>No</v>
      </c>
      <c r="AD90" s="1" t="str">
        <f>IF(AND(Table13[[#This Row],[Average score]]&gt;80,Table13[[#This Row],[Total rank]]&gt;7.5),"Yes","No")</f>
        <v>No</v>
      </c>
      <c r="AF90" s="8">
        <v>46023</v>
      </c>
      <c r="AG90" s="1">
        <v>3</v>
      </c>
      <c r="AH90" s="27">
        <v>358890</v>
      </c>
      <c r="AI90" s="27">
        <v>353890</v>
      </c>
      <c r="AJ90" s="27">
        <v>353890</v>
      </c>
      <c r="AK90" s="27">
        <f>Table13[[#This Row],[Year 1]]</f>
        <v>358890</v>
      </c>
      <c r="AL90" s="27">
        <f>Table13[[#This Row],[Year 2]]</f>
        <v>353890</v>
      </c>
      <c r="AM90" s="27">
        <f>Table13[[#This Row],[Year 3]]</f>
        <v>353890</v>
      </c>
      <c r="AN90" s="1">
        <v>3</v>
      </c>
    </row>
    <row r="91" spans="1:40" hidden="1" x14ac:dyDescent="0.25">
      <c r="A91" s="1" t="s">
        <v>48</v>
      </c>
      <c r="B91" s="1" t="s">
        <v>1000</v>
      </c>
      <c r="C91" s="1" t="s">
        <v>50</v>
      </c>
      <c r="D91" s="1" t="s">
        <v>1001</v>
      </c>
      <c r="E91" s="1" t="s">
        <v>1002</v>
      </c>
      <c r="F91" s="22" t="s">
        <v>3</v>
      </c>
      <c r="G91" s="1" t="s">
        <v>6085</v>
      </c>
      <c r="H91" s="1" t="s">
        <v>6</v>
      </c>
      <c r="I91" s="1" t="s">
        <v>20</v>
      </c>
      <c r="J91" s="1" t="s">
        <v>25</v>
      </c>
      <c r="K91" s="1" t="s">
        <v>9</v>
      </c>
      <c r="L91" s="1" t="s">
        <v>53</v>
      </c>
      <c r="M91" s="11" t="s">
        <v>188</v>
      </c>
      <c r="N91" s="1" t="s">
        <v>6037</v>
      </c>
      <c r="O91" s="1" t="s">
        <v>11</v>
      </c>
      <c r="P91" s="1" t="s">
        <v>656</v>
      </c>
      <c r="Q91" s="1" t="s">
        <v>5434</v>
      </c>
      <c r="R91" s="1" t="s">
        <v>1003</v>
      </c>
      <c r="S91" s="1" t="s">
        <v>6053</v>
      </c>
      <c r="T91" s="1" t="s">
        <v>6054</v>
      </c>
      <c r="U91" s="1" t="s">
        <v>6087</v>
      </c>
      <c r="V91" s="1" t="s">
        <v>6170</v>
      </c>
      <c r="W91" s="27">
        <v>85.714285714285708</v>
      </c>
      <c r="X91" s="27">
        <v>82.142857142857139</v>
      </c>
      <c r="Y91" s="33">
        <f>AVERAGE(Table13[[#This Row],[Score 1]],Table13[[#This Row],[Score 2]])</f>
        <v>83.928571428571416</v>
      </c>
      <c r="Z91" s="1">
        <v>5</v>
      </c>
      <c r="AA91" s="1">
        <v>4</v>
      </c>
      <c r="AB91" s="22">
        <f>Table13[[#This Row],[Rank 1]]+Table13[[#This Row],[Rank 2]]</f>
        <v>9</v>
      </c>
      <c r="AC91" s="1" t="str">
        <f>IF(AND(Table13[[#This Row],[Average score]]&gt;75,Table13[[#This Row],[Total rank]]&gt;6.5),"Yes","No")</f>
        <v>Yes</v>
      </c>
      <c r="AD91" s="1" t="str">
        <f>IF(AND(Table13[[#This Row],[Average score]]&gt;80,Table13[[#This Row],[Total rank]]&gt;7.5),"Yes","No")</f>
        <v>Yes</v>
      </c>
      <c r="AF91" s="8">
        <v>46055</v>
      </c>
      <c r="AG91" s="1">
        <v>2</v>
      </c>
      <c r="AH91" s="27">
        <v>127400</v>
      </c>
      <c r="AI91" s="27">
        <v>127400</v>
      </c>
      <c r="AJ91" s="30">
        <v>0</v>
      </c>
      <c r="AK91" s="30">
        <f>Table13[[#This Row],[Year 1]]</f>
        <v>127400</v>
      </c>
      <c r="AL91" s="30">
        <f>Table13[[#This Row],[Year 2]]</f>
        <v>127400</v>
      </c>
      <c r="AM91" s="30">
        <f>Table13[[#This Row],[Year 3]]</f>
        <v>0</v>
      </c>
      <c r="AN91" s="1">
        <v>3</v>
      </c>
    </row>
    <row r="92" spans="1:40" hidden="1" x14ac:dyDescent="0.25">
      <c r="A92" s="2" t="s">
        <v>48</v>
      </c>
      <c r="B92" s="1" t="s">
        <v>1028</v>
      </c>
      <c r="C92" s="2" t="s">
        <v>50</v>
      </c>
      <c r="D92" s="1" t="s">
        <v>1098</v>
      </c>
      <c r="E92" s="2" t="s">
        <v>1099</v>
      </c>
      <c r="F92" s="22" t="s">
        <v>3</v>
      </c>
      <c r="G92" s="1" t="s">
        <v>6085</v>
      </c>
      <c r="H92" s="1" t="s">
        <v>6</v>
      </c>
      <c r="I92" s="1" t="s">
        <v>20</v>
      </c>
      <c r="J92" s="1" t="s">
        <v>25</v>
      </c>
      <c r="K92" s="1" t="s">
        <v>9</v>
      </c>
      <c r="L92" s="1" t="s">
        <v>53</v>
      </c>
      <c r="M92" s="11" t="s">
        <v>188</v>
      </c>
      <c r="N92" s="1" t="s">
        <v>6037</v>
      </c>
      <c r="O92" s="1" t="s">
        <v>11</v>
      </c>
      <c r="P92" s="1" t="s">
        <v>66</v>
      </c>
      <c r="Q92" s="1" t="s">
        <v>5434</v>
      </c>
      <c r="R92" s="1" t="s">
        <v>1420</v>
      </c>
      <c r="S92" s="1" t="s">
        <v>6053</v>
      </c>
      <c r="T92" s="1" t="s">
        <v>6054</v>
      </c>
      <c r="U92" s="1" t="s">
        <v>6087</v>
      </c>
      <c r="V92" s="1" t="s">
        <v>6170</v>
      </c>
      <c r="W92" s="27">
        <v>85.714285714285708</v>
      </c>
      <c r="X92" s="27">
        <v>78.571428571428569</v>
      </c>
      <c r="Y92" s="33">
        <f>AVERAGE(Table13[[#This Row],[Score 1]],Table13[[#This Row],[Score 2]])</f>
        <v>82.142857142857139</v>
      </c>
      <c r="Z92" s="1">
        <v>5</v>
      </c>
      <c r="AA92" s="1">
        <v>4</v>
      </c>
      <c r="AB92" s="22">
        <f>Table13[[#This Row],[Rank 1]]+Table13[[#This Row],[Rank 2]]</f>
        <v>9</v>
      </c>
      <c r="AC92" s="1" t="str">
        <f>IF(AND(Table13[[#This Row],[Average score]]&gt;75,Table13[[#This Row],[Total rank]]&gt;6.5),"Yes","No")</f>
        <v>Yes</v>
      </c>
      <c r="AD92" s="1" t="str">
        <f>IF(AND(Table13[[#This Row],[Average score]]&gt;80,Table13[[#This Row],[Total rank]]&gt;7.5),"Yes","No")</f>
        <v>Yes</v>
      </c>
      <c r="AF92" s="9">
        <v>46023</v>
      </c>
      <c r="AG92" s="2">
        <v>1</v>
      </c>
      <c r="AH92" s="29">
        <v>128800</v>
      </c>
      <c r="AI92" s="30">
        <v>0</v>
      </c>
      <c r="AJ92" s="30">
        <v>0</v>
      </c>
      <c r="AK92" s="30">
        <f>Table13[[#This Row],[Year 1]]</f>
        <v>128800</v>
      </c>
      <c r="AL92" s="30">
        <f>Table13[[#This Row],[Year 2]]</f>
        <v>0</v>
      </c>
      <c r="AM92" s="30">
        <f>Table13[[#This Row],[Year 3]]</f>
        <v>0</v>
      </c>
      <c r="AN92" s="1">
        <v>3</v>
      </c>
    </row>
    <row r="93" spans="1:40" hidden="1" x14ac:dyDescent="0.25">
      <c r="A93" s="1" t="s">
        <v>48</v>
      </c>
      <c r="B93" s="1" t="s">
        <v>1214</v>
      </c>
      <c r="C93" s="1" t="s">
        <v>50</v>
      </c>
      <c r="D93" s="1" t="s">
        <v>1301</v>
      </c>
      <c r="E93" s="1" t="s">
        <v>1302</v>
      </c>
      <c r="F93" s="22" t="s">
        <v>3</v>
      </c>
      <c r="G93" s="1" t="s">
        <v>6085</v>
      </c>
      <c r="H93" s="1" t="s">
        <v>5</v>
      </c>
      <c r="I93" s="1" t="s">
        <v>20</v>
      </c>
      <c r="J93" s="1" t="s">
        <v>26</v>
      </c>
      <c r="K93" s="1" t="s">
        <v>9</v>
      </c>
      <c r="L93" s="1" t="s">
        <v>53</v>
      </c>
      <c r="M93" s="1" t="s">
        <v>5238</v>
      </c>
      <c r="N93" s="1" t="s">
        <v>6037</v>
      </c>
      <c r="O93" s="1" t="s">
        <v>14</v>
      </c>
      <c r="P93" s="1" t="s">
        <v>126</v>
      </c>
      <c r="Q93" s="1" t="s">
        <v>5441</v>
      </c>
      <c r="R93" s="1" t="s">
        <v>1572</v>
      </c>
      <c r="S93" s="1" t="s">
        <v>6145</v>
      </c>
      <c r="T93" s="1" t="s">
        <v>6146</v>
      </c>
      <c r="U93" s="1" t="s">
        <v>6156</v>
      </c>
      <c r="V93" s="1" t="s">
        <v>6169</v>
      </c>
      <c r="W93" s="27">
        <v>92.857142857142861</v>
      </c>
      <c r="X93" s="27">
        <v>60.714285714285708</v>
      </c>
      <c r="Y93" s="33">
        <f>AVERAGE(Table13[[#This Row],[Score 1]],Table13[[#This Row],[Score 2]])</f>
        <v>76.785714285714278</v>
      </c>
      <c r="Z93" s="1">
        <v>5</v>
      </c>
      <c r="AA93" s="1">
        <v>2</v>
      </c>
      <c r="AB93" s="22">
        <f>Table13[[#This Row],[Rank 1]]+Table13[[#This Row],[Rank 2]]</f>
        <v>7</v>
      </c>
      <c r="AC93" s="1" t="str">
        <f>IF(AND(Table13[[#This Row],[Average score]]&gt;75,Table13[[#This Row],[Total rank]]&gt;6.5),"Yes","No")</f>
        <v>Yes</v>
      </c>
      <c r="AD93" s="1" t="str">
        <f>IF(AND(Table13[[#This Row],[Average score]]&gt;80,Table13[[#This Row],[Total rank]]&gt;7.5),"Yes","No")</f>
        <v>No</v>
      </c>
      <c r="AF93" s="8">
        <v>45334</v>
      </c>
      <c r="AG93" s="1">
        <v>2</v>
      </c>
      <c r="AH93" s="30">
        <v>20000</v>
      </c>
      <c r="AI93" s="27">
        <v>-95000</v>
      </c>
      <c r="AJ93" s="30">
        <v>0</v>
      </c>
      <c r="AK93" s="30">
        <f>Table13[[#This Row],[Year 1]]</f>
        <v>20000</v>
      </c>
      <c r="AL93" s="30">
        <f>Table13[[#This Row],[Year 2]]</f>
        <v>-95000</v>
      </c>
      <c r="AM93" s="30">
        <f>Table13[[#This Row],[Year 3]]</f>
        <v>0</v>
      </c>
      <c r="AN93" s="1">
        <v>3</v>
      </c>
    </row>
    <row r="94" spans="1:40" hidden="1" x14ac:dyDescent="0.25">
      <c r="A94" s="1" t="s">
        <v>48</v>
      </c>
      <c r="B94" s="1" t="s">
        <v>1034</v>
      </c>
      <c r="C94" s="1" t="s">
        <v>50</v>
      </c>
      <c r="D94" s="1" t="s">
        <v>1110</v>
      </c>
      <c r="E94" s="1" t="s">
        <v>1111</v>
      </c>
      <c r="F94" s="22" t="s">
        <v>3</v>
      </c>
      <c r="G94" s="1" t="s">
        <v>6085</v>
      </c>
      <c r="H94" s="1" t="s">
        <v>5</v>
      </c>
      <c r="I94" s="1" t="s">
        <v>20</v>
      </c>
      <c r="J94" s="1" t="s">
        <v>26</v>
      </c>
      <c r="K94" s="1" t="s">
        <v>9</v>
      </c>
      <c r="L94" s="1" t="s">
        <v>53</v>
      </c>
      <c r="M94" s="11" t="s">
        <v>188</v>
      </c>
      <c r="N94" s="1" t="s">
        <v>6037</v>
      </c>
      <c r="O94" s="1" t="s">
        <v>10</v>
      </c>
      <c r="P94" s="1" t="s">
        <v>1437</v>
      </c>
      <c r="Q94" s="19" t="s">
        <v>5443</v>
      </c>
      <c r="R94" s="1" t="s">
        <v>1438</v>
      </c>
      <c r="S94" s="1" t="s">
        <v>6045</v>
      </c>
      <c r="T94" s="1" t="s">
        <v>6046</v>
      </c>
      <c r="U94" s="1" t="s">
        <v>6098</v>
      </c>
      <c r="V94" s="1" t="s">
        <v>6190</v>
      </c>
      <c r="W94" s="27">
        <v>67.857142857142861</v>
      </c>
      <c r="X94" s="27">
        <v>60.714285714285708</v>
      </c>
      <c r="Y94" s="33">
        <f>AVERAGE(Table13[[#This Row],[Score 1]],Table13[[#This Row],[Score 2]])</f>
        <v>64.285714285714278</v>
      </c>
      <c r="Z94" s="1">
        <v>3</v>
      </c>
      <c r="AA94" s="1">
        <v>3</v>
      </c>
      <c r="AB94" s="22">
        <f>Table13[[#This Row],[Rank 1]]+Table13[[#This Row],[Rank 2]]</f>
        <v>6</v>
      </c>
      <c r="AC94" s="1" t="str">
        <f>IF(AND(Table13[[#This Row],[Average score]]&gt;75,Table13[[#This Row],[Total rank]]&gt;6.5),"Yes","No")</f>
        <v>No</v>
      </c>
      <c r="AD94" s="1" t="str">
        <f>IF(AND(Table13[[#This Row],[Average score]]&gt;80,Table13[[#This Row],[Total rank]]&gt;7.5),"Yes","No")</f>
        <v>No</v>
      </c>
      <c r="AF94" s="8">
        <v>46055</v>
      </c>
      <c r="AG94" s="1">
        <v>3</v>
      </c>
      <c r="AH94" s="27">
        <v>167000</v>
      </c>
      <c r="AI94" s="27">
        <v>167000</v>
      </c>
      <c r="AJ94" s="27">
        <v>167000</v>
      </c>
      <c r="AK94" s="27">
        <f>Table13[[#This Row],[Year 1]]</f>
        <v>167000</v>
      </c>
      <c r="AL94" s="27">
        <f>Table13[[#This Row],[Year 2]]</f>
        <v>167000</v>
      </c>
      <c r="AM94" s="27">
        <f>Table13[[#This Row],[Year 3]]</f>
        <v>167000</v>
      </c>
      <c r="AN94" s="1">
        <v>2</v>
      </c>
    </row>
    <row r="95" spans="1:40" hidden="1" x14ac:dyDescent="0.25">
      <c r="A95" s="1" t="s">
        <v>48</v>
      </c>
      <c r="B95" s="1" t="s">
        <v>1035</v>
      </c>
      <c r="C95" s="1" t="s">
        <v>50</v>
      </c>
      <c r="D95" s="1" t="s">
        <v>1112</v>
      </c>
      <c r="E95" s="1" t="s">
        <v>1113</v>
      </c>
      <c r="F95" s="22" t="s">
        <v>3</v>
      </c>
      <c r="G95" s="1" t="s">
        <v>6085</v>
      </c>
      <c r="H95" s="1" t="s">
        <v>5</v>
      </c>
      <c r="I95" s="1" t="s">
        <v>22</v>
      </c>
      <c r="J95" s="1" t="s">
        <v>25</v>
      </c>
      <c r="K95" s="1" t="s">
        <v>9</v>
      </c>
      <c r="L95" s="1" t="s">
        <v>53</v>
      </c>
      <c r="M95" s="1" t="s">
        <v>1190</v>
      </c>
      <c r="N95" s="1" t="s">
        <v>6037</v>
      </c>
      <c r="O95" s="1" t="s">
        <v>15</v>
      </c>
      <c r="P95" s="1" t="s">
        <v>593</v>
      </c>
      <c r="Q95" s="1" t="s">
        <v>5380</v>
      </c>
      <c r="R95" s="1" t="s">
        <v>1439</v>
      </c>
      <c r="S95" s="1" t="s">
        <v>6057</v>
      </c>
      <c r="T95" s="1" t="s">
        <v>6058</v>
      </c>
      <c r="U95" s="1" t="s">
        <v>6095</v>
      </c>
      <c r="V95" s="1" t="s">
        <v>6186</v>
      </c>
      <c r="W95" s="27">
        <v>67.857142857142861</v>
      </c>
      <c r="X95" s="27">
        <v>57.142857142857139</v>
      </c>
      <c r="Y95" s="33">
        <f>AVERAGE(Table13[[#This Row],[Score 1]],Table13[[#This Row],[Score 2]])</f>
        <v>62.5</v>
      </c>
      <c r="Z95" s="1">
        <v>3</v>
      </c>
      <c r="AA95" s="1">
        <v>1</v>
      </c>
      <c r="AB95" s="22">
        <f>Table13[[#This Row],[Rank 1]]+Table13[[#This Row],[Rank 2]]</f>
        <v>4</v>
      </c>
      <c r="AC95" s="1" t="str">
        <f>IF(AND(Table13[[#This Row],[Average score]]&gt;75,Table13[[#This Row],[Total rank]]&gt;6.5),"Yes","No")</f>
        <v>No</v>
      </c>
      <c r="AD95" s="1" t="str">
        <f>IF(AND(Table13[[#This Row],[Average score]]&gt;80,Table13[[#This Row],[Total rank]]&gt;7.5),"Yes","No")</f>
        <v>No</v>
      </c>
      <c r="AF95" s="8">
        <v>45839</v>
      </c>
      <c r="AG95" s="1">
        <v>3</v>
      </c>
      <c r="AH95" s="27">
        <v>10073</v>
      </c>
      <c r="AI95" s="27">
        <v>25000</v>
      </c>
      <c r="AJ95" s="27">
        <v>25000</v>
      </c>
      <c r="AK95" s="27">
        <f>Table13[[#This Row],[Year 1]]</f>
        <v>10073</v>
      </c>
      <c r="AL95" s="27">
        <f>Table13[[#This Row],[Year 2]]</f>
        <v>25000</v>
      </c>
      <c r="AM95" s="27">
        <f>Table13[[#This Row],[Year 3]]</f>
        <v>25000</v>
      </c>
      <c r="AN95" s="1">
        <v>3</v>
      </c>
    </row>
    <row r="96" spans="1:40" hidden="1" x14ac:dyDescent="0.25">
      <c r="A96" s="1" t="s">
        <v>48</v>
      </c>
      <c r="B96" s="1" t="s">
        <v>1036</v>
      </c>
      <c r="C96" s="1" t="s">
        <v>50</v>
      </c>
      <c r="D96" s="1" t="s">
        <v>1114</v>
      </c>
      <c r="E96" s="1" t="s">
        <v>1115</v>
      </c>
      <c r="F96" s="22" t="s">
        <v>3</v>
      </c>
      <c r="G96" s="1" t="s">
        <v>6085</v>
      </c>
      <c r="H96" s="1" t="s">
        <v>6</v>
      </c>
      <c r="I96" s="1" t="s">
        <v>24</v>
      </c>
      <c r="J96" s="1" t="s">
        <v>26</v>
      </c>
      <c r="K96" s="1" t="s">
        <v>9</v>
      </c>
      <c r="L96" s="1" t="s">
        <v>53</v>
      </c>
      <c r="M96" s="11" t="s">
        <v>188</v>
      </c>
      <c r="N96" s="1" t="s">
        <v>6037</v>
      </c>
      <c r="O96" s="1" t="s">
        <v>16</v>
      </c>
      <c r="P96" s="1" t="s">
        <v>247</v>
      </c>
      <c r="Q96" s="1" t="s">
        <v>5444</v>
      </c>
      <c r="R96" s="1" t="s">
        <v>1441</v>
      </c>
      <c r="S96" s="1" t="s">
        <v>6109</v>
      </c>
      <c r="T96" s="1" t="s">
        <v>6124</v>
      </c>
      <c r="U96" s="1" t="s">
        <v>6125</v>
      </c>
      <c r="V96" s="1" t="s">
        <v>6132</v>
      </c>
      <c r="W96" s="27">
        <v>67.857142857142861</v>
      </c>
      <c r="X96" s="27">
        <v>75</v>
      </c>
      <c r="Y96" s="33">
        <f>AVERAGE(Table13[[#This Row],[Score 1]],Table13[[#This Row],[Score 2]])</f>
        <v>71.428571428571431</v>
      </c>
      <c r="Z96" s="1">
        <v>2</v>
      </c>
      <c r="AA96" s="1">
        <v>4</v>
      </c>
      <c r="AB96" s="22">
        <f>Table13[[#This Row],[Rank 1]]+Table13[[#This Row],[Rank 2]]</f>
        <v>6</v>
      </c>
      <c r="AC96" s="1" t="str">
        <f>IF(AND(Table13[[#This Row],[Average score]]&gt;75,Table13[[#This Row],[Total rank]]&gt;6.5),"Yes","No")</f>
        <v>No</v>
      </c>
      <c r="AD96" s="1" t="str">
        <f>IF(AND(Table13[[#This Row],[Average score]]&gt;80,Table13[[#This Row],[Total rank]]&gt;7.5),"Yes","No")</f>
        <v>No</v>
      </c>
      <c r="AF96" s="8">
        <v>45658</v>
      </c>
      <c r="AG96" s="1">
        <v>1</v>
      </c>
      <c r="AH96" s="27">
        <v>170000</v>
      </c>
      <c r="AI96" s="30">
        <v>0</v>
      </c>
      <c r="AJ96" s="30">
        <v>0</v>
      </c>
      <c r="AK96" s="30">
        <f>Table13[[#This Row],[Year 1]]</f>
        <v>170000</v>
      </c>
      <c r="AL96" s="30">
        <f>Table13[[#This Row],[Year 2]]</f>
        <v>0</v>
      </c>
      <c r="AM96" s="30">
        <f>Table13[[#This Row],[Year 3]]</f>
        <v>0</v>
      </c>
      <c r="AN96" s="1">
        <v>3</v>
      </c>
    </row>
    <row r="97" spans="1:40" hidden="1" x14ac:dyDescent="0.25">
      <c r="A97" s="1" t="s">
        <v>48</v>
      </c>
      <c r="B97" s="1" t="s">
        <v>1042</v>
      </c>
      <c r="C97" s="1" t="s">
        <v>50</v>
      </c>
      <c r="D97" s="1" t="s">
        <v>1126</v>
      </c>
      <c r="E97" s="1" t="s">
        <v>1127</v>
      </c>
      <c r="F97" s="22" t="s">
        <v>3</v>
      </c>
      <c r="G97" s="1" t="s">
        <v>6085</v>
      </c>
      <c r="H97" s="1" t="s">
        <v>7</v>
      </c>
      <c r="I97" s="1" t="s">
        <v>20</v>
      </c>
      <c r="J97" s="1" t="s">
        <v>26</v>
      </c>
      <c r="K97" s="1" t="s">
        <v>9</v>
      </c>
      <c r="L97" s="1" t="s">
        <v>53</v>
      </c>
      <c r="M97" s="11" t="s">
        <v>188</v>
      </c>
      <c r="N97" s="1" t="s">
        <v>6037</v>
      </c>
      <c r="O97" s="1" t="s">
        <v>10</v>
      </c>
      <c r="P97" s="1" t="s">
        <v>60</v>
      </c>
      <c r="Q97" s="17" t="s">
        <v>4143</v>
      </c>
      <c r="R97" s="1" t="s">
        <v>1452</v>
      </c>
      <c r="S97" s="1" t="s">
        <v>6043</v>
      </c>
      <c r="T97" s="1" t="s">
        <v>6044</v>
      </c>
      <c r="U97" s="1" t="s">
        <v>6091</v>
      </c>
      <c r="V97" s="1" t="s">
        <v>6175</v>
      </c>
      <c r="W97" s="27">
        <v>83.333333333333343</v>
      </c>
      <c r="X97" s="27">
        <v>83.333333333333343</v>
      </c>
      <c r="Y97" s="33">
        <f>AVERAGE(Table13[[#This Row],[Score 1]],Table13[[#This Row],[Score 2]])</f>
        <v>83.333333333333343</v>
      </c>
      <c r="Z97" s="1">
        <v>5</v>
      </c>
      <c r="AA97" s="1">
        <v>4</v>
      </c>
      <c r="AB97" s="22">
        <f>Table13[[#This Row],[Rank 1]]+Table13[[#This Row],[Rank 2]]</f>
        <v>9</v>
      </c>
      <c r="AC97" s="1" t="str">
        <f>IF(AND(Table13[[#This Row],[Average score]]&gt;75,Table13[[#This Row],[Total rank]]&gt;6.5),"Yes","No")</f>
        <v>Yes</v>
      </c>
      <c r="AD97" s="1" t="str">
        <f>IF(AND(Table13[[#This Row],[Average score]]&gt;80,Table13[[#This Row],[Total rank]]&gt;7.5),"Yes","No")</f>
        <v>Yes</v>
      </c>
      <c r="AF97" s="8">
        <v>46034</v>
      </c>
      <c r="AG97" s="1">
        <v>2</v>
      </c>
      <c r="AH97" s="27">
        <v>350000</v>
      </c>
      <c r="AI97" s="27">
        <v>350000</v>
      </c>
      <c r="AJ97" s="30">
        <v>0</v>
      </c>
      <c r="AK97" s="30">
        <f>Table13[[#This Row],[Year 1]]</f>
        <v>350000</v>
      </c>
      <c r="AL97" s="30">
        <f>Table13[[#This Row],[Year 2]]</f>
        <v>350000</v>
      </c>
      <c r="AM97" s="30">
        <f>Table13[[#This Row],[Year 3]]</f>
        <v>0</v>
      </c>
      <c r="AN97" s="1">
        <v>3</v>
      </c>
    </row>
    <row r="98" spans="1:40" hidden="1" x14ac:dyDescent="0.25">
      <c r="A98" s="1" t="s">
        <v>48</v>
      </c>
      <c r="B98" s="1" t="s">
        <v>1046</v>
      </c>
      <c r="C98" s="1" t="s">
        <v>50</v>
      </c>
      <c r="D98" s="1" t="s">
        <v>1134</v>
      </c>
      <c r="E98" s="1" t="s">
        <v>1135</v>
      </c>
      <c r="F98" s="22" t="s">
        <v>3</v>
      </c>
      <c r="G98" s="1" t="s">
        <v>6085</v>
      </c>
      <c r="H98" s="1" t="s">
        <v>6</v>
      </c>
      <c r="I98" s="1" t="s">
        <v>20</v>
      </c>
      <c r="J98" s="1" t="s">
        <v>26</v>
      </c>
      <c r="K98" s="1" t="s">
        <v>9</v>
      </c>
      <c r="L98" s="1" t="s">
        <v>53</v>
      </c>
      <c r="M98" s="11" t="s">
        <v>188</v>
      </c>
      <c r="N98" s="1" t="s">
        <v>6037</v>
      </c>
      <c r="O98" s="1" t="s">
        <v>11</v>
      </c>
      <c r="P98" s="1" t="s">
        <v>1459</v>
      </c>
      <c r="Q98" s="1" t="s">
        <v>5452</v>
      </c>
      <c r="R98" s="1" t="s">
        <v>1460</v>
      </c>
      <c r="S98" s="1" t="s">
        <v>6053</v>
      </c>
      <c r="T98" s="1" t="s">
        <v>6054</v>
      </c>
      <c r="U98" s="1" t="s">
        <v>6087</v>
      </c>
      <c r="V98" s="1" t="s">
        <v>6170</v>
      </c>
      <c r="W98" s="27">
        <v>92.857142857142861</v>
      </c>
      <c r="X98" s="27">
        <v>64.285714285714292</v>
      </c>
      <c r="Y98" s="33">
        <f>AVERAGE(Table13[[#This Row],[Score 1]],Table13[[#This Row],[Score 2]])</f>
        <v>78.571428571428584</v>
      </c>
      <c r="Z98" s="1">
        <v>5</v>
      </c>
      <c r="AA98" s="1">
        <v>3</v>
      </c>
      <c r="AB98" s="22">
        <f>Table13[[#This Row],[Rank 1]]+Table13[[#This Row],[Rank 2]]</f>
        <v>8</v>
      </c>
      <c r="AC98" s="1" t="str">
        <f>IF(AND(Table13[[#This Row],[Average score]]&gt;75,Table13[[#This Row],[Total rank]]&gt;6.5),"Yes","No")</f>
        <v>Yes</v>
      </c>
      <c r="AD98" s="1" t="str">
        <f>IF(AND(Table13[[#This Row],[Average score]]&gt;80,Table13[[#This Row],[Total rank]]&gt;7.5),"Yes","No")</f>
        <v>No</v>
      </c>
      <c r="AF98" s="8">
        <v>45689</v>
      </c>
      <c r="AG98" s="1">
        <v>1</v>
      </c>
      <c r="AH98" s="27">
        <v>70000</v>
      </c>
      <c r="AI98" s="30">
        <v>0</v>
      </c>
      <c r="AJ98" s="30">
        <v>0</v>
      </c>
      <c r="AK98" s="30">
        <f>Table13[[#This Row],[Year 1]]</f>
        <v>70000</v>
      </c>
      <c r="AL98" s="30">
        <f>Table13[[#This Row],[Year 2]]</f>
        <v>0</v>
      </c>
      <c r="AM98" s="30">
        <f>Table13[[#This Row],[Year 3]]</f>
        <v>0</v>
      </c>
      <c r="AN98" s="1">
        <v>5</v>
      </c>
    </row>
    <row r="99" spans="1:40" hidden="1" x14ac:dyDescent="0.25">
      <c r="A99" s="1" t="s">
        <v>48</v>
      </c>
      <c r="B99" s="2" t="s">
        <v>1199</v>
      </c>
      <c r="C99" s="1" t="s">
        <v>50</v>
      </c>
      <c r="D99" s="1" t="s">
        <v>1271</v>
      </c>
      <c r="E99" s="1" t="s">
        <v>1272</v>
      </c>
      <c r="F99" s="22" t="s">
        <v>3</v>
      </c>
      <c r="G99" s="1" t="s">
        <v>6085</v>
      </c>
      <c r="H99" s="1" t="s">
        <v>5</v>
      </c>
      <c r="I99" s="1" t="s">
        <v>20</v>
      </c>
      <c r="J99" s="1" t="s">
        <v>26</v>
      </c>
      <c r="K99" s="1" t="s">
        <v>9</v>
      </c>
      <c r="L99" s="1" t="s">
        <v>53</v>
      </c>
      <c r="M99" s="11" t="s">
        <v>188</v>
      </c>
      <c r="N99" s="1" t="s">
        <v>6037</v>
      </c>
      <c r="O99" s="1" t="s">
        <v>18</v>
      </c>
      <c r="P99" s="1" t="s">
        <v>593</v>
      </c>
      <c r="Q99" s="1" t="s">
        <v>5455</v>
      </c>
      <c r="R99" s="20" t="s">
        <v>1532</v>
      </c>
      <c r="S99" s="1" t="s">
        <v>6059</v>
      </c>
      <c r="T99" s="1" t="s">
        <v>6060</v>
      </c>
      <c r="U99" s="1" t="s">
        <v>6096</v>
      </c>
      <c r="V99" s="1" t="s">
        <v>6214</v>
      </c>
      <c r="W99" s="27">
        <v>53.571428571428569</v>
      </c>
      <c r="X99" s="29">
        <f>Table13[[#This Row],[Score 1]]</f>
        <v>53.571428571428569</v>
      </c>
      <c r="Y99" s="33">
        <f>AVERAGE(Table13[[#This Row],[Score 1]],Table13[[#This Row],[Score 2]])</f>
        <v>53.571428571428569</v>
      </c>
      <c r="Z99" s="1">
        <v>3</v>
      </c>
      <c r="AA99" s="2">
        <f>Table13[[#This Row],[Rank 1]]</f>
        <v>3</v>
      </c>
      <c r="AB99" s="22">
        <f>Table13[[#This Row],[Rank 1]]+Table13[[#This Row],[Rank 2]]</f>
        <v>6</v>
      </c>
      <c r="AC99" s="1" t="str">
        <f>IF(AND(Table13[[#This Row],[Average score]]&gt;75,Table13[[#This Row],[Total rank]]&gt;6.5),"Yes","No")</f>
        <v>No</v>
      </c>
      <c r="AD99" s="1" t="str">
        <f>IF(AND(Table13[[#This Row],[Average score]]&gt;80,Table13[[#This Row],[Total rank]]&gt;7.5),"Yes","No")</f>
        <v>No</v>
      </c>
      <c r="AF99" s="8">
        <v>45839</v>
      </c>
      <c r="AG99" s="1">
        <v>3</v>
      </c>
      <c r="AH99" s="27">
        <v>50000</v>
      </c>
      <c r="AI99" s="27">
        <v>50000</v>
      </c>
      <c r="AJ99" s="27">
        <v>50000</v>
      </c>
      <c r="AK99" s="27">
        <f>Table13[[#This Row],[Year 1]]</f>
        <v>50000</v>
      </c>
      <c r="AL99" s="27">
        <f>Table13[[#This Row],[Year 2]]</f>
        <v>50000</v>
      </c>
      <c r="AM99" s="27">
        <f>Table13[[#This Row],[Year 3]]</f>
        <v>50000</v>
      </c>
      <c r="AN99" s="1">
        <v>3</v>
      </c>
    </row>
    <row r="100" spans="1:40" hidden="1" x14ac:dyDescent="0.25">
      <c r="A100" s="1" t="s">
        <v>48</v>
      </c>
      <c r="B100" s="10" t="s">
        <v>1054</v>
      </c>
      <c r="C100" s="1" t="s">
        <v>50</v>
      </c>
      <c r="D100" s="1" t="s">
        <v>1150</v>
      </c>
      <c r="E100" s="1" t="s">
        <v>1151</v>
      </c>
      <c r="F100" s="22" t="s">
        <v>3</v>
      </c>
      <c r="G100" s="1" t="s">
        <v>6085</v>
      </c>
      <c r="H100" s="1" t="s">
        <v>6</v>
      </c>
      <c r="I100" s="1" t="s">
        <v>20</v>
      </c>
      <c r="J100" s="1" t="s">
        <v>26</v>
      </c>
      <c r="K100" s="1" t="s">
        <v>9</v>
      </c>
      <c r="L100" s="1" t="s">
        <v>53</v>
      </c>
      <c r="M100" s="11" t="s">
        <v>188</v>
      </c>
      <c r="N100" s="1" t="s">
        <v>6037</v>
      </c>
      <c r="O100" s="1" t="s">
        <v>16</v>
      </c>
      <c r="P100" s="1" t="s">
        <v>656</v>
      </c>
      <c r="Q100" s="1" t="s">
        <v>5460</v>
      </c>
      <c r="R100" s="1" t="s">
        <v>1474</v>
      </c>
      <c r="S100" s="1" t="s">
        <v>6113</v>
      </c>
      <c r="T100" s="1" t="s">
        <v>6114</v>
      </c>
      <c r="U100" s="2" t="s">
        <v>6128</v>
      </c>
      <c r="V100" s="1" t="s">
        <v>6182</v>
      </c>
      <c r="W100" s="29">
        <f>Table13[[#This Row],[Score 2]]</f>
        <v>57.142857142857139</v>
      </c>
      <c r="X100" s="27">
        <v>57.142857142857139</v>
      </c>
      <c r="Y100" s="33">
        <f>AVERAGE(Table13[[#This Row],[Score 1]],Table13[[#This Row],[Score 2]])</f>
        <v>57.142857142857139</v>
      </c>
      <c r="Z100" s="2">
        <f>Table13[[#This Row],[Rank 2]]</f>
        <v>2</v>
      </c>
      <c r="AA100" s="1">
        <v>2</v>
      </c>
      <c r="AB100" s="22">
        <f>Table13[[#This Row],[Rank 1]]+Table13[[#This Row],[Rank 2]]</f>
        <v>4</v>
      </c>
      <c r="AC100" s="1" t="str">
        <f>IF(AND(Table13[[#This Row],[Average score]]&gt;75,Table13[[#This Row],[Total rank]]&gt;6.5),"Yes","No")</f>
        <v>No</v>
      </c>
      <c r="AD100" s="1" t="str">
        <f>IF(AND(Table13[[#This Row],[Average score]]&gt;80,Table13[[#This Row],[Total rank]]&gt;7.5),"Yes","No")</f>
        <v>No</v>
      </c>
      <c r="AF100" s="8">
        <v>46023</v>
      </c>
      <c r="AG100" s="1">
        <v>2</v>
      </c>
      <c r="AH100" s="27">
        <v>145000</v>
      </c>
      <c r="AI100" s="27">
        <v>145000</v>
      </c>
      <c r="AJ100" s="30">
        <v>0</v>
      </c>
      <c r="AK100" s="30">
        <f>Table13[[#This Row],[Year 1]]</f>
        <v>145000</v>
      </c>
      <c r="AL100" s="30">
        <f>Table13[[#This Row],[Year 2]]</f>
        <v>145000</v>
      </c>
      <c r="AM100" s="30">
        <f>Table13[[#This Row],[Year 3]]</f>
        <v>0</v>
      </c>
      <c r="AN100" s="1">
        <v>3</v>
      </c>
    </row>
    <row r="101" spans="1:40" hidden="1" x14ac:dyDescent="0.25">
      <c r="A101" s="1" t="s">
        <v>48</v>
      </c>
      <c r="B101" s="1" t="s">
        <v>1216</v>
      </c>
      <c r="C101" s="1" t="s">
        <v>50</v>
      </c>
      <c r="D101" s="1" t="s">
        <v>1305</v>
      </c>
      <c r="E101" s="1" t="s">
        <v>1306</v>
      </c>
      <c r="F101" s="22" t="s">
        <v>3</v>
      </c>
      <c r="G101" s="1" t="s">
        <v>6085</v>
      </c>
      <c r="H101" s="1" t="s">
        <v>6</v>
      </c>
      <c r="I101" s="1" t="s">
        <v>20</v>
      </c>
      <c r="J101" s="1" t="s">
        <v>25</v>
      </c>
      <c r="K101" s="1" t="s">
        <v>9</v>
      </c>
      <c r="L101" s="1" t="s">
        <v>53</v>
      </c>
      <c r="M101" s="11" t="s">
        <v>188</v>
      </c>
      <c r="N101" s="1" t="s">
        <v>6037</v>
      </c>
      <c r="O101" s="1" t="s">
        <v>19</v>
      </c>
      <c r="P101" s="1" t="s">
        <v>656</v>
      </c>
      <c r="Q101" s="1" t="s">
        <v>5461</v>
      </c>
      <c r="R101" s="1" t="s">
        <v>1577</v>
      </c>
      <c r="S101" s="1" t="s">
        <v>6137</v>
      </c>
      <c r="T101" s="1" t="s">
        <v>6138</v>
      </c>
      <c r="U101" s="1" t="s">
        <v>6160</v>
      </c>
      <c r="V101" s="1" t="s">
        <v>6203</v>
      </c>
      <c r="W101" s="27">
        <v>85.714285714285708</v>
      </c>
      <c r="X101" s="27">
        <v>67.857142857142861</v>
      </c>
      <c r="Y101" s="33">
        <f>AVERAGE(Table13[[#This Row],[Score 1]],Table13[[#This Row],[Score 2]])</f>
        <v>76.785714285714278</v>
      </c>
      <c r="Z101" s="1">
        <v>4</v>
      </c>
      <c r="AA101" s="1">
        <v>3</v>
      </c>
      <c r="AB101" s="22">
        <f>Table13[[#This Row],[Rank 1]]+Table13[[#This Row],[Rank 2]]</f>
        <v>7</v>
      </c>
      <c r="AC101" s="1" t="str">
        <f>IF(AND(Table13[[#This Row],[Average score]]&gt;75,Table13[[#This Row],[Total rank]]&gt;6.5),"Yes","No")</f>
        <v>Yes</v>
      </c>
      <c r="AD101" s="1" t="str">
        <f>IF(AND(Table13[[#This Row],[Average score]]&gt;80,Table13[[#This Row],[Total rank]]&gt;7.5),"Yes","No")</f>
        <v>No</v>
      </c>
      <c r="AF101" s="8">
        <v>45691</v>
      </c>
      <c r="AG101" s="1">
        <v>2</v>
      </c>
      <c r="AH101" s="27">
        <v>79000</v>
      </c>
      <c r="AI101" s="27">
        <v>85000</v>
      </c>
      <c r="AJ101" s="30">
        <v>0</v>
      </c>
      <c r="AK101" s="30">
        <f>Table13[[#This Row],[Year 1]]</f>
        <v>79000</v>
      </c>
      <c r="AL101" s="30">
        <f>Table13[[#This Row],[Year 2]]</f>
        <v>85000</v>
      </c>
      <c r="AM101" s="30">
        <f>Table13[[#This Row],[Year 3]]</f>
        <v>0</v>
      </c>
      <c r="AN101" s="1">
        <v>3</v>
      </c>
    </row>
    <row r="102" spans="1:40" hidden="1" x14ac:dyDescent="0.25">
      <c r="A102" s="1" t="s">
        <v>48</v>
      </c>
      <c r="B102" s="1" t="s">
        <v>1055</v>
      </c>
      <c r="C102" s="1" t="s">
        <v>50</v>
      </c>
      <c r="D102" s="1" t="s">
        <v>1152</v>
      </c>
      <c r="E102" s="1" t="s">
        <v>1153</v>
      </c>
      <c r="F102" s="22" t="s">
        <v>2</v>
      </c>
      <c r="G102" s="1" t="s">
        <v>6085</v>
      </c>
      <c r="H102" s="1" t="s">
        <v>6</v>
      </c>
      <c r="I102" s="1" t="s">
        <v>20</v>
      </c>
      <c r="J102" s="1" t="s">
        <v>25</v>
      </c>
      <c r="K102" s="1" t="s">
        <v>9</v>
      </c>
      <c r="L102" s="1" t="s">
        <v>53</v>
      </c>
      <c r="M102" s="1" t="s">
        <v>1012</v>
      </c>
      <c r="N102" s="1" t="s">
        <v>6037</v>
      </c>
      <c r="O102" s="1" t="s">
        <v>14</v>
      </c>
      <c r="P102" s="1" t="s">
        <v>1476</v>
      </c>
      <c r="Q102" s="1" t="s">
        <v>5462</v>
      </c>
      <c r="R102" s="1" t="s">
        <v>1477</v>
      </c>
      <c r="S102" s="1" t="s">
        <v>6145</v>
      </c>
      <c r="T102" s="1" t="s">
        <v>6146</v>
      </c>
      <c r="U102" s="1" t="s">
        <v>6156</v>
      </c>
      <c r="V102" s="1" t="s">
        <v>6169</v>
      </c>
      <c r="W102" s="27">
        <v>67.857142857142861</v>
      </c>
      <c r="X102" s="27">
        <v>67.857142857142861</v>
      </c>
      <c r="Y102" s="33">
        <f>AVERAGE(Table13[[#This Row],[Score 1]],Table13[[#This Row],[Score 2]])</f>
        <v>67.857142857142861</v>
      </c>
      <c r="Z102" s="1">
        <v>3</v>
      </c>
      <c r="AA102" s="1">
        <v>3</v>
      </c>
      <c r="AB102" s="22">
        <f>Table13[[#This Row],[Rank 1]]+Table13[[#This Row],[Rank 2]]</f>
        <v>6</v>
      </c>
      <c r="AC102" s="1" t="str">
        <f>IF(AND(Table13[[#This Row],[Average score]]&gt;75,Table13[[#This Row],[Total rank]]&gt;6.5),"Yes","No")</f>
        <v>No</v>
      </c>
      <c r="AD102" s="1" t="str">
        <f>IF(AND(Table13[[#This Row],[Average score]]&gt;80,Table13[[#This Row],[Total rank]]&gt;7.5),"Yes","No")</f>
        <v>No</v>
      </c>
      <c r="AF102" s="8">
        <v>46035</v>
      </c>
      <c r="AG102" s="1">
        <v>2</v>
      </c>
      <c r="AH102" s="27">
        <v>75730</v>
      </c>
      <c r="AI102" s="27">
        <v>30000</v>
      </c>
      <c r="AJ102" s="30">
        <v>0</v>
      </c>
      <c r="AK102" s="30">
        <f>Table13[[#This Row],[Year 1]]</f>
        <v>75730</v>
      </c>
      <c r="AL102" s="30">
        <f>Table13[[#This Row],[Year 2]]</f>
        <v>30000</v>
      </c>
      <c r="AM102" s="30">
        <f>Table13[[#This Row],[Year 3]]</f>
        <v>0</v>
      </c>
      <c r="AN102" s="1">
        <v>2</v>
      </c>
    </row>
    <row r="103" spans="1:40" hidden="1" x14ac:dyDescent="0.25">
      <c r="A103" s="1" t="s">
        <v>48</v>
      </c>
      <c r="B103" s="1" t="s">
        <v>1059</v>
      </c>
      <c r="C103" s="1" t="s">
        <v>50</v>
      </c>
      <c r="D103" s="1" t="s">
        <v>1160</v>
      </c>
      <c r="E103" s="1" t="s">
        <v>1161</v>
      </c>
      <c r="F103" s="22" t="s">
        <v>3</v>
      </c>
      <c r="G103" s="1" t="s">
        <v>6085</v>
      </c>
      <c r="H103" s="1" t="s">
        <v>5</v>
      </c>
      <c r="I103" s="1" t="s">
        <v>22</v>
      </c>
      <c r="J103" s="1" t="s">
        <v>26</v>
      </c>
      <c r="K103" s="1" t="s">
        <v>9</v>
      </c>
      <c r="L103" s="1" t="s">
        <v>53</v>
      </c>
      <c r="M103" s="11" t="s">
        <v>188</v>
      </c>
      <c r="N103" s="1" t="s">
        <v>6037</v>
      </c>
      <c r="O103" s="1" t="s">
        <v>12</v>
      </c>
      <c r="P103" s="1" t="s">
        <v>60</v>
      </c>
      <c r="Q103" s="1" t="s">
        <v>5465</v>
      </c>
      <c r="R103" s="1" t="s">
        <v>1485</v>
      </c>
      <c r="S103" s="1" t="s">
        <v>6155</v>
      </c>
      <c r="T103" s="1" t="s">
        <v>6154</v>
      </c>
      <c r="U103" s="1" t="s">
        <v>6164</v>
      </c>
      <c r="V103" s="1" t="s">
        <v>6167</v>
      </c>
      <c r="W103" s="27">
        <v>67.857142857142861</v>
      </c>
      <c r="X103" s="27">
        <v>64.285714285714292</v>
      </c>
      <c r="Y103" s="33">
        <f>AVERAGE(Table13[[#This Row],[Score 1]],Table13[[#This Row],[Score 2]])</f>
        <v>66.071428571428584</v>
      </c>
      <c r="Z103" s="1">
        <v>3</v>
      </c>
      <c r="AA103" s="1">
        <v>3</v>
      </c>
      <c r="AB103" s="22">
        <f>Table13[[#This Row],[Rank 1]]+Table13[[#This Row],[Rank 2]]</f>
        <v>6</v>
      </c>
      <c r="AC103" s="1" t="str">
        <f>IF(AND(Table13[[#This Row],[Average score]]&gt;75,Table13[[#This Row],[Total rank]]&gt;6.5),"Yes","No")</f>
        <v>No</v>
      </c>
      <c r="AD103" s="1" t="str">
        <f>IF(AND(Table13[[#This Row],[Average score]]&gt;80,Table13[[#This Row],[Total rank]]&gt;7.5),"Yes","No")</f>
        <v>No</v>
      </c>
      <c r="AF103" s="8">
        <v>45689</v>
      </c>
      <c r="AG103" s="1">
        <v>2</v>
      </c>
      <c r="AH103" s="27">
        <v>151885</v>
      </c>
      <c r="AI103" s="27">
        <v>151885</v>
      </c>
      <c r="AJ103" s="30">
        <v>0</v>
      </c>
      <c r="AK103" s="30">
        <f>Table13[[#This Row],[Year 1]]</f>
        <v>151885</v>
      </c>
      <c r="AL103" s="30">
        <f>Table13[[#This Row],[Year 2]]</f>
        <v>151885</v>
      </c>
      <c r="AM103" s="30">
        <f>Table13[[#This Row],[Year 3]]</f>
        <v>0</v>
      </c>
      <c r="AN103" s="1">
        <v>3</v>
      </c>
    </row>
    <row r="104" spans="1:40" hidden="1" x14ac:dyDescent="0.25">
      <c r="A104" s="1" t="s">
        <v>48</v>
      </c>
      <c r="B104" s="1" t="s">
        <v>1061</v>
      </c>
      <c r="C104" s="1" t="s">
        <v>50</v>
      </c>
      <c r="D104" s="1" t="s">
        <v>1164</v>
      </c>
      <c r="E104" s="1" t="s">
        <v>1165</v>
      </c>
      <c r="F104" s="22" t="s">
        <v>3</v>
      </c>
      <c r="G104" s="1" t="s">
        <v>6085</v>
      </c>
      <c r="H104" s="1" t="s">
        <v>6</v>
      </c>
      <c r="I104" s="1" t="s">
        <v>21</v>
      </c>
      <c r="J104" s="1" t="s">
        <v>25</v>
      </c>
      <c r="K104" s="1" t="s">
        <v>9</v>
      </c>
      <c r="L104" s="1" t="s">
        <v>53</v>
      </c>
      <c r="M104" s="11" t="s">
        <v>188</v>
      </c>
      <c r="N104" s="1" t="s">
        <v>6037</v>
      </c>
      <c r="O104" s="1" t="s">
        <v>14</v>
      </c>
      <c r="P104" s="1" t="s">
        <v>656</v>
      </c>
      <c r="Q104" s="1" t="s">
        <v>5306</v>
      </c>
      <c r="R104" s="1" t="s">
        <v>1490</v>
      </c>
      <c r="S104" s="1" t="s">
        <v>6145</v>
      </c>
      <c r="T104" s="1" t="s">
        <v>6146</v>
      </c>
      <c r="U104" s="1" t="s">
        <v>6156</v>
      </c>
      <c r="V104" s="1" t="s">
        <v>6169</v>
      </c>
      <c r="W104" s="27">
        <v>71.428571428571431</v>
      </c>
      <c r="X104" s="27">
        <v>71.428571428571431</v>
      </c>
      <c r="Y104" s="33">
        <f>AVERAGE(Table13[[#This Row],[Score 1]],Table13[[#This Row],[Score 2]])</f>
        <v>71.428571428571431</v>
      </c>
      <c r="Z104" s="1">
        <v>4</v>
      </c>
      <c r="AA104" s="1">
        <v>3</v>
      </c>
      <c r="AB104" s="22">
        <f>Table13[[#This Row],[Rank 1]]+Table13[[#This Row],[Rank 2]]</f>
        <v>7</v>
      </c>
      <c r="AC104" s="1" t="str">
        <f>IF(AND(Table13[[#This Row],[Average score]]&gt;75,Table13[[#This Row],[Total rank]]&gt;6.5),"Yes","No")</f>
        <v>No</v>
      </c>
      <c r="AD104" s="1" t="str">
        <f>IF(AND(Table13[[#This Row],[Average score]]&gt;80,Table13[[#This Row],[Total rank]]&gt;7.5),"Yes","No")</f>
        <v>No</v>
      </c>
      <c r="AF104" s="8">
        <v>45838</v>
      </c>
      <c r="AG104" s="1">
        <v>2</v>
      </c>
      <c r="AH104" s="27">
        <v>23900</v>
      </c>
      <c r="AI104" s="27">
        <v>36100</v>
      </c>
      <c r="AJ104" s="30">
        <v>0</v>
      </c>
      <c r="AK104" s="30">
        <f>Table13[[#This Row],[Year 1]]</f>
        <v>23900</v>
      </c>
      <c r="AL104" s="30">
        <f>Table13[[#This Row],[Year 2]]</f>
        <v>36100</v>
      </c>
      <c r="AM104" s="30">
        <f>Table13[[#This Row],[Year 3]]</f>
        <v>0</v>
      </c>
      <c r="AN104" s="1">
        <v>3</v>
      </c>
    </row>
    <row r="105" spans="1:40" hidden="1" x14ac:dyDescent="0.25">
      <c r="A105" s="1" t="s">
        <v>48</v>
      </c>
      <c r="B105" s="1" t="s">
        <v>1211</v>
      </c>
      <c r="C105" s="1" t="s">
        <v>50</v>
      </c>
      <c r="D105" s="1" t="s">
        <v>1295</v>
      </c>
      <c r="E105" s="1" t="s">
        <v>1296</v>
      </c>
      <c r="F105" s="22" t="s">
        <v>3</v>
      </c>
      <c r="G105" s="1" t="s">
        <v>6085</v>
      </c>
      <c r="H105" s="1" t="s">
        <v>5</v>
      </c>
      <c r="I105" s="1" t="s">
        <v>20</v>
      </c>
      <c r="J105" s="1" t="s">
        <v>26</v>
      </c>
      <c r="K105" s="1" t="s">
        <v>9</v>
      </c>
      <c r="L105" s="1" t="s">
        <v>53</v>
      </c>
      <c r="M105" s="1" t="s">
        <v>6033</v>
      </c>
      <c r="N105" s="1" t="s">
        <v>6037</v>
      </c>
      <c r="O105" s="1" t="s">
        <v>13</v>
      </c>
      <c r="P105" s="1" t="s">
        <v>656</v>
      </c>
      <c r="Q105" s="1" t="s">
        <v>5468</v>
      </c>
      <c r="R105" s="1" t="s">
        <v>1567</v>
      </c>
      <c r="S105" s="1" t="s">
        <v>6063</v>
      </c>
      <c r="T105" s="1" t="s">
        <v>6076</v>
      </c>
      <c r="U105" s="1" t="s">
        <v>6100</v>
      </c>
      <c r="V105" s="1" t="s">
        <v>6195</v>
      </c>
      <c r="W105" s="27">
        <v>60.714285714285708</v>
      </c>
      <c r="X105" s="27">
        <v>78.571428571428569</v>
      </c>
      <c r="Y105" s="33">
        <f>AVERAGE(Table13[[#This Row],[Score 1]],Table13[[#This Row],[Score 2]])</f>
        <v>69.642857142857139</v>
      </c>
      <c r="Z105" s="1">
        <v>2</v>
      </c>
      <c r="AA105" s="1">
        <v>4</v>
      </c>
      <c r="AB105" s="22">
        <f>Table13[[#This Row],[Rank 1]]+Table13[[#This Row],[Rank 2]]</f>
        <v>6</v>
      </c>
      <c r="AC105" s="1" t="str">
        <f>IF(AND(Table13[[#This Row],[Average score]]&gt;75,Table13[[#This Row],[Total rank]]&gt;6.5),"Yes","No")</f>
        <v>No</v>
      </c>
      <c r="AD105" s="1" t="str">
        <f>IF(AND(Table13[[#This Row],[Average score]]&gt;80,Table13[[#This Row],[Total rank]]&gt;7.5),"Yes","No")</f>
        <v>No</v>
      </c>
      <c r="AF105" s="8">
        <v>45383</v>
      </c>
      <c r="AG105" s="1">
        <v>1</v>
      </c>
      <c r="AH105" s="27">
        <v>120000</v>
      </c>
      <c r="AI105" s="30">
        <v>0</v>
      </c>
      <c r="AJ105" s="30">
        <v>0</v>
      </c>
      <c r="AK105" s="30">
        <f>Table13[[#This Row],[Year 1]]</f>
        <v>120000</v>
      </c>
      <c r="AL105" s="30">
        <f>Table13[[#This Row],[Year 2]]</f>
        <v>0</v>
      </c>
      <c r="AM105" s="30">
        <f>Table13[[#This Row],[Year 3]]</f>
        <v>0</v>
      </c>
      <c r="AN105" s="1">
        <v>3</v>
      </c>
    </row>
    <row r="106" spans="1:40" hidden="1" x14ac:dyDescent="0.25">
      <c r="A106" s="1" t="s">
        <v>48</v>
      </c>
      <c r="B106" s="1" t="s">
        <v>1067</v>
      </c>
      <c r="C106" s="1" t="s">
        <v>50</v>
      </c>
      <c r="D106" s="1" t="s">
        <v>1176</v>
      </c>
      <c r="E106" s="1" t="s">
        <v>1177</v>
      </c>
      <c r="F106" s="22" t="s">
        <v>3</v>
      </c>
      <c r="G106" s="1" t="s">
        <v>6085</v>
      </c>
      <c r="H106" s="1" t="s">
        <v>6</v>
      </c>
      <c r="I106" s="1" t="s">
        <v>24</v>
      </c>
      <c r="J106" s="1" t="s">
        <v>26</v>
      </c>
      <c r="K106" s="1" t="s">
        <v>9</v>
      </c>
      <c r="L106" s="1" t="s">
        <v>53</v>
      </c>
      <c r="M106" s="11" t="s">
        <v>188</v>
      </c>
      <c r="N106" s="1" t="s">
        <v>6037</v>
      </c>
      <c r="O106" s="1" t="s">
        <v>16</v>
      </c>
      <c r="P106" s="1" t="s">
        <v>60</v>
      </c>
      <c r="Q106" s="1" t="s">
        <v>5473</v>
      </c>
      <c r="R106" s="1" t="s">
        <v>1502</v>
      </c>
      <c r="S106" s="1" t="s">
        <v>6117</v>
      </c>
      <c r="T106" s="1" t="s">
        <v>6118</v>
      </c>
      <c r="U106" s="1" t="s">
        <v>6126</v>
      </c>
      <c r="V106" s="1" t="s">
        <v>6177</v>
      </c>
      <c r="W106" s="27">
        <v>82.142857142857139</v>
      </c>
      <c r="X106" s="27">
        <v>85.714285714285708</v>
      </c>
      <c r="Y106" s="33">
        <f>AVERAGE(Table13[[#This Row],[Score 1]],Table13[[#This Row],[Score 2]])</f>
        <v>83.928571428571416</v>
      </c>
      <c r="Z106" s="1">
        <v>4</v>
      </c>
      <c r="AA106" s="1">
        <v>5</v>
      </c>
      <c r="AB106" s="22">
        <f>Table13[[#This Row],[Rank 1]]+Table13[[#This Row],[Rank 2]]</f>
        <v>9</v>
      </c>
      <c r="AC106" s="1" t="str">
        <f>IF(AND(Table13[[#This Row],[Average score]]&gt;75,Table13[[#This Row],[Total rank]]&gt;6.5),"Yes","No")</f>
        <v>Yes</v>
      </c>
      <c r="AD106" s="1" t="str">
        <f>IF(AND(Table13[[#This Row],[Average score]]&gt;80,Table13[[#This Row],[Total rank]]&gt;7.5),"Yes","No")</f>
        <v>Yes</v>
      </c>
      <c r="AF106" s="8">
        <v>46062</v>
      </c>
      <c r="AG106" s="1">
        <v>2</v>
      </c>
      <c r="AH106" s="27">
        <v>143458</v>
      </c>
      <c r="AI106" s="27">
        <v>143458</v>
      </c>
      <c r="AJ106" s="30">
        <v>0</v>
      </c>
      <c r="AK106" s="30">
        <f>Table13[[#This Row],[Year 1]]</f>
        <v>143458</v>
      </c>
      <c r="AL106" s="30">
        <f>Table13[[#This Row],[Year 2]]</f>
        <v>143458</v>
      </c>
      <c r="AM106" s="30">
        <f>Table13[[#This Row],[Year 3]]</f>
        <v>0</v>
      </c>
      <c r="AN106" s="1">
        <v>3</v>
      </c>
    </row>
    <row r="107" spans="1:40" hidden="1" x14ac:dyDescent="0.25">
      <c r="A107" s="1" t="s">
        <v>48</v>
      </c>
      <c r="B107" s="1" t="s">
        <v>1068</v>
      </c>
      <c r="C107" s="1" t="s">
        <v>50</v>
      </c>
      <c r="D107" s="1" t="s">
        <v>1178</v>
      </c>
      <c r="E107" s="1" t="s">
        <v>1179</v>
      </c>
      <c r="F107" s="22" t="s">
        <v>3</v>
      </c>
      <c r="G107" s="1" t="s">
        <v>6085</v>
      </c>
      <c r="H107" s="1" t="s">
        <v>6</v>
      </c>
      <c r="I107" s="1" t="s">
        <v>21</v>
      </c>
      <c r="J107" s="1" t="s">
        <v>25</v>
      </c>
      <c r="K107" s="1" t="s">
        <v>9</v>
      </c>
      <c r="L107" s="1" t="s">
        <v>53</v>
      </c>
      <c r="M107" s="11" t="s">
        <v>188</v>
      </c>
      <c r="N107" s="1" t="s">
        <v>6037</v>
      </c>
      <c r="O107" s="1" t="s">
        <v>14</v>
      </c>
      <c r="P107" s="1" t="s">
        <v>593</v>
      </c>
      <c r="Q107" s="1" t="s">
        <v>5475</v>
      </c>
      <c r="R107" s="1" t="s">
        <v>1504</v>
      </c>
      <c r="S107" s="1" t="s">
        <v>6144</v>
      </c>
      <c r="T107" s="1" t="s">
        <v>6143</v>
      </c>
      <c r="U107" s="1" t="s">
        <v>6161</v>
      </c>
      <c r="V107" s="1" t="s">
        <v>6183</v>
      </c>
      <c r="W107" s="27">
        <v>67.857142857142861</v>
      </c>
      <c r="X107" s="27">
        <v>71.428571428571431</v>
      </c>
      <c r="Y107" s="33">
        <f>AVERAGE(Table13[[#This Row],[Score 1]],Table13[[#This Row],[Score 2]])</f>
        <v>69.642857142857139</v>
      </c>
      <c r="Z107" s="1">
        <v>3</v>
      </c>
      <c r="AA107" s="1">
        <v>4</v>
      </c>
      <c r="AB107" s="22">
        <f>Table13[[#This Row],[Rank 1]]+Table13[[#This Row],[Rank 2]]</f>
        <v>7</v>
      </c>
      <c r="AC107" s="1" t="str">
        <f>IF(AND(Table13[[#This Row],[Average score]]&gt;75,Table13[[#This Row],[Total rank]]&gt;6.5),"Yes","No")</f>
        <v>No</v>
      </c>
      <c r="AD107" s="1" t="str">
        <f>IF(AND(Table13[[#This Row],[Average score]]&gt;80,Table13[[#This Row],[Total rank]]&gt;7.5),"Yes","No")</f>
        <v>No</v>
      </c>
      <c r="AF107" s="8">
        <v>45488</v>
      </c>
      <c r="AG107" s="1">
        <v>1</v>
      </c>
      <c r="AH107" s="27">
        <v>-36887.81</v>
      </c>
      <c r="AI107" s="30">
        <v>0</v>
      </c>
      <c r="AJ107" s="30">
        <v>0</v>
      </c>
      <c r="AK107" s="30">
        <f>Table13[[#This Row],[Year 1]]</f>
        <v>-36887.81</v>
      </c>
      <c r="AL107" s="30">
        <f>Table13[[#This Row],[Year 2]]</f>
        <v>0</v>
      </c>
      <c r="AM107" s="30">
        <f>Table13[[#This Row],[Year 3]]</f>
        <v>0</v>
      </c>
      <c r="AN107" s="1">
        <v>3</v>
      </c>
    </row>
    <row r="108" spans="1:40" hidden="1" x14ac:dyDescent="0.25">
      <c r="A108" s="1" t="s">
        <v>48</v>
      </c>
      <c r="B108" s="1" t="s">
        <v>1069</v>
      </c>
      <c r="C108" s="1" t="s">
        <v>50</v>
      </c>
      <c r="D108" s="1" t="s">
        <v>1180</v>
      </c>
      <c r="E108" s="1" t="s">
        <v>1181</v>
      </c>
      <c r="F108" s="22" t="s">
        <v>3</v>
      </c>
      <c r="G108" s="1" t="s">
        <v>6085</v>
      </c>
      <c r="H108" s="1" t="s">
        <v>6</v>
      </c>
      <c r="I108" s="1" t="s">
        <v>24</v>
      </c>
      <c r="J108" s="1" t="s">
        <v>25</v>
      </c>
      <c r="K108" s="1" t="s">
        <v>9</v>
      </c>
      <c r="L108" s="1" t="s">
        <v>53</v>
      </c>
      <c r="M108" s="11" t="s">
        <v>188</v>
      </c>
      <c r="N108" s="1" t="s">
        <v>6037</v>
      </c>
      <c r="O108" s="1" t="s">
        <v>13</v>
      </c>
      <c r="P108" s="1" t="s">
        <v>1506</v>
      </c>
      <c r="Q108" s="1" t="s">
        <v>5476</v>
      </c>
      <c r="R108" s="1" t="s">
        <v>1507</v>
      </c>
      <c r="S108" s="1" t="s">
        <v>6072</v>
      </c>
      <c r="T108" s="1" t="s">
        <v>6073</v>
      </c>
      <c r="U108" s="1" t="s">
        <v>6092</v>
      </c>
      <c r="V108" s="1" t="s">
        <v>6176</v>
      </c>
      <c r="W108" s="27">
        <v>85.714285714285708</v>
      </c>
      <c r="X108" s="27">
        <v>89.285714285714292</v>
      </c>
      <c r="Y108" s="33">
        <f>AVERAGE(Table13[[#This Row],[Score 1]],Table13[[#This Row],[Score 2]])</f>
        <v>87.5</v>
      </c>
      <c r="Z108" s="1">
        <v>4</v>
      </c>
      <c r="AA108" s="1">
        <v>2</v>
      </c>
      <c r="AB108" s="22">
        <f>Table13[[#This Row],[Rank 1]]+Table13[[#This Row],[Rank 2]]</f>
        <v>6</v>
      </c>
      <c r="AC108" s="1" t="str">
        <f>IF(AND(Table13[[#This Row],[Average score]]&gt;75,Table13[[#This Row],[Total rank]]&gt;6.5),"Yes","No")</f>
        <v>No</v>
      </c>
      <c r="AD108" s="1" t="str">
        <f>IF(AND(Table13[[#This Row],[Average score]]&gt;80,Table13[[#This Row],[Total rank]]&gt;7.5),"Yes","No")</f>
        <v>No</v>
      </c>
      <c r="AF108" s="8">
        <v>46055</v>
      </c>
      <c r="AG108" s="1">
        <v>2</v>
      </c>
      <c r="AH108" s="27">
        <v>148404</v>
      </c>
      <c r="AI108" s="27">
        <v>111246</v>
      </c>
      <c r="AJ108" s="30">
        <v>0</v>
      </c>
      <c r="AK108" s="30">
        <f>Table13[[#This Row],[Year 1]]</f>
        <v>148404</v>
      </c>
      <c r="AL108" s="30">
        <f>Table13[[#This Row],[Year 2]]</f>
        <v>111246</v>
      </c>
      <c r="AM108" s="30">
        <f>Table13[[#This Row],[Year 3]]</f>
        <v>0</v>
      </c>
      <c r="AN108" s="1">
        <v>3</v>
      </c>
    </row>
    <row r="109" spans="1:40" hidden="1" x14ac:dyDescent="0.25">
      <c r="A109" s="1" t="s">
        <v>48</v>
      </c>
      <c r="B109" s="1" t="s">
        <v>1213</v>
      </c>
      <c r="C109" s="1" t="s">
        <v>50</v>
      </c>
      <c r="D109" s="1" t="s">
        <v>1299</v>
      </c>
      <c r="E109" s="1" t="s">
        <v>1300</v>
      </c>
      <c r="F109" s="22" t="s">
        <v>3</v>
      </c>
      <c r="G109" s="1" t="s">
        <v>6085</v>
      </c>
      <c r="H109" s="1" t="s">
        <v>5</v>
      </c>
      <c r="I109" s="1" t="s">
        <v>20</v>
      </c>
      <c r="J109" s="1" t="s">
        <v>26</v>
      </c>
      <c r="K109" s="1" t="s">
        <v>9</v>
      </c>
      <c r="L109" s="1" t="s">
        <v>53</v>
      </c>
      <c r="M109" s="11" t="s">
        <v>188</v>
      </c>
      <c r="N109" s="1" t="s">
        <v>6037</v>
      </c>
      <c r="O109" s="1" t="s">
        <v>13</v>
      </c>
      <c r="P109" s="1" t="s">
        <v>247</v>
      </c>
      <c r="Q109" s="1" t="s">
        <v>5477</v>
      </c>
      <c r="R109" s="1" t="s">
        <v>1570</v>
      </c>
      <c r="S109" s="1" t="s">
        <v>6072</v>
      </c>
      <c r="T109" s="1" t="s">
        <v>6073</v>
      </c>
      <c r="U109" s="1" t="s">
        <v>6092</v>
      </c>
      <c r="V109" s="1" t="s">
        <v>6176</v>
      </c>
      <c r="W109" s="27">
        <v>71.428571428571431</v>
      </c>
      <c r="X109" s="27">
        <v>64.285714285714292</v>
      </c>
      <c r="Y109" s="33">
        <f>AVERAGE(Table13[[#This Row],[Score 1]],Table13[[#This Row],[Score 2]])</f>
        <v>67.857142857142861</v>
      </c>
      <c r="Z109" s="1">
        <v>3</v>
      </c>
      <c r="AA109" s="1">
        <v>2</v>
      </c>
      <c r="AB109" s="22">
        <f>Table13[[#This Row],[Rank 1]]+Table13[[#This Row],[Rank 2]]</f>
        <v>5</v>
      </c>
      <c r="AC109" s="1" t="str">
        <f>IF(AND(Table13[[#This Row],[Average score]]&gt;75,Table13[[#This Row],[Total rank]]&gt;6.5),"Yes","No")</f>
        <v>No</v>
      </c>
      <c r="AD109" s="1" t="str">
        <f>IF(AND(Table13[[#This Row],[Average score]]&gt;80,Table13[[#This Row],[Total rank]]&gt;7.5),"Yes","No")</f>
        <v>No</v>
      </c>
      <c r="AF109" s="8">
        <v>44818</v>
      </c>
      <c r="AG109" s="1">
        <v>1</v>
      </c>
      <c r="AH109" s="27">
        <v>119412.92</v>
      </c>
      <c r="AI109" s="30">
        <v>0</v>
      </c>
      <c r="AJ109" s="30">
        <v>0</v>
      </c>
      <c r="AK109" s="30">
        <f>Table13[[#This Row],[Year 1]]</f>
        <v>119412.92</v>
      </c>
      <c r="AL109" s="30">
        <f>Table13[[#This Row],[Year 2]]</f>
        <v>0</v>
      </c>
      <c r="AM109" s="30">
        <f>Table13[[#This Row],[Year 3]]</f>
        <v>0</v>
      </c>
      <c r="AN109" s="1">
        <v>3</v>
      </c>
    </row>
    <row r="110" spans="1:40" hidden="1" x14ac:dyDescent="0.25">
      <c r="A110" s="2" t="s">
        <v>48</v>
      </c>
      <c r="B110" s="1" t="s">
        <v>1070</v>
      </c>
      <c r="C110" s="2" t="s">
        <v>50</v>
      </c>
      <c r="D110" s="2" t="s">
        <v>1182</v>
      </c>
      <c r="E110" s="2" t="s">
        <v>1183</v>
      </c>
      <c r="F110" s="22" t="s">
        <v>3</v>
      </c>
      <c r="G110" s="1" t="s">
        <v>6085</v>
      </c>
      <c r="H110" s="1" t="s">
        <v>6</v>
      </c>
      <c r="I110" s="1" t="s">
        <v>20</v>
      </c>
      <c r="J110" s="1" t="s">
        <v>25</v>
      </c>
      <c r="K110" s="1" t="s">
        <v>9</v>
      </c>
      <c r="L110" s="2" t="s">
        <v>53</v>
      </c>
      <c r="M110" s="11" t="s">
        <v>188</v>
      </c>
      <c r="N110" s="1" t="s">
        <v>6037</v>
      </c>
      <c r="O110" s="1" t="s">
        <v>11</v>
      </c>
      <c r="P110" s="2" t="s">
        <v>66</v>
      </c>
      <c r="Q110" s="2" t="s">
        <v>6036</v>
      </c>
      <c r="R110" s="1" t="s">
        <v>1510</v>
      </c>
      <c r="S110" s="1" t="s">
        <v>6053</v>
      </c>
      <c r="T110" s="1" t="s">
        <v>6054</v>
      </c>
      <c r="U110" s="1" t="s">
        <v>6087</v>
      </c>
      <c r="V110" s="1" t="s">
        <v>6170</v>
      </c>
      <c r="W110" s="27">
        <v>53.571428571428569</v>
      </c>
      <c r="X110" s="27">
        <v>53.571428571428569</v>
      </c>
      <c r="Y110" s="33">
        <f>AVERAGE(Table13[[#This Row],[Score 1]],Table13[[#This Row],[Score 2]])</f>
        <v>53.571428571428569</v>
      </c>
      <c r="Z110" s="1">
        <v>2</v>
      </c>
      <c r="AA110" s="1">
        <v>2</v>
      </c>
      <c r="AB110" s="22">
        <f>Table13[[#This Row],[Rank 1]]+Table13[[#This Row],[Rank 2]]</f>
        <v>4</v>
      </c>
      <c r="AC110" s="1" t="str">
        <f>IF(AND(Table13[[#This Row],[Average score]]&gt;75,Table13[[#This Row],[Total rank]]&gt;6.5),"Yes","No")</f>
        <v>No</v>
      </c>
      <c r="AD110" s="1" t="str">
        <f>IF(AND(Table13[[#This Row],[Average score]]&gt;80,Table13[[#This Row],[Total rank]]&gt;7.5),"Yes","No")</f>
        <v>No</v>
      </c>
      <c r="AF110" s="9">
        <v>45899</v>
      </c>
      <c r="AG110" s="2">
        <v>2</v>
      </c>
      <c r="AH110" s="29">
        <v>80000</v>
      </c>
      <c r="AI110" s="29">
        <v>60000</v>
      </c>
      <c r="AJ110" s="30">
        <v>0</v>
      </c>
      <c r="AK110" s="30">
        <f>Table13[[#This Row],[Year 1]]</f>
        <v>80000</v>
      </c>
      <c r="AL110" s="30">
        <f>Table13[[#This Row],[Year 2]]</f>
        <v>60000</v>
      </c>
      <c r="AM110" s="30">
        <f>Table13[[#This Row],[Year 3]]</f>
        <v>0</v>
      </c>
      <c r="AN110" s="1">
        <v>3</v>
      </c>
    </row>
    <row r="111" spans="1:40" x14ac:dyDescent="0.25">
      <c r="A111" s="1" t="s">
        <v>48</v>
      </c>
      <c r="B111" s="1" t="s">
        <v>1222</v>
      </c>
      <c r="C111" s="1" t="s">
        <v>50</v>
      </c>
      <c r="D111" s="1" t="s">
        <v>1317</v>
      </c>
      <c r="E111" s="1" t="s">
        <v>1318</v>
      </c>
      <c r="F111" s="22" t="s">
        <v>3</v>
      </c>
      <c r="G111" s="1" t="s">
        <v>6085</v>
      </c>
      <c r="H111" s="1" t="s">
        <v>6</v>
      </c>
      <c r="I111" s="1" t="s">
        <v>21</v>
      </c>
      <c r="J111" s="1" t="s">
        <v>25</v>
      </c>
      <c r="K111" s="1" t="s">
        <v>9</v>
      </c>
      <c r="L111" s="1" t="s">
        <v>53</v>
      </c>
      <c r="M111" s="11" t="s">
        <v>188</v>
      </c>
      <c r="N111" s="1" t="s">
        <v>6037</v>
      </c>
      <c r="O111" s="1" t="s">
        <v>18</v>
      </c>
      <c r="P111" s="1" t="s">
        <v>66</v>
      </c>
      <c r="Q111" s="1" t="s">
        <v>5481</v>
      </c>
      <c r="R111" s="18" t="s">
        <v>1589</v>
      </c>
      <c r="S111" s="1" t="s">
        <v>6061</v>
      </c>
      <c r="T111" s="1" t="s">
        <v>6062</v>
      </c>
      <c r="U111" s="1" t="s">
        <v>6101</v>
      </c>
      <c r="V111" s="1" t="s">
        <v>6196</v>
      </c>
      <c r="W111" s="27">
        <v>85.714285714285708</v>
      </c>
      <c r="X111" s="27">
        <v>82.142857142857139</v>
      </c>
      <c r="Y111" s="33">
        <f>AVERAGE(Table13[[#This Row],[Score 1]],Table13[[#This Row],[Score 2]])</f>
        <v>83.928571428571416</v>
      </c>
      <c r="Z111" s="1">
        <v>4</v>
      </c>
      <c r="AA111" s="1">
        <v>5</v>
      </c>
      <c r="AB111" s="22">
        <f>Table13[[#This Row],[Rank 1]]+Table13[[#This Row],[Rank 2]]</f>
        <v>9</v>
      </c>
      <c r="AC111" s="1" t="str">
        <f>IF(AND(Table13[[#This Row],[Average score]]&gt;75,Table13[[#This Row],[Total rank]]&gt;6.5),"Yes","No")</f>
        <v>Yes</v>
      </c>
      <c r="AD111" s="1" t="str">
        <f>IF(AND(Table13[[#This Row],[Average score]]&gt;80,Table13[[#This Row],[Total rank]]&gt;7.5),"Yes","No")</f>
        <v>Yes</v>
      </c>
      <c r="AE111" s="1" t="s">
        <v>6221</v>
      </c>
      <c r="AF111" s="8">
        <v>46023</v>
      </c>
      <c r="AG111" s="1">
        <v>2</v>
      </c>
      <c r="AH111" s="27">
        <v>30000</v>
      </c>
      <c r="AI111" s="27">
        <v>30000</v>
      </c>
      <c r="AJ111" s="30">
        <v>0</v>
      </c>
      <c r="AK111" s="30">
        <f>Table13[[#This Row],[Year 1]]</f>
        <v>30000</v>
      </c>
      <c r="AL111" s="30">
        <f>Table13[[#This Row],[Year 2]]</f>
        <v>30000</v>
      </c>
      <c r="AM111" s="30">
        <f>Table13[[#This Row],[Year 3]]</f>
        <v>0</v>
      </c>
      <c r="AN111" s="1">
        <v>3</v>
      </c>
    </row>
    <row r="112" spans="1:40" hidden="1" x14ac:dyDescent="0.25">
      <c r="A112" s="1" t="s">
        <v>48</v>
      </c>
      <c r="B112" s="1" t="s">
        <v>1191</v>
      </c>
      <c r="C112" s="1" t="s">
        <v>50</v>
      </c>
      <c r="D112" s="1" t="s">
        <v>1255</v>
      </c>
      <c r="E112" s="1" t="s">
        <v>1256</v>
      </c>
      <c r="F112" s="22" t="s">
        <v>3</v>
      </c>
      <c r="G112" s="1" t="s">
        <v>6085</v>
      </c>
      <c r="H112" s="1" t="s">
        <v>5</v>
      </c>
      <c r="I112" s="1" t="s">
        <v>24</v>
      </c>
      <c r="J112" s="1" t="s">
        <v>26</v>
      </c>
      <c r="K112" s="1" t="s">
        <v>9</v>
      </c>
      <c r="L112" s="1" t="s">
        <v>53</v>
      </c>
      <c r="M112" s="11" t="s">
        <v>188</v>
      </c>
      <c r="N112" s="1" t="s">
        <v>6037</v>
      </c>
      <c r="O112" s="1" t="s">
        <v>14</v>
      </c>
      <c r="P112" s="1" t="s">
        <v>1456</v>
      </c>
      <c r="Q112" s="1" t="s">
        <v>5484</v>
      </c>
      <c r="R112" s="1" t="s">
        <v>1516</v>
      </c>
      <c r="S112" s="1" t="s">
        <v>6144</v>
      </c>
      <c r="T112" s="1" t="s">
        <v>6143</v>
      </c>
      <c r="U112" s="1" t="s">
        <v>6161</v>
      </c>
      <c r="V112" s="1" t="s">
        <v>6183</v>
      </c>
      <c r="W112" s="27">
        <v>71.428571428571431</v>
      </c>
      <c r="X112" s="27">
        <v>82.142857142857139</v>
      </c>
      <c r="Y112" s="33">
        <f>AVERAGE(Table13[[#This Row],[Score 1]],Table13[[#This Row],[Score 2]])</f>
        <v>76.785714285714278</v>
      </c>
      <c r="Z112" s="1">
        <v>3</v>
      </c>
      <c r="AA112" s="1">
        <v>5</v>
      </c>
      <c r="AB112" s="22">
        <f>Table13[[#This Row],[Rank 1]]+Table13[[#This Row],[Rank 2]]</f>
        <v>8</v>
      </c>
      <c r="AC112" s="1" t="str">
        <f>IF(AND(Table13[[#This Row],[Average score]]&gt;75,Table13[[#This Row],[Total rank]]&gt;6.5),"Yes","No")</f>
        <v>Yes</v>
      </c>
      <c r="AD112" s="1" t="str">
        <f>IF(AND(Table13[[#This Row],[Average score]]&gt;80,Table13[[#This Row],[Total rank]]&gt;7.5),"Yes","No")</f>
        <v>No</v>
      </c>
      <c r="AF112" s="8">
        <v>46023</v>
      </c>
      <c r="AG112" s="1">
        <v>2</v>
      </c>
      <c r="AH112" s="27">
        <v>268240</v>
      </c>
      <c r="AI112" s="27">
        <v>265764</v>
      </c>
      <c r="AJ112" s="30">
        <v>0</v>
      </c>
      <c r="AK112" s="30">
        <f>Table13[[#This Row],[Year 1]]</f>
        <v>268240</v>
      </c>
      <c r="AL112" s="30">
        <f>Table13[[#This Row],[Year 2]]</f>
        <v>265764</v>
      </c>
      <c r="AM112" s="30">
        <f>Table13[[#This Row],[Year 3]]</f>
        <v>0</v>
      </c>
      <c r="AN112" s="1">
        <v>3</v>
      </c>
    </row>
    <row r="113" spans="1:40" hidden="1" x14ac:dyDescent="0.25">
      <c r="A113" s="1" t="s">
        <v>48</v>
      </c>
      <c r="B113" s="1" t="s">
        <v>1208</v>
      </c>
      <c r="C113" s="1" t="s">
        <v>50</v>
      </c>
      <c r="D113" s="1" t="s">
        <v>1289</v>
      </c>
      <c r="E113" s="1" t="s">
        <v>1290</v>
      </c>
      <c r="F113" s="22" t="s">
        <v>3</v>
      </c>
      <c r="G113" s="1" t="s">
        <v>6085</v>
      </c>
      <c r="H113" s="1" t="s">
        <v>7</v>
      </c>
      <c r="I113" s="1" t="s">
        <v>20</v>
      </c>
      <c r="J113" s="1" t="s">
        <v>26</v>
      </c>
      <c r="K113" s="1" t="s">
        <v>9</v>
      </c>
      <c r="L113" s="1" t="s">
        <v>53</v>
      </c>
      <c r="M113" s="11" t="s">
        <v>188</v>
      </c>
      <c r="N113" s="1" t="s">
        <v>6037</v>
      </c>
      <c r="O113" s="1" t="s">
        <v>19</v>
      </c>
      <c r="P113" s="1" t="s">
        <v>1558</v>
      </c>
      <c r="Q113" s="1" t="s">
        <v>5485</v>
      </c>
      <c r="R113" s="1" t="s">
        <v>1559</v>
      </c>
      <c r="S113" s="1" t="s">
        <v>6144</v>
      </c>
      <c r="T113" s="1" t="s">
        <v>6143</v>
      </c>
      <c r="U113" s="1" t="s">
        <v>6161</v>
      </c>
      <c r="V113" s="1" t="s">
        <v>6183</v>
      </c>
      <c r="W113" s="27">
        <v>69.444444444444443</v>
      </c>
      <c r="X113" s="27">
        <v>91.666666666666657</v>
      </c>
      <c r="Y113" s="33">
        <f>AVERAGE(Table13[[#This Row],[Score 1]],Table13[[#This Row],[Score 2]])</f>
        <v>80.555555555555543</v>
      </c>
      <c r="Z113" s="1">
        <v>4</v>
      </c>
      <c r="AA113" s="1">
        <v>5</v>
      </c>
      <c r="AB113" s="22">
        <f>Table13[[#This Row],[Rank 1]]+Table13[[#This Row],[Rank 2]]</f>
        <v>9</v>
      </c>
      <c r="AC113" s="1" t="str">
        <f>IF(AND(Table13[[#This Row],[Average score]]&gt;75,Table13[[#This Row],[Total rank]]&gt;6.5),"Yes","No")</f>
        <v>Yes</v>
      </c>
      <c r="AD113" s="1" t="str">
        <f>IF(AND(Table13[[#This Row],[Average score]]&gt;80,Table13[[#This Row],[Total rank]]&gt;7.5),"Yes","No")</f>
        <v>Yes</v>
      </c>
      <c r="AF113" s="8">
        <v>46082</v>
      </c>
      <c r="AG113" s="1">
        <v>1</v>
      </c>
      <c r="AH113" s="27">
        <v>225000</v>
      </c>
      <c r="AI113" s="30">
        <v>0</v>
      </c>
      <c r="AJ113" s="30">
        <v>0</v>
      </c>
      <c r="AK113" s="30">
        <f>Table13[[#This Row],[Year 1]]</f>
        <v>225000</v>
      </c>
      <c r="AL113" s="30">
        <f>Table13[[#This Row],[Year 2]]</f>
        <v>0</v>
      </c>
      <c r="AM113" s="30">
        <f>Table13[[#This Row],[Year 3]]</f>
        <v>0</v>
      </c>
      <c r="AN113" s="1">
        <v>3</v>
      </c>
    </row>
    <row r="114" spans="1:40" hidden="1" x14ac:dyDescent="0.25">
      <c r="A114" s="1" t="s">
        <v>48</v>
      </c>
      <c r="B114" s="1" t="s">
        <v>1221</v>
      </c>
      <c r="C114" s="1" t="s">
        <v>50</v>
      </c>
      <c r="D114" s="1" t="s">
        <v>1315</v>
      </c>
      <c r="E114" s="1" t="s">
        <v>1316</v>
      </c>
      <c r="F114" s="22" t="s">
        <v>3</v>
      </c>
      <c r="G114" s="1" t="s">
        <v>6085</v>
      </c>
      <c r="H114" s="1" t="s">
        <v>5</v>
      </c>
      <c r="I114" s="1" t="s">
        <v>20</v>
      </c>
      <c r="J114" s="1" t="s">
        <v>26</v>
      </c>
      <c r="K114" s="1" t="s">
        <v>9</v>
      </c>
      <c r="L114" s="1" t="s">
        <v>53</v>
      </c>
      <c r="M114" s="11" t="s">
        <v>188</v>
      </c>
      <c r="N114" s="1" t="s">
        <v>6037</v>
      </c>
      <c r="O114" s="1" t="s">
        <v>16</v>
      </c>
      <c r="P114" s="1" t="s">
        <v>1456</v>
      </c>
      <c r="Q114" s="1" t="s">
        <v>5486</v>
      </c>
      <c r="R114" s="1" t="s">
        <v>1698</v>
      </c>
      <c r="S114" s="1" t="s">
        <v>6111</v>
      </c>
      <c r="T114" s="1" t="s">
        <v>6112</v>
      </c>
      <c r="U114" s="1" t="s">
        <v>6127</v>
      </c>
      <c r="V114" s="1" t="s">
        <v>6179</v>
      </c>
      <c r="W114" s="27">
        <v>64.285714285714292</v>
      </c>
      <c r="X114" s="27">
        <v>82.142857142857139</v>
      </c>
      <c r="Y114" s="33">
        <f>AVERAGE(Table13[[#This Row],[Score 1]],Table13[[#This Row],[Score 2]])</f>
        <v>73.214285714285722</v>
      </c>
      <c r="Z114" s="1">
        <v>3</v>
      </c>
      <c r="AA114" s="1">
        <v>4</v>
      </c>
      <c r="AB114" s="22">
        <f>Table13[[#This Row],[Rank 1]]+Table13[[#This Row],[Rank 2]]</f>
        <v>7</v>
      </c>
      <c r="AC114" s="1" t="str">
        <f>IF(AND(Table13[[#This Row],[Average score]]&gt;75,Table13[[#This Row],[Total rank]]&gt;6.5),"Yes","No")</f>
        <v>No</v>
      </c>
      <c r="AD114" s="1" t="str">
        <f>IF(AND(Table13[[#This Row],[Average score]]&gt;80,Table13[[#This Row],[Total rank]]&gt;7.5),"Yes","No")</f>
        <v>No</v>
      </c>
      <c r="AF114" s="8">
        <v>46055</v>
      </c>
      <c r="AG114" s="1">
        <v>3</v>
      </c>
      <c r="AH114" s="27">
        <v>200000</v>
      </c>
      <c r="AI114" s="27">
        <v>215000</v>
      </c>
      <c r="AJ114" s="27">
        <v>230000</v>
      </c>
      <c r="AK114" s="27">
        <f>Table13[[#This Row],[Year 1]]</f>
        <v>200000</v>
      </c>
      <c r="AL114" s="27">
        <f>Table13[[#This Row],[Year 2]]</f>
        <v>215000</v>
      </c>
      <c r="AM114" s="27">
        <f>Table13[[#This Row],[Year 3]]</f>
        <v>230000</v>
      </c>
      <c r="AN114" s="1">
        <v>2</v>
      </c>
    </row>
    <row r="115" spans="1:40" hidden="1" x14ac:dyDescent="0.25">
      <c r="A115" s="1" t="s">
        <v>48</v>
      </c>
      <c r="B115" s="7" t="s">
        <v>1215</v>
      </c>
      <c r="C115" s="1" t="s">
        <v>50</v>
      </c>
      <c r="D115" s="7" t="s">
        <v>1303</v>
      </c>
      <c r="E115" s="1" t="s">
        <v>1304</v>
      </c>
      <c r="F115" s="7" t="s">
        <v>3</v>
      </c>
      <c r="G115" s="7" t="s">
        <v>6085</v>
      </c>
      <c r="H115" s="7" t="s">
        <v>5</v>
      </c>
      <c r="I115" s="7" t="s">
        <v>24</v>
      </c>
      <c r="J115" s="7" t="s">
        <v>26</v>
      </c>
      <c r="K115" s="7" t="s">
        <v>9</v>
      </c>
      <c r="L115" s="1" t="s">
        <v>53</v>
      </c>
      <c r="M115" s="11" t="s">
        <v>188</v>
      </c>
      <c r="N115" s="1" t="s">
        <v>6037</v>
      </c>
      <c r="O115" s="7" t="s">
        <v>18</v>
      </c>
      <c r="P115" s="7" t="s">
        <v>1575</v>
      </c>
      <c r="Q115" s="7" t="s">
        <v>5488</v>
      </c>
      <c r="R115" s="7" t="s">
        <v>1576</v>
      </c>
      <c r="S115" s="7" t="s">
        <v>6061</v>
      </c>
      <c r="T115" s="7" t="s">
        <v>6062</v>
      </c>
      <c r="U115" s="7" t="s">
        <v>6101</v>
      </c>
      <c r="V115" s="7" t="s">
        <v>6196</v>
      </c>
      <c r="W115" s="28">
        <v>88.888888888888886</v>
      </c>
      <c r="X115" s="29">
        <f>Table13[[#This Row],[Score 1]]</f>
        <v>88.888888888888886</v>
      </c>
      <c r="Y115" s="28">
        <f>AVERAGE(Table13[[#This Row],[Score 1]],Table13[[#This Row],[Score 2]])</f>
        <v>88.888888888888886</v>
      </c>
      <c r="Z115" s="7">
        <v>5</v>
      </c>
      <c r="AA115" s="2">
        <f>Table13[[#This Row],[Rank 1]]</f>
        <v>5</v>
      </c>
      <c r="AB115" s="7">
        <f>Table13[[#This Row],[Rank 1]]+Table13[[#This Row],[Rank 2]]</f>
        <v>10</v>
      </c>
      <c r="AC115" s="1" t="s">
        <v>6223</v>
      </c>
      <c r="AD115" s="1" t="s">
        <v>6223</v>
      </c>
      <c r="AF115" s="23">
        <v>46023</v>
      </c>
      <c r="AG115" s="7">
        <v>1</v>
      </c>
      <c r="AH115" s="28">
        <v>30000</v>
      </c>
      <c r="AI115" s="35">
        <v>0</v>
      </c>
      <c r="AJ115" s="35">
        <v>0</v>
      </c>
      <c r="AK115" s="35">
        <f>Table13[[#This Row],[Year 1]]</f>
        <v>30000</v>
      </c>
      <c r="AL115" s="35">
        <f>Table13[[#This Row],[Year 2]]</f>
        <v>0</v>
      </c>
      <c r="AM115" s="35">
        <f>Table13[[#This Row],[Year 3]]</f>
        <v>0</v>
      </c>
      <c r="AN115" s="7">
        <v>3</v>
      </c>
    </row>
    <row r="116" spans="1:40" hidden="1" x14ac:dyDescent="0.25">
      <c r="A116" s="1" t="s">
        <v>48</v>
      </c>
      <c r="B116" s="1" t="s">
        <v>1204</v>
      </c>
      <c r="C116" s="1" t="s">
        <v>50</v>
      </c>
      <c r="D116" s="1" t="s">
        <v>1281</v>
      </c>
      <c r="E116" s="1" t="s">
        <v>1282</v>
      </c>
      <c r="F116" s="22" t="s">
        <v>3</v>
      </c>
      <c r="G116" s="1" t="s">
        <v>6085</v>
      </c>
      <c r="H116" s="1" t="s">
        <v>5</v>
      </c>
      <c r="I116" s="1" t="s">
        <v>20</v>
      </c>
      <c r="J116" s="1" t="s">
        <v>26</v>
      </c>
      <c r="K116" s="1" t="s">
        <v>9</v>
      </c>
      <c r="L116" s="1" t="s">
        <v>53</v>
      </c>
      <c r="M116" s="11" t="s">
        <v>188</v>
      </c>
      <c r="N116" s="1" t="s">
        <v>6037</v>
      </c>
      <c r="O116" s="1" t="s">
        <v>10</v>
      </c>
      <c r="P116" s="1" t="s">
        <v>1519</v>
      </c>
      <c r="Q116" s="20" t="s">
        <v>5490</v>
      </c>
      <c r="R116" s="1" t="s">
        <v>1544</v>
      </c>
      <c r="S116" s="1" t="s">
        <v>6048</v>
      </c>
      <c r="T116" s="1" t="s">
        <v>6047</v>
      </c>
      <c r="U116" s="1" t="s">
        <v>6086</v>
      </c>
      <c r="V116" s="1" t="s">
        <v>6106</v>
      </c>
      <c r="W116" s="27">
        <v>64.285714285714292</v>
      </c>
      <c r="X116" s="27">
        <v>64.285714285714292</v>
      </c>
      <c r="Y116" s="33">
        <f>AVERAGE(Table13[[#This Row],[Score 1]],Table13[[#This Row],[Score 2]])</f>
        <v>64.285714285714292</v>
      </c>
      <c r="Z116" s="1">
        <v>2</v>
      </c>
      <c r="AA116" s="1">
        <v>3</v>
      </c>
      <c r="AB116" s="22">
        <f>Table13[[#This Row],[Rank 1]]+Table13[[#This Row],[Rank 2]]</f>
        <v>5</v>
      </c>
      <c r="AC116" s="1" t="str">
        <f>IF(AND(Table13[[#This Row],[Average score]]&gt;75,Table13[[#This Row],[Total rank]]&gt;6.5),"Yes","No")</f>
        <v>No</v>
      </c>
      <c r="AD116" s="1" t="str">
        <f>IF(AND(Table13[[#This Row],[Average score]]&gt;80,Table13[[#This Row],[Total rank]]&gt;7.5),"Yes","No")</f>
        <v>No</v>
      </c>
      <c r="AF116" s="8">
        <v>46037</v>
      </c>
      <c r="AG116" s="1">
        <v>2</v>
      </c>
      <c r="AH116" s="27">
        <v>380760</v>
      </c>
      <c r="AI116" s="27">
        <v>390760</v>
      </c>
      <c r="AJ116" s="30">
        <v>0</v>
      </c>
      <c r="AK116" s="30">
        <f>Table13[[#This Row],[Year 1]]</f>
        <v>380760</v>
      </c>
      <c r="AL116" s="30">
        <f>Table13[[#This Row],[Year 2]]</f>
        <v>390760</v>
      </c>
      <c r="AM116" s="30">
        <f>Table13[[#This Row],[Year 3]]</f>
        <v>0</v>
      </c>
      <c r="AN116" s="1">
        <v>2</v>
      </c>
    </row>
    <row r="117" spans="1:40" hidden="1" x14ac:dyDescent="0.25">
      <c r="A117" s="2" t="s">
        <v>48</v>
      </c>
      <c r="B117" s="1" t="s">
        <v>1206</v>
      </c>
      <c r="C117" s="2" t="s">
        <v>50</v>
      </c>
      <c r="D117" s="2" t="s">
        <v>1285</v>
      </c>
      <c r="E117" s="2" t="s">
        <v>1286</v>
      </c>
      <c r="F117" s="22" t="s">
        <v>3</v>
      </c>
      <c r="G117" s="1" t="s">
        <v>6085</v>
      </c>
      <c r="H117" s="1" t="s">
        <v>5</v>
      </c>
      <c r="I117" s="1" t="s">
        <v>20</v>
      </c>
      <c r="J117" s="1" t="s">
        <v>26</v>
      </c>
      <c r="K117" s="1" t="s">
        <v>9</v>
      </c>
      <c r="L117" s="2" t="s">
        <v>53</v>
      </c>
      <c r="M117" s="11" t="s">
        <v>188</v>
      </c>
      <c r="N117" s="1" t="s">
        <v>6037</v>
      </c>
      <c r="O117" s="1" t="s">
        <v>13</v>
      </c>
      <c r="P117" s="2" t="s">
        <v>1552</v>
      </c>
      <c r="Q117" s="2" t="s">
        <v>5</v>
      </c>
      <c r="R117" s="2" t="s">
        <v>1553</v>
      </c>
      <c r="S117" s="1" t="s">
        <v>6072</v>
      </c>
      <c r="T117" s="1" t="s">
        <v>6073</v>
      </c>
      <c r="U117" s="1" t="s">
        <v>6092</v>
      </c>
      <c r="V117" s="1" t="s">
        <v>6176</v>
      </c>
      <c r="W117" s="27">
        <v>35.714285714285715</v>
      </c>
      <c r="X117" s="27">
        <v>60.714285714285708</v>
      </c>
      <c r="Y117" s="33">
        <f>AVERAGE(Table13[[#This Row],[Score 1]],Table13[[#This Row],[Score 2]])</f>
        <v>48.214285714285708</v>
      </c>
      <c r="Z117" s="1">
        <v>1</v>
      </c>
      <c r="AA117" s="1">
        <v>2</v>
      </c>
      <c r="AB117" s="22">
        <f>Table13[[#This Row],[Rank 1]]+Table13[[#This Row],[Rank 2]]</f>
        <v>3</v>
      </c>
      <c r="AC117" s="1" t="str">
        <f>IF(AND(Table13[[#This Row],[Average score]]&gt;75,Table13[[#This Row],[Total rank]]&gt;6.5),"Yes","No")</f>
        <v>No</v>
      </c>
      <c r="AD117" s="1" t="str">
        <f>IF(AND(Table13[[#This Row],[Average score]]&gt;80,Table13[[#This Row],[Total rank]]&gt;7.5),"Yes","No")</f>
        <v>No</v>
      </c>
      <c r="AF117" s="9">
        <v>46034</v>
      </c>
      <c r="AG117" s="2">
        <v>3</v>
      </c>
      <c r="AH117" s="29">
        <v>300000</v>
      </c>
      <c r="AI117" s="29">
        <v>300000</v>
      </c>
      <c r="AJ117" s="29">
        <v>300000</v>
      </c>
      <c r="AK117" s="29">
        <f>Table13[[#This Row],[Year 1]]</f>
        <v>300000</v>
      </c>
      <c r="AL117" s="29">
        <f>Table13[[#This Row],[Year 2]]</f>
        <v>300000</v>
      </c>
      <c r="AM117" s="29">
        <f>Table13[[#This Row],[Year 3]]</f>
        <v>300000</v>
      </c>
      <c r="AN117" s="1">
        <v>3</v>
      </c>
    </row>
    <row r="118" spans="1:40" hidden="1" x14ac:dyDescent="0.25">
      <c r="A118" s="1" t="s">
        <v>48</v>
      </c>
      <c r="B118" s="1" t="s">
        <v>1205</v>
      </c>
      <c r="C118" s="1" t="s">
        <v>50</v>
      </c>
      <c r="D118" s="1" t="s">
        <v>1283</v>
      </c>
      <c r="E118" s="1" t="s">
        <v>1284</v>
      </c>
      <c r="F118" s="22" t="s">
        <v>3</v>
      </c>
      <c r="G118" s="1" t="s">
        <v>6085</v>
      </c>
      <c r="H118" s="1" t="s">
        <v>5</v>
      </c>
      <c r="I118" s="1" t="s">
        <v>20</v>
      </c>
      <c r="J118" s="1" t="s">
        <v>26</v>
      </c>
      <c r="K118" s="1" t="s">
        <v>9</v>
      </c>
      <c r="L118" s="1" t="s">
        <v>53</v>
      </c>
      <c r="M118" s="11" t="s">
        <v>188</v>
      </c>
      <c r="N118" s="1" t="s">
        <v>6037</v>
      </c>
      <c r="O118" s="1" t="s">
        <v>10</v>
      </c>
      <c r="P118" s="1" t="s">
        <v>1547</v>
      </c>
      <c r="Q118" s="20" t="s">
        <v>5491</v>
      </c>
      <c r="R118" s="1" t="s">
        <v>1548</v>
      </c>
      <c r="S118" s="1" t="s">
        <v>6048</v>
      </c>
      <c r="T118" s="1" t="s">
        <v>6047</v>
      </c>
      <c r="U118" s="1" t="s">
        <v>6086</v>
      </c>
      <c r="V118" s="1" t="s">
        <v>6106</v>
      </c>
      <c r="W118" s="27">
        <v>57.142857142857139</v>
      </c>
      <c r="X118" s="27">
        <v>42.857142857142854</v>
      </c>
      <c r="Y118" s="33">
        <f>AVERAGE(Table13[[#This Row],[Score 1]],Table13[[#This Row],[Score 2]])</f>
        <v>50</v>
      </c>
      <c r="Z118" s="1">
        <v>2</v>
      </c>
      <c r="AA118" s="1">
        <v>2</v>
      </c>
      <c r="AB118" s="22">
        <f>Table13[[#This Row],[Rank 1]]+Table13[[#This Row],[Rank 2]]</f>
        <v>4</v>
      </c>
      <c r="AC118" s="1" t="str">
        <f>IF(AND(Table13[[#This Row],[Average score]]&gt;75,Table13[[#This Row],[Total rank]]&gt;6.5),"Yes","No")</f>
        <v>No</v>
      </c>
      <c r="AD118" s="1" t="str">
        <f>IF(AND(Table13[[#This Row],[Average score]]&gt;80,Table13[[#This Row],[Total rank]]&gt;7.5),"Yes","No")</f>
        <v>No</v>
      </c>
      <c r="AF118" s="8">
        <v>45658</v>
      </c>
      <c r="AG118" s="1">
        <v>3</v>
      </c>
      <c r="AH118" s="27">
        <v>305394</v>
      </c>
      <c r="AI118" s="27">
        <v>417880</v>
      </c>
      <c r="AJ118" s="27">
        <v>547380</v>
      </c>
      <c r="AK118" s="27">
        <f>Table13[[#This Row],[Year 1]]</f>
        <v>305394</v>
      </c>
      <c r="AL118" s="27">
        <f>Table13[[#This Row],[Year 2]]</f>
        <v>417880</v>
      </c>
      <c r="AM118" s="27">
        <f>Table13[[#This Row],[Year 3]]</f>
        <v>547380</v>
      </c>
      <c r="AN118" s="1">
        <v>2</v>
      </c>
    </row>
    <row r="119" spans="1:40" hidden="1" x14ac:dyDescent="0.25">
      <c r="A119" s="1" t="s">
        <v>48</v>
      </c>
      <c r="B119" s="2" t="s">
        <v>1192</v>
      </c>
      <c r="C119" s="1" t="s">
        <v>50</v>
      </c>
      <c r="D119" s="1" t="s">
        <v>1257</v>
      </c>
      <c r="E119" s="1" t="s">
        <v>1258</v>
      </c>
      <c r="F119" s="22" t="s">
        <v>3</v>
      </c>
      <c r="G119" s="1" t="s">
        <v>6085</v>
      </c>
      <c r="H119" s="1" t="s">
        <v>5</v>
      </c>
      <c r="I119" s="1" t="s">
        <v>20</v>
      </c>
      <c r="J119" s="1" t="s">
        <v>26</v>
      </c>
      <c r="K119" s="1" t="s">
        <v>9</v>
      </c>
      <c r="L119" s="1" t="s">
        <v>53</v>
      </c>
      <c r="M119" s="11" t="s">
        <v>188</v>
      </c>
      <c r="N119" s="1" t="s">
        <v>6037</v>
      </c>
      <c r="O119" s="1" t="s">
        <v>10</v>
      </c>
      <c r="P119" s="1" t="s">
        <v>1519</v>
      </c>
      <c r="Q119" s="18" t="s">
        <v>5492</v>
      </c>
      <c r="R119" s="1" t="s">
        <v>1694</v>
      </c>
      <c r="S119" s="1" t="s">
        <v>6048</v>
      </c>
      <c r="T119" s="1" t="s">
        <v>6051</v>
      </c>
      <c r="U119" s="1" t="s">
        <v>6086</v>
      </c>
      <c r="V119" s="1" t="s">
        <v>6193</v>
      </c>
      <c r="W119" s="27">
        <v>67.857142857142861</v>
      </c>
      <c r="X119" s="27">
        <v>75</v>
      </c>
      <c r="Y119" s="33">
        <f>AVERAGE(Table13[[#This Row],[Score 1]],Table13[[#This Row],[Score 2]])</f>
        <v>71.428571428571431</v>
      </c>
      <c r="Z119" s="1">
        <v>3</v>
      </c>
      <c r="AA119" s="1">
        <v>3</v>
      </c>
      <c r="AB119" s="22">
        <f>Table13[[#This Row],[Rank 1]]+Table13[[#This Row],[Rank 2]]</f>
        <v>6</v>
      </c>
      <c r="AC119" s="1" t="str">
        <f>IF(AND(Table13[[#This Row],[Average score]]&gt;75,Table13[[#This Row],[Total rank]]&gt;6.5),"Yes","No")</f>
        <v>No</v>
      </c>
      <c r="AD119" s="1" t="str">
        <f>IF(AND(Table13[[#This Row],[Average score]]&gt;80,Table13[[#This Row],[Total rank]]&gt;7.5),"Yes","No")</f>
        <v>No</v>
      </c>
      <c r="AF119" s="8">
        <v>45784</v>
      </c>
      <c r="AG119" s="1">
        <v>3</v>
      </c>
      <c r="AH119" s="27">
        <v>748380</v>
      </c>
      <c r="AI119" s="27">
        <v>748380</v>
      </c>
      <c r="AJ119" s="27">
        <v>748380</v>
      </c>
      <c r="AK119" s="27">
        <f>Table13[[#This Row],[Year 1]]</f>
        <v>748380</v>
      </c>
      <c r="AL119" s="27">
        <f>Table13[[#This Row],[Year 2]]</f>
        <v>748380</v>
      </c>
      <c r="AM119" s="27">
        <f>Table13[[#This Row],[Year 3]]</f>
        <v>748380</v>
      </c>
      <c r="AN119" s="1">
        <v>2</v>
      </c>
    </row>
    <row r="120" spans="1:40" hidden="1" x14ac:dyDescent="0.25">
      <c r="A120" s="1" t="s">
        <v>48</v>
      </c>
      <c r="B120" s="1" t="s">
        <v>1227</v>
      </c>
      <c r="C120" s="1" t="s">
        <v>50</v>
      </c>
      <c r="D120" s="1" t="s">
        <v>1327</v>
      </c>
      <c r="E120" s="1" t="s">
        <v>1328</v>
      </c>
      <c r="F120" s="22" t="s">
        <v>3</v>
      </c>
      <c r="G120" s="1" t="s">
        <v>6085</v>
      </c>
      <c r="H120" s="1" t="s">
        <v>6</v>
      </c>
      <c r="I120" s="1" t="s">
        <v>20</v>
      </c>
      <c r="J120" s="1" t="s">
        <v>25</v>
      </c>
      <c r="K120" s="1" t="s">
        <v>9</v>
      </c>
      <c r="L120" s="1" t="s">
        <v>78</v>
      </c>
      <c r="M120" s="11" t="s">
        <v>188</v>
      </c>
      <c r="N120" s="1" t="s">
        <v>6037</v>
      </c>
      <c r="O120" s="1" t="s">
        <v>14</v>
      </c>
      <c r="P120" s="1" t="s">
        <v>1456</v>
      </c>
      <c r="Q120" s="1" t="s">
        <v>5496</v>
      </c>
      <c r="R120" s="1" t="s">
        <v>1600</v>
      </c>
      <c r="S120" s="1" t="s">
        <v>6139</v>
      </c>
      <c r="T120" s="1" t="s">
        <v>6140</v>
      </c>
      <c r="U120" s="1" t="s">
        <v>6162</v>
      </c>
      <c r="V120" s="1" t="s">
        <v>6187</v>
      </c>
      <c r="W120" s="27">
        <v>60.714285714285708</v>
      </c>
      <c r="X120" s="27">
        <v>82.142857142857139</v>
      </c>
      <c r="Y120" s="33">
        <f>AVERAGE(Table13[[#This Row],[Score 1]],Table13[[#This Row],[Score 2]])</f>
        <v>71.428571428571416</v>
      </c>
      <c r="Z120" s="1">
        <v>3</v>
      </c>
      <c r="AA120" s="1">
        <v>4</v>
      </c>
      <c r="AB120" s="22">
        <f>Table13[[#This Row],[Rank 1]]+Table13[[#This Row],[Rank 2]]</f>
        <v>7</v>
      </c>
      <c r="AC120" s="1" t="str">
        <f>IF(AND(Table13[[#This Row],[Average score]]&gt;75,Table13[[#This Row],[Total rank]]&gt;6.5),"Yes","No")</f>
        <v>No</v>
      </c>
      <c r="AD120" s="1" t="str">
        <f>IF(AND(Table13[[#This Row],[Average score]]&gt;80,Table13[[#This Row],[Total rank]]&gt;7.5),"Yes","No")</f>
        <v>No</v>
      </c>
      <c r="AF120" s="8">
        <v>46062</v>
      </c>
      <c r="AG120" s="1">
        <v>2</v>
      </c>
      <c r="AH120" s="27">
        <v>357555</v>
      </c>
      <c r="AI120" s="27">
        <v>407555</v>
      </c>
      <c r="AJ120" s="30">
        <v>0</v>
      </c>
      <c r="AK120" s="30">
        <f>Table13[[#This Row],[Year 1]]</f>
        <v>357555</v>
      </c>
      <c r="AL120" s="30">
        <f>Table13[[#This Row],[Year 2]]</f>
        <v>407555</v>
      </c>
      <c r="AM120" s="30">
        <f>Table13[[#This Row],[Year 3]]</f>
        <v>0</v>
      </c>
      <c r="AN120" s="1">
        <v>2</v>
      </c>
    </row>
    <row r="121" spans="1:40" hidden="1" x14ac:dyDescent="0.25">
      <c r="A121" s="2" t="s">
        <v>48</v>
      </c>
      <c r="B121" s="1" t="s">
        <v>1243</v>
      </c>
      <c r="C121" s="2" t="s">
        <v>50</v>
      </c>
      <c r="D121" s="2" t="s">
        <v>1359</v>
      </c>
      <c r="E121" s="2" t="s">
        <v>1360</v>
      </c>
      <c r="F121" s="22" t="s">
        <v>3</v>
      </c>
      <c r="G121" s="1" t="s">
        <v>6085</v>
      </c>
      <c r="H121" s="1" t="s">
        <v>6</v>
      </c>
      <c r="I121" s="1" t="s">
        <v>20</v>
      </c>
      <c r="J121" s="1" t="s">
        <v>26</v>
      </c>
      <c r="K121" s="1" t="s">
        <v>9</v>
      </c>
      <c r="L121" s="1" t="s">
        <v>78</v>
      </c>
      <c r="M121" s="11" t="s">
        <v>188</v>
      </c>
      <c r="N121" s="1" t="s">
        <v>6037</v>
      </c>
      <c r="O121" s="1" t="s">
        <v>10</v>
      </c>
      <c r="P121" s="2" t="s">
        <v>581</v>
      </c>
      <c r="Q121" s="19" t="s">
        <v>5497</v>
      </c>
      <c r="R121" s="1" t="s">
        <v>1633</v>
      </c>
      <c r="S121" s="1" t="s">
        <v>6045</v>
      </c>
      <c r="T121" s="1" t="s">
        <v>6046</v>
      </c>
      <c r="U121" s="1" t="s">
        <v>6098</v>
      </c>
      <c r="V121" s="1" t="s">
        <v>6190</v>
      </c>
      <c r="W121" s="27">
        <v>82.142857142857139</v>
      </c>
      <c r="X121" s="27">
        <v>96.428571428571431</v>
      </c>
      <c r="Y121" s="33">
        <f>AVERAGE(Table13[[#This Row],[Score 1]],Table13[[#This Row],[Score 2]])</f>
        <v>89.285714285714278</v>
      </c>
      <c r="Z121" s="1">
        <v>4</v>
      </c>
      <c r="AA121" s="1">
        <v>5</v>
      </c>
      <c r="AB121" s="22">
        <f>Table13[[#This Row],[Rank 1]]+Table13[[#This Row],[Rank 2]]</f>
        <v>9</v>
      </c>
      <c r="AC121" s="1" t="str">
        <f>IF(AND(Table13[[#This Row],[Average score]]&gt;75,Table13[[#This Row],[Total rank]]&gt;6.5),"Yes","No")</f>
        <v>Yes</v>
      </c>
      <c r="AD121" s="1" t="str">
        <f>IF(AND(Table13[[#This Row],[Average score]]&gt;80,Table13[[#This Row],[Total rank]]&gt;7.5),"Yes","No")</f>
        <v>Yes</v>
      </c>
      <c r="AF121" s="9">
        <v>46054</v>
      </c>
      <c r="AG121" s="2">
        <v>2</v>
      </c>
      <c r="AH121" s="29">
        <v>180000</v>
      </c>
      <c r="AI121" s="29">
        <v>180000</v>
      </c>
      <c r="AJ121" s="30">
        <v>0</v>
      </c>
      <c r="AK121" s="30">
        <f>Table13[[#This Row],[Year 1]]</f>
        <v>180000</v>
      </c>
      <c r="AL121" s="30">
        <f>Table13[[#This Row],[Year 2]]</f>
        <v>180000</v>
      </c>
      <c r="AM121" s="30">
        <f>Table13[[#This Row],[Year 3]]</f>
        <v>0</v>
      </c>
      <c r="AN121" s="1">
        <v>3</v>
      </c>
    </row>
    <row r="122" spans="1:40" x14ac:dyDescent="0.25">
      <c r="A122" s="1" t="s">
        <v>48</v>
      </c>
      <c r="B122" s="1" t="s">
        <v>1241</v>
      </c>
      <c r="C122" s="1" t="s">
        <v>50</v>
      </c>
      <c r="D122" s="1" t="s">
        <v>1355</v>
      </c>
      <c r="E122" s="1" t="s">
        <v>1356</v>
      </c>
      <c r="F122" s="22" t="s">
        <v>3</v>
      </c>
      <c r="G122" s="1" t="s">
        <v>6085</v>
      </c>
      <c r="H122" s="1" t="s">
        <v>5</v>
      </c>
      <c r="I122" s="1" t="s">
        <v>20</v>
      </c>
      <c r="J122" s="1" t="s">
        <v>25</v>
      </c>
      <c r="K122" s="1" t="s">
        <v>9</v>
      </c>
      <c r="L122" s="1" t="s">
        <v>78</v>
      </c>
      <c r="M122" s="11" t="s">
        <v>188</v>
      </c>
      <c r="N122" s="1" t="s">
        <v>6037</v>
      </c>
      <c r="O122" s="1" t="s">
        <v>15</v>
      </c>
      <c r="P122" s="1" t="s">
        <v>126</v>
      </c>
      <c r="Q122" s="1" t="s">
        <v>5498</v>
      </c>
      <c r="R122" s="1" t="s">
        <v>1629</v>
      </c>
      <c r="S122" s="1" t="s">
        <v>6057</v>
      </c>
      <c r="T122" s="1" t="s">
        <v>6058</v>
      </c>
      <c r="U122" s="1" t="s">
        <v>6095</v>
      </c>
      <c r="V122" s="1" t="s">
        <v>6186</v>
      </c>
      <c r="W122" s="27">
        <v>92.857142857142861</v>
      </c>
      <c r="X122" s="27">
        <v>96.428571428571431</v>
      </c>
      <c r="Y122" s="33">
        <f>AVERAGE(Table13[[#This Row],[Score 1]],Table13[[#This Row],[Score 2]])</f>
        <v>94.642857142857139</v>
      </c>
      <c r="Z122" s="1">
        <v>5</v>
      </c>
      <c r="AA122" s="1">
        <v>5</v>
      </c>
      <c r="AB122" s="22">
        <f>Table13[[#This Row],[Rank 1]]+Table13[[#This Row],[Rank 2]]</f>
        <v>10</v>
      </c>
      <c r="AC122" s="1" t="str">
        <f>IF(AND(Table13[[#This Row],[Average score]]&gt;75,Table13[[#This Row],[Total rank]]&gt;6.5),"Yes","No")</f>
        <v>Yes</v>
      </c>
      <c r="AD122" s="1" t="str">
        <f>IF(AND(Table13[[#This Row],[Average score]]&gt;80,Table13[[#This Row],[Total rank]]&gt;7.5),"Yes","No")</f>
        <v>Yes</v>
      </c>
      <c r="AE122" s="1" t="s">
        <v>6221</v>
      </c>
      <c r="AF122" s="8">
        <v>45699</v>
      </c>
      <c r="AG122" s="1">
        <v>3</v>
      </c>
      <c r="AH122" s="27">
        <v>350000</v>
      </c>
      <c r="AI122" s="27">
        <v>350000</v>
      </c>
      <c r="AJ122" s="27">
        <v>350000</v>
      </c>
      <c r="AK122" s="27">
        <f>Table13[[#This Row],[Year 1]]</f>
        <v>350000</v>
      </c>
      <c r="AL122" s="27">
        <f>Table13[[#This Row],[Year 2]]</f>
        <v>350000</v>
      </c>
      <c r="AM122" s="27">
        <f>Table13[[#This Row],[Year 3]]</f>
        <v>350000</v>
      </c>
      <c r="AN122" s="1">
        <v>3</v>
      </c>
    </row>
    <row r="123" spans="1:40" x14ac:dyDescent="0.25">
      <c r="A123" s="1" t="s">
        <v>48</v>
      </c>
      <c r="B123" s="25" t="s">
        <v>2341</v>
      </c>
      <c r="C123" s="1" t="s">
        <v>50</v>
      </c>
      <c r="D123" s="1" t="s">
        <v>3132</v>
      </c>
      <c r="E123" s="1" t="s">
        <v>3133</v>
      </c>
      <c r="F123" s="22" t="s">
        <v>3</v>
      </c>
      <c r="G123" s="1" t="s">
        <v>6085</v>
      </c>
      <c r="H123" s="1" t="s">
        <v>5</v>
      </c>
      <c r="I123" s="1" t="s">
        <v>20</v>
      </c>
      <c r="J123" s="1" t="s">
        <v>26</v>
      </c>
      <c r="K123" s="1" t="s">
        <v>9</v>
      </c>
      <c r="L123" s="1" t="s">
        <v>53</v>
      </c>
      <c r="M123" s="11" t="s">
        <v>188</v>
      </c>
      <c r="N123" s="1" t="s">
        <v>6037</v>
      </c>
      <c r="O123" s="1" t="s">
        <v>14</v>
      </c>
      <c r="P123" s="1" t="s">
        <v>66</v>
      </c>
      <c r="Q123" s="1" t="s">
        <v>5808</v>
      </c>
      <c r="R123" s="1" t="s">
        <v>4534</v>
      </c>
      <c r="S123" s="1" t="s">
        <v>6148</v>
      </c>
      <c r="T123" s="1" t="s">
        <v>6149</v>
      </c>
      <c r="U123" s="1" t="s">
        <v>6166</v>
      </c>
      <c r="V123" s="1" t="s">
        <v>6204</v>
      </c>
      <c r="W123" s="27">
        <v>89.285714285714292</v>
      </c>
      <c r="X123" s="27">
        <v>92.857142857142861</v>
      </c>
      <c r="Y123" s="33">
        <f>AVERAGE(Table13[[#This Row],[Score 1]],Table13[[#This Row],[Score 2]])</f>
        <v>91.071428571428584</v>
      </c>
      <c r="Z123" s="1">
        <v>5</v>
      </c>
      <c r="AA123" s="1">
        <v>5</v>
      </c>
      <c r="AB123" s="22">
        <f>Table13[[#This Row],[Rank 1]]+Table13[[#This Row],[Rank 2]]</f>
        <v>10</v>
      </c>
      <c r="AC123" s="1" t="str">
        <f>IF(AND(Table13[[#This Row],[Average score]]&gt;75,Table13[[#This Row],[Total rank]]&gt;6.5),"Yes","No")</f>
        <v>Yes</v>
      </c>
      <c r="AD123" s="1" t="str">
        <f>IF(AND(Table13[[#This Row],[Average score]]&gt;80,Table13[[#This Row],[Total rank]]&gt;7.5),"Yes","No")</f>
        <v>Yes</v>
      </c>
      <c r="AE123" s="1" t="s">
        <v>6221</v>
      </c>
      <c r="AF123" s="8">
        <v>45687</v>
      </c>
      <c r="AG123" s="1">
        <v>3</v>
      </c>
      <c r="AH123" s="27">
        <v>22000</v>
      </c>
      <c r="AI123" s="27">
        <v>172800</v>
      </c>
      <c r="AJ123" s="27">
        <v>212000</v>
      </c>
      <c r="AK123" s="29">
        <v>173000</v>
      </c>
      <c r="AL123" s="29">
        <f>Table13[[#This Row],[Year 3]]</f>
        <v>212000</v>
      </c>
      <c r="AM123" s="29">
        <v>0</v>
      </c>
      <c r="AN123" s="1">
        <v>3</v>
      </c>
    </row>
    <row r="124" spans="1:40" hidden="1" x14ac:dyDescent="0.25">
      <c r="A124" s="1" t="s">
        <v>48</v>
      </c>
      <c r="B124" s="25" t="s">
        <v>2323</v>
      </c>
      <c r="C124" s="1" t="s">
        <v>50</v>
      </c>
      <c r="D124" s="1" t="s">
        <v>3096</v>
      </c>
      <c r="E124" s="1" t="s">
        <v>3097</v>
      </c>
      <c r="F124" s="22" t="s">
        <v>3</v>
      </c>
      <c r="G124" s="1" t="s">
        <v>6085</v>
      </c>
      <c r="H124" s="1" t="s">
        <v>5</v>
      </c>
      <c r="I124" s="1" t="s">
        <v>20</v>
      </c>
      <c r="J124" s="1" t="s">
        <v>25</v>
      </c>
      <c r="K124" s="1" t="s">
        <v>9</v>
      </c>
      <c r="L124" s="1" t="s">
        <v>53</v>
      </c>
      <c r="M124" s="11" t="s">
        <v>188</v>
      </c>
      <c r="N124" s="1" t="s">
        <v>6037</v>
      </c>
      <c r="O124" s="1" t="s">
        <v>14</v>
      </c>
      <c r="P124" s="1" t="s">
        <v>593</v>
      </c>
      <c r="Q124" s="1" t="s">
        <v>5793</v>
      </c>
      <c r="R124" s="1" t="s">
        <v>4489</v>
      </c>
      <c r="S124" s="1" t="s">
        <v>6148</v>
      </c>
      <c r="T124" s="1" t="s">
        <v>6149</v>
      </c>
      <c r="U124" s="1" t="s">
        <v>6166</v>
      </c>
      <c r="V124" s="1" t="s">
        <v>6204</v>
      </c>
      <c r="W124" s="27">
        <v>67.857142857142861</v>
      </c>
      <c r="X124" s="27">
        <v>82.142857142857139</v>
      </c>
      <c r="Y124" s="33">
        <f>AVERAGE(Table13[[#This Row],[Score 1]],Table13[[#This Row],[Score 2]])</f>
        <v>75</v>
      </c>
      <c r="Z124" s="1">
        <v>3</v>
      </c>
      <c r="AA124" s="1">
        <v>4</v>
      </c>
      <c r="AB124" s="22">
        <f>Table13[[#This Row],[Rank 1]]+Table13[[#This Row],[Rank 2]]</f>
        <v>7</v>
      </c>
      <c r="AC124" s="1" t="str">
        <f>IF(AND(Table13[[#This Row],[Average score]]&gt;75,Table13[[#This Row],[Total rank]]&gt;6.5),"Yes","No")</f>
        <v>No</v>
      </c>
      <c r="AD124" s="1" t="str">
        <f>IF(AND(Table13[[#This Row],[Average score]]&gt;80,Table13[[#This Row],[Total rank]]&gt;7.5),"Yes","No")</f>
        <v>No</v>
      </c>
      <c r="AF124" s="8">
        <v>46023</v>
      </c>
      <c r="AG124" s="1">
        <v>3</v>
      </c>
      <c r="AH124" s="27">
        <v>349790</v>
      </c>
      <c r="AI124" s="27">
        <v>349790</v>
      </c>
      <c r="AJ124" s="27">
        <v>349790</v>
      </c>
      <c r="AK124" s="27">
        <f>Table13[[#This Row],[Year 1]]</f>
        <v>349790</v>
      </c>
      <c r="AL124" s="27">
        <f>Table13[[#This Row],[Year 2]]</f>
        <v>349790</v>
      </c>
      <c r="AM124" s="27">
        <f>Table13[[#This Row],[Year 3]]</f>
        <v>349790</v>
      </c>
      <c r="AN124" s="1">
        <v>3</v>
      </c>
    </row>
    <row r="125" spans="1:40" x14ac:dyDescent="0.25">
      <c r="A125" s="1" t="s">
        <v>48</v>
      </c>
      <c r="B125" s="1" t="s">
        <v>1247</v>
      </c>
      <c r="C125" s="1" t="s">
        <v>50</v>
      </c>
      <c r="D125" s="1" t="s">
        <v>1367</v>
      </c>
      <c r="E125" s="1" t="s">
        <v>1368</v>
      </c>
      <c r="F125" s="22" t="s">
        <v>3</v>
      </c>
      <c r="G125" s="1" t="s">
        <v>6085</v>
      </c>
      <c r="H125" s="1" t="s">
        <v>5</v>
      </c>
      <c r="I125" s="1" t="s">
        <v>20</v>
      </c>
      <c r="J125" s="1" t="s">
        <v>26</v>
      </c>
      <c r="K125" s="1" t="s">
        <v>8</v>
      </c>
      <c r="L125" s="1" t="s">
        <v>78</v>
      </c>
      <c r="M125" s="11" t="s">
        <v>188</v>
      </c>
      <c r="N125" s="1" t="s">
        <v>6037</v>
      </c>
      <c r="O125" s="1" t="s">
        <v>19</v>
      </c>
      <c r="P125" s="1" t="s">
        <v>1642</v>
      </c>
      <c r="Q125" s="1" t="s">
        <v>5502</v>
      </c>
      <c r="R125" s="1" t="s">
        <v>1643</v>
      </c>
      <c r="S125" s="1" t="s">
        <v>6137</v>
      </c>
      <c r="T125" s="1" t="s">
        <v>6138</v>
      </c>
      <c r="U125" s="1" t="s">
        <v>6160</v>
      </c>
      <c r="V125" s="1" t="s">
        <v>6203</v>
      </c>
      <c r="W125" s="27">
        <v>93.75</v>
      </c>
      <c r="X125" s="27">
        <v>100</v>
      </c>
      <c r="Y125" s="33">
        <f>AVERAGE(Table13[[#This Row],[Score 1]],Table13[[#This Row],[Score 2]])</f>
        <v>96.875</v>
      </c>
      <c r="Z125" s="1">
        <v>4</v>
      </c>
      <c r="AA125" s="1">
        <v>5</v>
      </c>
      <c r="AB125" s="22">
        <f>Table13[[#This Row],[Rank 1]]+Table13[[#This Row],[Rank 2]]</f>
        <v>9</v>
      </c>
      <c r="AC125" s="1" t="str">
        <f>IF(AND(Table13[[#This Row],[Average score]]&gt;75,Table13[[#This Row],[Total rank]]&gt;6.5),"Yes","No")</f>
        <v>Yes</v>
      </c>
      <c r="AD125" s="1" t="str">
        <f>IF(AND(Table13[[#This Row],[Average score]]&gt;80,Table13[[#This Row],[Total rank]]&gt;7.5),"Yes","No")</f>
        <v>Yes</v>
      </c>
      <c r="AE125" s="1" t="s">
        <v>6221</v>
      </c>
      <c r="AF125" s="8">
        <v>46036</v>
      </c>
      <c r="AG125" s="1">
        <v>3</v>
      </c>
      <c r="AH125" s="27">
        <v>1943500</v>
      </c>
      <c r="AI125" s="27">
        <v>2197000</v>
      </c>
      <c r="AJ125" s="27">
        <v>2450500</v>
      </c>
      <c r="AK125" s="27">
        <v>750000</v>
      </c>
      <c r="AL125" s="27">
        <v>750000</v>
      </c>
      <c r="AM125" s="27">
        <v>750000</v>
      </c>
      <c r="AN125" s="1">
        <v>3</v>
      </c>
    </row>
    <row r="126" spans="1:40" hidden="1" x14ac:dyDescent="0.25">
      <c r="A126" s="1" t="s">
        <v>48</v>
      </c>
      <c r="B126" s="1" t="s">
        <v>1230</v>
      </c>
      <c r="C126" s="1" t="s">
        <v>50</v>
      </c>
      <c r="D126" s="1" t="s">
        <v>1333</v>
      </c>
      <c r="E126" s="1" t="s">
        <v>1334</v>
      </c>
      <c r="F126" s="22" t="s">
        <v>3</v>
      </c>
      <c r="G126" s="1" t="s">
        <v>6085</v>
      </c>
      <c r="H126" s="1" t="s">
        <v>6</v>
      </c>
      <c r="I126" s="1" t="s">
        <v>20</v>
      </c>
      <c r="J126" s="1" t="s">
        <v>25</v>
      </c>
      <c r="K126" s="1" t="s">
        <v>9</v>
      </c>
      <c r="L126" s="1" t="s">
        <v>78</v>
      </c>
      <c r="M126" s="11" t="s">
        <v>188</v>
      </c>
      <c r="N126" s="1" t="s">
        <v>6037</v>
      </c>
      <c r="O126" s="1" t="s">
        <v>13</v>
      </c>
      <c r="P126" s="1" t="s">
        <v>126</v>
      </c>
      <c r="Q126" s="1" t="s">
        <v>5505</v>
      </c>
      <c r="R126" s="1" t="s">
        <v>1608</v>
      </c>
      <c r="S126" s="1" t="s">
        <v>6064</v>
      </c>
      <c r="T126" s="1" t="s">
        <v>6065</v>
      </c>
      <c r="U126" s="1" t="s">
        <v>6102</v>
      </c>
      <c r="V126" s="1" t="s">
        <v>6197</v>
      </c>
      <c r="W126" s="27">
        <v>78.571428571428569</v>
      </c>
      <c r="X126" s="27">
        <v>82.142857142857139</v>
      </c>
      <c r="Y126" s="33">
        <f>AVERAGE(Table13[[#This Row],[Score 1]],Table13[[#This Row],[Score 2]])</f>
        <v>80.357142857142861</v>
      </c>
      <c r="Z126" s="1">
        <v>4</v>
      </c>
      <c r="AA126" s="1">
        <v>5</v>
      </c>
      <c r="AB126" s="22">
        <f>Table13[[#This Row],[Rank 1]]+Table13[[#This Row],[Rank 2]]</f>
        <v>9</v>
      </c>
      <c r="AC126" s="1" t="str">
        <f>IF(AND(Table13[[#This Row],[Average score]]&gt;75,Table13[[#This Row],[Total rank]]&gt;6.5),"Yes","No")</f>
        <v>Yes</v>
      </c>
      <c r="AD126" s="1" t="str">
        <f>IF(AND(Table13[[#This Row],[Average score]]&gt;80,Table13[[#This Row],[Total rank]]&gt;7.5),"Yes","No")</f>
        <v>Yes</v>
      </c>
      <c r="AF126" s="8">
        <v>46055</v>
      </c>
      <c r="AG126" s="1">
        <v>2</v>
      </c>
      <c r="AH126" s="27">
        <v>190000</v>
      </c>
      <c r="AI126" s="27">
        <v>200000</v>
      </c>
      <c r="AJ126" s="30">
        <v>0</v>
      </c>
      <c r="AK126" s="30">
        <f>Table13[[#This Row],[Year 1]]</f>
        <v>190000</v>
      </c>
      <c r="AL126" s="30">
        <f>Table13[[#This Row],[Year 2]]</f>
        <v>200000</v>
      </c>
      <c r="AM126" s="30">
        <f>Table13[[#This Row],[Year 3]]</f>
        <v>0</v>
      </c>
      <c r="AN126" s="1">
        <v>3</v>
      </c>
    </row>
    <row r="127" spans="1:40" hidden="1" x14ac:dyDescent="0.25">
      <c r="A127" s="1" t="s">
        <v>48</v>
      </c>
      <c r="B127" s="2" t="s">
        <v>1244</v>
      </c>
      <c r="C127" s="1" t="s">
        <v>50</v>
      </c>
      <c r="D127" s="1" t="s">
        <v>1361</v>
      </c>
      <c r="E127" s="1" t="s">
        <v>1362</v>
      </c>
      <c r="F127" s="22" t="s">
        <v>3</v>
      </c>
      <c r="G127" s="1" t="s">
        <v>6085</v>
      </c>
      <c r="H127" s="1" t="s">
        <v>6</v>
      </c>
      <c r="I127" s="1" t="s">
        <v>20</v>
      </c>
      <c r="J127" s="1" t="s">
        <v>26</v>
      </c>
      <c r="K127" s="1" t="s">
        <v>9</v>
      </c>
      <c r="L127" s="1" t="s">
        <v>78</v>
      </c>
      <c r="M127" s="11" t="s">
        <v>188</v>
      </c>
      <c r="N127" s="1" t="s">
        <v>6037</v>
      </c>
      <c r="O127" s="1" t="s">
        <v>10</v>
      </c>
      <c r="P127" s="1" t="s">
        <v>247</v>
      </c>
      <c r="Q127" s="18" t="s">
        <v>5506</v>
      </c>
      <c r="R127" s="1" t="s">
        <v>1634</v>
      </c>
      <c r="S127" s="1" t="s">
        <v>6048</v>
      </c>
      <c r="T127" s="1" t="s">
        <v>6051</v>
      </c>
      <c r="U127" s="1" t="s">
        <v>6086</v>
      </c>
      <c r="V127" s="1" t="s">
        <v>6193</v>
      </c>
      <c r="W127" s="27">
        <v>64.285714285714292</v>
      </c>
      <c r="X127" s="27">
        <v>57.142857142857139</v>
      </c>
      <c r="Y127" s="33">
        <f>AVERAGE(Table13[[#This Row],[Score 1]],Table13[[#This Row],[Score 2]])</f>
        <v>60.714285714285715</v>
      </c>
      <c r="Z127" s="1">
        <v>3</v>
      </c>
      <c r="AA127" s="1">
        <v>3</v>
      </c>
      <c r="AB127" s="22">
        <f>Table13[[#This Row],[Rank 1]]+Table13[[#This Row],[Rank 2]]</f>
        <v>6</v>
      </c>
      <c r="AC127" s="1" t="str">
        <f>IF(AND(Table13[[#This Row],[Average score]]&gt;75,Table13[[#This Row],[Total rank]]&gt;6.5),"Yes","No")</f>
        <v>No</v>
      </c>
      <c r="AD127" s="1" t="str">
        <f>IF(AND(Table13[[#This Row],[Average score]]&gt;80,Table13[[#This Row],[Total rank]]&gt;7.5),"Yes","No")</f>
        <v>No</v>
      </c>
      <c r="AF127" s="8">
        <v>45686</v>
      </c>
      <c r="AG127" s="1">
        <v>2</v>
      </c>
      <c r="AH127" s="27">
        <v>74775.11</v>
      </c>
      <c r="AI127" s="27">
        <v>117136</v>
      </c>
      <c r="AJ127" s="30">
        <v>0</v>
      </c>
      <c r="AK127" s="30">
        <f>Table13[[#This Row],[Year 1]]</f>
        <v>74775.11</v>
      </c>
      <c r="AL127" s="30">
        <f>Table13[[#This Row],[Year 2]]</f>
        <v>117136</v>
      </c>
      <c r="AM127" s="30">
        <f>Table13[[#This Row],[Year 3]]</f>
        <v>0</v>
      </c>
      <c r="AN127" s="1">
        <v>2</v>
      </c>
    </row>
    <row r="128" spans="1:40" hidden="1" x14ac:dyDescent="0.25">
      <c r="A128" s="1" t="s">
        <v>48</v>
      </c>
      <c r="B128" s="2" t="s">
        <v>1237</v>
      </c>
      <c r="C128" s="1" t="s">
        <v>50</v>
      </c>
      <c r="D128" s="1" t="s">
        <v>1347</v>
      </c>
      <c r="E128" s="1" t="s">
        <v>1348</v>
      </c>
      <c r="F128" s="22" t="s">
        <v>3</v>
      </c>
      <c r="G128" s="1" t="s">
        <v>6085</v>
      </c>
      <c r="H128" s="1" t="s">
        <v>6</v>
      </c>
      <c r="I128" s="1" t="s">
        <v>20</v>
      </c>
      <c r="J128" s="1" t="s">
        <v>26</v>
      </c>
      <c r="K128" s="1" t="s">
        <v>9</v>
      </c>
      <c r="L128" s="1" t="s">
        <v>78</v>
      </c>
      <c r="M128" s="1" t="s">
        <v>1013</v>
      </c>
      <c r="N128" s="1" t="s">
        <v>6037</v>
      </c>
      <c r="O128" s="1" t="s">
        <v>18</v>
      </c>
      <c r="P128" s="1" t="s">
        <v>1620</v>
      </c>
      <c r="Q128" s="1" t="s">
        <v>5507</v>
      </c>
      <c r="R128" s="20" t="s">
        <v>1621</v>
      </c>
      <c r="S128" s="1" t="s">
        <v>6059</v>
      </c>
      <c r="T128" s="1" t="s">
        <v>6060</v>
      </c>
      <c r="U128" s="1" t="s">
        <v>6096</v>
      </c>
      <c r="V128" s="1" t="s">
        <v>6214</v>
      </c>
      <c r="W128" s="27">
        <v>77.777777777777786</v>
      </c>
      <c r="X128" s="29">
        <f>Table13[[#This Row],[Score 1]]</f>
        <v>77.777777777777786</v>
      </c>
      <c r="Y128" s="33">
        <f>AVERAGE(Table13[[#This Row],[Score 1]],Table13[[#This Row],[Score 2]])</f>
        <v>77.777777777777786</v>
      </c>
      <c r="Z128" s="1">
        <v>4</v>
      </c>
      <c r="AA128" s="2">
        <f>Table13[[#This Row],[Rank 1]]</f>
        <v>4</v>
      </c>
      <c r="AB128" s="22">
        <f>Table13[[#This Row],[Rank 1]]+Table13[[#This Row],[Rank 2]]</f>
        <v>8</v>
      </c>
      <c r="AC128" s="1" t="str">
        <f>IF(AND(Table13[[#This Row],[Average score]]&gt;75,Table13[[#This Row],[Total rank]]&gt;6.5),"Yes","No")</f>
        <v>Yes</v>
      </c>
      <c r="AD128" s="1" t="str">
        <f>IF(AND(Table13[[#This Row],[Average score]]&gt;80,Table13[[#This Row],[Total rank]]&gt;7.5),"Yes","No")</f>
        <v>No</v>
      </c>
      <c r="AF128" s="8">
        <v>46069</v>
      </c>
      <c r="AG128" s="1">
        <v>2</v>
      </c>
      <c r="AH128" s="27">
        <v>150000</v>
      </c>
      <c r="AI128" s="27">
        <v>150000</v>
      </c>
      <c r="AJ128" s="30">
        <v>0</v>
      </c>
      <c r="AK128" s="30">
        <f>Table13[[#This Row],[Year 1]]</f>
        <v>150000</v>
      </c>
      <c r="AL128" s="30">
        <f>Table13[[#This Row],[Year 2]]</f>
        <v>150000</v>
      </c>
      <c r="AM128" s="30">
        <f>Table13[[#This Row],[Year 3]]</f>
        <v>0</v>
      </c>
      <c r="AN128" s="1">
        <v>2</v>
      </c>
    </row>
    <row r="129" spans="1:40" hidden="1" x14ac:dyDescent="0.25">
      <c r="A129" s="1" t="s">
        <v>48</v>
      </c>
      <c r="B129" s="2" t="s">
        <v>1250</v>
      </c>
      <c r="C129" s="1" t="s">
        <v>50</v>
      </c>
      <c r="D129" s="1" t="s">
        <v>1373</v>
      </c>
      <c r="E129" s="1" t="s">
        <v>1374</v>
      </c>
      <c r="F129" s="22" t="s">
        <v>3</v>
      </c>
      <c r="G129" s="1" t="s">
        <v>6085</v>
      </c>
      <c r="H129" s="1" t="s">
        <v>6</v>
      </c>
      <c r="I129" s="1" t="s">
        <v>20</v>
      </c>
      <c r="J129" s="1" t="s">
        <v>26</v>
      </c>
      <c r="K129" s="1" t="s">
        <v>9</v>
      </c>
      <c r="L129" s="1" t="s">
        <v>78</v>
      </c>
      <c r="M129" s="11" t="s">
        <v>188</v>
      </c>
      <c r="N129" s="1" t="s">
        <v>6037</v>
      </c>
      <c r="O129" s="1" t="s">
        <v>18</v>
      </c>
      <c r="P129" s="1" t="s">
        <v>247</v>
      </c>
      <c r="Q129" s="1" t="s">
        <v>5508</v>
      </c>
      <c r="R129" s="19" t="s">
        <v>1651</v>
      </c>
      <c r="S129" s="1" t="s">
        <v>6152</v>
      </c>
      <c r="T129" s="1" t="s">
        <v>6205</v>
      </c>
      <c r="U129" s="1" t="s">
        <v>6178</v>
      </c>
      <c r="V129" s="1" t="s">
        <v>6159</v>
      </c>
      <c r="W129" s="27">
        <v>67.857142857142861</v>
      </c>
      <c r="X129" s="27">
        <v>89.285714285714292</v>
      </c>
      <c r="Y129" s="33">
        <f>AVERAGE(Table13[[#This Row],[Score 1]],Table13[[#This Row],[Score 2]])</f>
        <v>78.571428571428584</v>
      </c>
      <c r="Z129" s="1">
        <v>4</v>
      </c>
      <c r="AA129" s="1">
        <v>4</v>
      </c>
      <c r="AB129" s="22">
        <f>Table13[[#This Row],[Rank 1]]+Table13[[#This Row],[Rank 2]]</f>
        <v>8</v>
      </c>
      <c r="AC129" s="1" t="str">
        <f>IF(AND(Table13[[#This Row],[Average score]]&gt;75,Table13[[#This Row],[Total rank]]&gt;6.5),"Yes","No")</f>
        <v>Yes</v>
      </c>
      <c r="AD129" s="1" t="str">
        <f>IF(AND(Table13[[#This Row],[Average score]]&gt;80,Table13[[#This Row],[Total rank]]&gt;7.5),"Yes","No")</f>
        <v>No</v>
      </c>
      <c r="AF129" s="8">
        <v>46048</v>
      </c>
      <c r="AG129" s="1">
        <v>2</v>
      </c>
      <c r="AH129" s="27">
        <v>193080</v>
      </c>
      <c r="AI129" s="27">
        <v>183080</v>
      </c>
      <c r="AJ129" s="30">
        <v>0</v>
      </c>
      <c r="AK129" s="30">
        <f>Table13[[#This Row],[Year 1]]</f>
        <v>193080</v>
      </c>
      <c r="AL129" s="30">
        <f>Table13[[#This Row],[Year 2]]</f>
        <v>183080</v>
      </c>
      <c r="AM129" s="30">
        <f>Table13[[#This Row],[Year 3]]</f>
        <v>0</v>
      </c>
      <c r="AN129" s="1">
        <v>3</v>
      </c>
    </row>
    <row r="130" spans="1:40" hidden="1" x14ac:dyDescent="0.25">
      <c r="A130" s="1" t="s">
        <v>48</v>
      </c>
      <c r="B130" s="1" t="s">
        <v>1245</v>
      </c>
      <c r="C130" s="1" t="s">
        <v>50</v>
      </c>
      <c r="D130" s="1" t="s">
        <v>1363</v>
      </c>
      <c r="E130" s="1" t="s">
        <v>1364</v>
      </c>
      <c r="F130" s="22" t="s">
        <v>3</v>
      </c>
      <c r="G130" s="1" t="s">
        <v>6085</v>
      </c>
      <c r="H130" s="1" t="s">
        <v>5</v>
      </c>
      <c r="I130" s="1" t="s">
        <v>20</v>
      </c>
      <c r="J130" s="1" t="s">
        <v>25</v>
      </c>
      <c r="K130" s="1" t="s">
        <v>9</v>
      </c>
      <c r="L130" s="1" t="s">
        <v>78</v>
      </c>
      <c r="M130" s="1" t="s">
        <v>1013</v>
      </c>
      <c r="N130" s="1" t="s">
        <v>6037</v>
      </c>
      <c r="O130" s="1" t="s">
        <v>11</v>
      </c>
      <c r="P130" s="1" t="s">
        <v>66</v>
      </c>
      <c r="Q130" s="1" t="s">
        <v>1414</v>
      </c>
      <c r="R130" s="1" t="s">
        <v>1637</v>
      </c>
      <c r="S130" s="1" t="s">
        <v>6053</v>
      </c>
      <c r="T130" s="1" t="s">
        <v>6054</v>
      </c>
      <c r="U130" s="1" t="s">
        <v>6087</v>
      </c>
      <c r="V130" s="1" t="s">
        <v>6170</v>
      </c>
      <c r="W130" s="27">
        <v>57.142857142857139</v>
      </c>
      <c r="X130" s="27">
        <v>64.285714285714292</v>
      </c>
      <c r="Y130" s="33">
        <f>AVERAGE(Table13[[#This Row],[Score 1]],Table13[[#This Row],[Score 2]])</f>
        <v>60.714285714285715</v>
      </c>
      <c r="Z130" s="1">
        <v>3</v>
      </c>
      <c r="AA130" s="1">
        <v>2</v>
      </c>
      <c r="AB130" s="22">
        <f>Table13[[#This Row],[Rank 1]]+Table13[[#This Row],[Rank 2]]</f>
        <v>5</v>
      </c>
      <c r="AC130" s="1" t="str">
        <f>IF(AND(Table13[[#This Row],[Average score]]&gt;75,Table13[[#This Row],[Total rank]]&gt;6.5),"Yes","No")</f>
        <v>No</v>
      </c>
      <c r="AD130" s="1" t="str">
        <f>IF(AND(Table13[[#This Row],[Average score]]&gt;80,Table13[[#This Row],[Total rank]]&gt;7.5),"Yes","No")</f>
        <v>No</v>
      </c>
      <c r="AF130" s="8">
        <v>45658</v>
      </c>
      <c r="AG130" s="1">
        <v>2</v>
      </c>
      <c r="AH130" s="27">
        <v>40000</v>
      </c>
      <c r="AI130" s="27">
        <v>40000</v>
      </c>
      <c r="AJ130" s="30">
        <v>0</v>
      </c>
      <c r="AK130" s="30">
        <f>Table13[[#This Row],[Year 1]]</f>
        <v>40000</v>
      </c>
      <c r="AL130" s="30">
        <f>Table13[[#This Row],[Year 2]]</f>
        <v>40000</v>
      </c>
      <c r="AM130" s="30">
        <f>Table13[[#This Row],[Year 3]]</f>
        <v>0</v>
      </c>
      <c r="AN130" s="1">
        <v>3</v>
      </c>
    </row>
    <row r="131" spans="1:40" hidden="1" x14ac:dyDescent="0.25">
      <c r="A131" s="1" t="s">
        <v>48</v>
      </c>
      <c r="B131" s="1" t="s">
        <v>1248</v>
      </c>
      <c r="C131" s="1" t="s">
        <v>50</v>
      </c>
      <c r="D131" s="1" t="s">
        <v>1369</v>
      </c>
      <c r="E131" s="1" t="s">
        <v>1370</v>
      </c>
      <c r="F131" s="22" t="s">
        <v>3</v>
      </c>
      <c r="G131" s="1" t="s">
        <v>6085</v>
      </c>
      <c r="H131" s="1" t="s">
        <v>6</v>
      </c>
      <c r="I131" s="1" t="s">
        <v>20</v>
      </c>
      <c r="J131" s="1" t="s">
        <v>25</v>
      </c>
      <c r="K131" s="1" t="s">
        <v>9</v>
      </c>
      <c r="L131" s="1" t="s">
        <v>78</v>
      </c>
      <c r="M131" s="11" t="s">
        <v>188</v>
      </c>
      <c r="N131" s="1" t="s">
        <v>6037</v>
      </c>
      <c r="O131" s="1" t="s">
        <v>13</v>
      </c>
      <c r="P131" s="1" t="s">
        <v>284</v>
      </c>
      <c r="Q131" s="1" t="s">
        <v>5510</v>
      </c>
      <c r="R131" s="1" t="s">
        <v>1647</v>
      </c>
      <c r="S131" s="1" t="s">
        <v>6072</v>
      </c>
      <c r="T131" s="1" t="s">
        <v>6073</v>
      </c>
      <c r="U131" s="1" t="s">
        <v>6092</v>
      </c>
      <c r="V131" s="1" t="s">
        <v>6176</v>
      </c>
      <c r="W131" s="27">
        <v>60.714285714285708</v>
      </c>
      <c r="X131" s="27">
        <v>82.142857142857139</v>
      </c>
      <c r="Y131" s="33">
        <f>AVERAGE(Table13[[#This Row],[Score 1]],Table13[[#This Row],[Score 2]])</f>
        <v>71.428571428571416</v>
      </c>
      <c r="Z131" s="1">
        <v>2</v>
      </c>
      <c r="AA131" s="1">
        <v>4</v>
      </c>
      <c r="AB131" s="22">
        <f>Table13[[#This Row],[Rank 1]]+Table13[[#This Row],[Rank 2]]</f>
        <v>6</v>
      </c>
      <c r="AC131" s="1" t="str">
        <f>IF(AND(Table13[[#This Row],[Average score]]&gt;75,Table13[[#This Row],[Total rank]]&gt;6.5),"Yes","No")</f>
        <v>No</v>
      </c>
      <c r="AD131" s="1" t="str">
        <f>IF(AND(Table13[[#This Row],[Average score]]&gt;80,Table13[[#This Row],[Total rank]]&gt;7.5),"Yes","No")</f>
        <v>No</v>
      </c>
      <c r="AF131" s="8">
        <v>45679</v>
      </c>
      <c r="AG131" s="1">
        <v>1</v>
      </c>
      <c r="AH131" s="27">
        <v>175240</v>
      </c>
      <c r="AI131" s="30">
        <v>0</v>
      </c>
      <c r="AJ131" s="30">
        <v>0</v>
      </c>
      <c r="AK131" s="30">
        <f>Table13[[#This Row],[Year 1]]</f>
        <v>175240</v>
      </c>
      <c r="AL131" s="30">
        <f>Table13[[#This Row],[Year 2]]</f>
        <v>0</v>
      </c>
      <c r="AM131" s="30">
        <f>Table13[[#This Row],[Year 3]]</f>
        <v>0</v>
      </c>
      <c r="AN131" s="1">
        <v>3</v>
      </c>
    </row>
    <row r="132" spans="1:40" hidden="1" x14ac:dyDescent="0.25">
      <c r="A132" s="1" t="s">
        <v>48</v>
      </c>
      <c r="B132" s="1" t="s">
        <v>1251</v>
      </c>
      <c r="C132" s="1" t="s">
        <v>50</v>
      </c>
      <c r="D132" s="1" t="s">
        <v>1375</v>
      </c>
      <c r="E132" s="1" t="s">
        <v>1376</v>
      </c>
      <c r="F132" s="22" t="s">
        <v>3</v>
      </c>
      <c r="G132" s="1" t="s">
        <v>6085</v>
      </c>
      <c r="H132" s="1" t="s">
        <v>6</v>
      </c>
      <c r="I132" s="1" t="s">
        <v>20</v>
      </c>
      <c r="J132" s="1" t="s">
        <v>26</v>
      </c>
      <c r="K132" s="1" t="s">
        <v>9</v>
      </c>
      <c r="L132" s="1" t="s">
        <v>78</v>
      </c>
      <c r="M132" s="11" t="s">
        <v>188</v>
      </c>
      <c r="N132" s="1" t="s">
        <v>6037</v>
      </c>
      <c r="O132" s="1" t="s">
        <v>11</v>
      </c>
      <c r="P132" s="1" t="s">
        <v>581</v>
      </c>
      <c r="Q132" s="1" t="s">
        <v>5512</v>
      </c>
      <c r="R132" s="1" t="s">
        <v>1654</v>
      </c>
      <c r="S132" s="1" t="s">
        <v>6053</v>
      </c>
      <c r="T132" s="1" t="s">
        <v>6054</v>
      </c>
      <c r="U132" s="1" t="s">
        <v>6087</v>
      </c>
      <c r="V132" s="1" t="s">
        <v>6170</v>
      </c>
      <c r="W132" s="27">
        <v>64.285714285714292</v>
      </c>
      <c r="X132" s="27">
        <v>67.857142857142861</v>
      </c>
      <c r="Y132" s="33">
        <f>AVERAGE(Table13[[#This Row],[Score 1]],Table13[[#This Row],[Score 2]])</f>
        <v>66.071428571428584</v>
      </c>
      <c r="Z132" s="1">
        <v>3</v>
      </c>
      <c r="AA132" s="1">
        <v>3</v>
      </c>
      <c r="AB132" s="22">
        <f>Table13[[#This Row],[Rank 1]]+Table13[[#This Row],[Rank 2]]</f>
        <v>6</v>
      </c>
      <c r="AC132" s="1" t="str">
        <f>IF(AND(Table13[[#This Row],[Average score]]&gt;75,Table13[[#This Row],[Total rank]]&gt;6.5),"Yes","No")</f>
        <v>No</v>
      </c>
      <c r="AD132" s="1" t="str">
        <f>IF(AND(Table13[[#This Row],[Average score]]&gt;80,Table13[[#This Row],[Total rank]]&gt;7.5),"Yes","No")</f>
        <v>No</v>
      </c>
      <c r="AF132" s="8">
        <v>45691</v>
      </c>
      <c r="AG132" s="1">
        <v>2</v>
      </c>
      <c r="AH132" s="27">
        <v>168471</v>
      </c>
      <c r="AI132" s="27">
        <v>96750</v>
      </c>
      <c r="AJ132" s="30">
        <v>0</v>
      </c>
      <c r="AK132" s="30">
        <f>Table13[[#This Row],[Year 1]]</f>
        <v>168471</v>
      </c>
      <c r="AL132" s="30">
        <f>Table13[[#This Row],[Year 2]]</f>
        <v>96750</v>
      </c>
      <c r="AM132" s="30">
        <f>Table13[[#This Row],[Year 3]]</f>
        <v>0</v>
      </c>
      <c r="AN132" s="1">
        <v>3</v>
      </c>
    </row>
    <row r="133" spans="1:40" hidden="1" x14ac:dyDescent="0.25">
      <c r="A133" s="1" t="s">
        <v>48</v>
      </c>
      <c r="B133" s="1" t="s">
        <v>1240</v>
      </c>
      <c r="C133" s="1" t="s">
        <v>50</v>
      </c>
      <c r="D133" s="1" t="s">
        <v>1353</v>
      </c>
      <c r="E133" s="1" t="s">
        <v>1354</v>
      </c>
      <c r="F133" s="22" t="s">
        <v>3</v>
      </c>
      <c r="G133" s="1" t="s">
        <v>6085</v>
      </c>
      <c r="H133" s="1" t="s">
        <v>5</v>
      </c>
      <c r="I133" s="1" t="s">
        <v>20</v>
      </c>
      <c r="J133" s="1" t="s">
        <v>26</v>
      </c>
      <c r="K133" s="1" t="s">
        <v>9</v>
      </c>
      <c r="L133" s="1" t="s">
        <v>78</v>
      </c>
      <c r="M133" s="11" t="s">
        <v>188</v>
      </c>
      <c r="N133" s="1" t="s">
        <v>6037</v>
      </c>
      <c r="O133" s="1" t="s">
        <v>14</v>
      </c>
      <c r="P133" s="1" t="s">
        <v>1627</v>
      </c>
      <c r="Q133" s="1" t="s">
        <v>5515</v>
      </c>
      <c r="R133" s="1" t="s">
        <v>1628</v>
      </c>
      <c r="S133" s="1" t="s">
        <v>6139</v>
      </c>
      <c r="T133" s="1" t="s">
        <v>6140</v>
      </c>
      <c r="U133" s="1" t="s">
        <v>6162</v>
      </c>
      <c r="V133" s="1" t="s">
        <v>6187</v>
      </c>
      <c r="W133" s="27">
        <v>71.428571428571431</v>
      </c>
      <c r="X133" s="27">
        <v>85.714285714285708</v>
      </c>
      <c r="Y133" s="33">
        <f>AVERAGE(Table13[[#This Row],[Score 1]],Table13[[#This Row],[Score 2]])</f>
        <v>78.571428571428569</v>
      </c>
      <c r="Z133" s="1">
        <v>3</v>
      </c>
      <c r="AA133" s="1">
        <v>3</v>
      </c>
      <c r="AB133" s="22">
        <f>Table13[[#This Row],[Rank 1]]+Table13[[#This Row],[Rank 2]]</f>
        <v>6</v>
      </c>
      <c r="AC133" s="1" t="str">
        <f>IF(AND(Table13[[#This Row],[Average score]]&gt;75,Table13[[#This Row],[Total rank]]&gt;6.5),"Yes","No")</f>
        <v>No</v>
      </c>
      <c r="AD133" s="1" t="str">
        <f>IF(AND(Table13[[#This Row],[Average score]]&gt;80,Table13[[#This Row],[Total rank]]&gt;7.5),"Yes","No")</f>
        <v>No</v>
      </c>
      <c r="AF133" s="8">
        <v>46051</v>
      </c>
      <c r="AG133" s="1">
        <v>3</v>
      </c>
      <c r="AH133" s="27">
        <v>100000</v>
      </c>
      <c r="AI133" s="27">
        <v>100000</v>
      </c>
      <c r="AJ133" s="27">
        <v>100000</v>
      </c>
      <c r="AK133" s="27">
        <f>Table13[[#This Row],[Year 1]]</f>
        <v>100000</v>
      </c>
      <c r="AL133" s="27">
        <f>Table13[[#This Row],[Year 2]]</f>
        <v>100000</v>
      </c>
      <c r="AM133" s="27">
        <f>Table13[[#This Row],[Year 3]]</f>
        <v>100000</v>
      </c>
      <c r="AN133" s="1">
        <v>3</v>
      </c>
    </row>
    <row r="134" spans="1:40" hidden="1" x14ac:dyDescent="0.25">
      <c r="A134" s="1" t="s">
        <v>48</v>
      </c>
      <c r="B134" s="1" t="s">
        <v>1231</v>
      </c>
      <c r="C134" s="1" t="s">
        <v>50</v>
      </c>
      <c r="D134" s="1" t="s">
        <v>1335</v>
      </c>
      <c r="E134" s="1" t="s">
        <v>1336</v>
      </c>
      <c r="F134" s="22" t="s">
        <v>3</v>
      </c>
      <c r="G134" s="1" t="s">
        <v>6085</v>
      </c>
      <c r="H134" s="1" t="s">
        <v>6</v>
      </c>
      <c r="I134" s="1" t="s">
        <v>22</v>
      </c>
      <c r="J134" s="1" t="s">
        <v>25</v>
      </c>
      <c r="K134" s="1" t="s">
        <v>8</v>
      </c>
      <c r="L134" s="1" t="s">
        <v>78</v>
      </c>
      <c r="M134" s="11" t="s">
        <v>188</v>
      </c>
      <c r="N134" s="1" t="s">
        <v>6037</v>
      </c>
      <c r="O134" s="1" t="s">
        <v>15</v>
      </c>
      <c r="P134" s="1" t="s">
        <v>1417</v>
      </c>
      <c r="Q134" s="1" t="s">
        <v>5517</v>
      </c>
      <c r="R134" s="1" t="s">
        <v>1609</v>
      </c>
      <c r="S134" s="1" t="s">
        <v>6057</v>
      </c>
      <c r="T134" s="1" t="s">
        <v>6058</v>
      </c>
      <c r="U134" s="1" t="s">
        <v>6095</v>
      </c>
      <c r="V134" s="1" t="s">
        <v>6186</v>
      </c>
      <c r="W134" s="27">
        <v>78.125</v>
      </c>
      <c r="X134" s="27">
        <v>68.75</v>
      </c>
      <c r="Y134" s="33">
        <f>AVERAGE(Table13[[#This Row],[Score 1]],Table13[[#This Row],[Score 2]])</f>
        <v>73.4375</v>
      </c>
      <c r="Z134" s="1">
        <v>4</v>
      </c>
      <c r="AA134" s="1">
        <v>2</v>
      </c>
      <c r="AB134" s="22">
        <f>Table13[[#This Row],[Rank 1]]+Table13[[#This Row],[Rank 2]]</f>
        <v>6</v>
      </c>
      <c r="AC134" s="1" t="str">
        <f>IF(AND(Table13[[#This Row],[Average score]]&gt;75,Table13[[#This Row],[Total rank]]&gt;6.5),"Yes","No")</f>
        <v>No</v>
      </c>
      <c r="AD134" s="1" t="str">
        <f>IF(AND(Table13[[#This Row],[Average score]]&gt;80,Table13[[#This Row],[Total rank]]&gt;7.5),"Yes","No")</f>
        <v>No</v>
      </c>
      <c r="AF134" s="8">
        <v>46029</v>
      </c>
      <c r="AG134" s="1">
        <v>2</v>
      </c>
      <c r="AH134" s="27">
        <v>301525.25</v>
      </c>
      <c r="AI134" s="27">
        <v>301525.25</v>
      </c>
      <c r="AJ134" s="30">
        <v>0</v>
      </c>
      <c r="AK134" s="30">
        <f>Table13[[#This Row],[Year 1]]</f>
        <v>301525.25</v>
      </c>
      <c r="AL134" s="30">
        <f>Table13[[#This Row],[Year 2]]</f>
        <v>301525.25</v>
      </c>
      <c r="AM134" s="30">
        <f>Table13[[#This Row],[Year 3]]</f>
        <v>0</v>
      </c>
      <c r="AN134" s="1">
        <v>3</v>
      </c>
    </row>
    <row r="135" spans="1:40" x14ac:dyDescent="0.25">
      <c r="A135" s="1" t="s">
        <v>48</v>
      </c>
      <c r="B135" s="10" t="s">
        <v>1229</v>
      </c>
      <c r="C135" s="1" t="s">
        <v>50</v>
      </c>
      <c r="D135" s="1" t="s">
        <v>1331</v>
      </c>
      <c r="E135" s="1" t="s">
        <v>1332</v>
      </c>
      <c r="F135" s="22" t="s">
        <v>3</v>
      </c>
      <c r="G135" s="1" t="s">
        <v>6085</v>
      </c>
      <c r="H135" s="1" t="s">
        <v>5</v>
      </c>
      <c r="I135" s="1" t="s">
        <v>20</v>
      </c>
      <c r="J135" s="1" t="s">
        <v>25</v>
      </c>
      <c r="K135" s="1" t="s">
        <v>9</v>
      </c>
      <c r="L135" s="1" t="s">
        <v>78</v>
      </c>
      <c r="M135" s="11" t="s">
        <v>188</v>
      </c>
      <c r="N135" s="1" t="s">
        <v>6037</v>
      </c>
      <c r="O135" s="1" t="s">
        <v>16</v>
      </c>
      <c r="P135" s="1" t="s">
        <v>162</v>
      </c>
      <c r="Q135" s="1" t="s">
        <v>5518</v>
      </c>
      <c r="R135" s="1" t="s">
        <v>1605</v>
      </c>
      <c r="S135" s="1" t="s">
        <v>6113</v>
      </c>
      <c r="T135" s="1" t="s">
        <v>6114</v>
      </c>
      <c r="U135" s="2" t="s">
        <v>6128</v>
      </c>
      <c r="V135" s="1" t="s">
        <v>6182</v>
      </c>
      <c r="W135" s="29">
        <f>Table13[[#This Row],[Score 2]]</f>
        <v>92.857142857142861</v>
      </c>
      <c r="X135" s="27">
        <v>92.857142857142861</v>
      </c>
      <c r="Y135" s="33">
        <f>AVERAGE(Table13[[#This Row],[Score 1]],Table13[[#This Row],[Score 2]])</f>
        <v>92.857142857142861</v>
      </c>
      <c r="Z135" s="2">
        <f>Table13[[#This Row],[Rank 2]]</f>
        <v>5</v>
      </c>
      <c r="AA135" s="1">
        <v>5</v>
      </c>
      <c r="AB135" s="22">
        <f>Table13[[#This Row],[Rank 1]]+Table13[[#This Row],[Rank 2]]</f>
        <v>10</v>
      </c>
      <c r="AC135" s="1" t="str">
        <f>IF(AND(Table13[[#This Row],[Average score]]&gt;75,Table13[[#This Row],[Total rank]]&gt;6.5),"Yes","No")</f>
        <v>Yes</v>
      </c>
      <c r="AD135" s="1" t="str">
        <f>IF(AND(Table13[[#This Row],[Average score]]&gt;80,Table13[[#This Row],[Total rank]]&gt;7.5),"Yes","No")</f>
        <v>Yes</v>
      </c>
      <c r="AE135" s="1" t="s">
        <v>6221</v>
      </c>
      <c r="AF135" s="8">
        <v>45596</v>
      </c>
      <c r="AG135" s="1">
        <v>2</v>
      </c>
      <c r="AH135" s="27">
        <v>393500</v>
      </c>
      <c r="AI135" s="27">
        <v>200500</v>
      </c>
      <c r="AJ135" s="30">
        <v>0</v>
      </c>
      <c r="AK135" s="27">
        <v>350000</v>
      </c>
      <c r="AL135" s="30">
        <v>200000</v>
      </c>
      <c r="AM135" s="30">
        <f>Table13[[#This Row],[Year 3]]</f>
        <v>0</v>
      </c>
      <c r="AN135" s="1">
        <v>3</v>
      </c>
    </row>
    <row r="136" spans="1:40" hidden="1" x14ac:dyDescent="0.25">
      <c r="A136" s="1" t="s">
        <v>48</v>
      </c>
      <c r="B136" s="1" t="s">
        <v>1234</v>
      </c>
      <c r="C136" s="1" t="s">
        <v>50</v>
      </c>
      <c r="D136" s="1" t="s">
        <v>1341</v>
      </c>
      <c r="E136" s="1" t="s">
        <v>1342</v>
      </c>
      <c r="F136" s="22" t="s">
        <v>3</v>
      </c>
      <c r="G136" s="1" t="s">
        <v>6085</v>
      </c>
      <c r="H136" s="1" t="s">
        <v>6</v>
      </c>
      <c r="I136" s="1" t="s">
        <v>21</v>
      </c>
      <c r="J136" s="1" t="s">
        <v>25</v>
      </c>
      <c r="K136" s="1" t="s">
        <v>9</v>
      </c>
      <c r="L136" s="1" t="s">
        <v>78</v>
      </c>
      <c r="M136" s="11" t="s">
        <v>188</v>
      </c>
      <c r="N136" s="1" t="s">
        <v>6037</v>
      </c>
      <c r="O136" s="1" t="s">
        <v>13</v>
      </c>
      <c r="P136" s="1" t="s">
        <v>593</v>
      </c>
      <c r="Q136" s="1" t="s">
        <v>5520</v>
      </c>
      <c r="R136" s="1" t="s">
        <v>1615</v>
      </c>
      <c r="S136" s="1" t="s">
        <v>6075</v>
      </c>
      <c r="T136" s="1" t="s">
        <v>6074</v>
      </c>
      <c r="U136" s="1" t="s">
        <v>6093</v>
      </c>
      <c r="V136" s="1" t="s">
        <v>6181</v>
      </c>
      <c r="W136" s="27">
        <v>78.571428571428569</v>
      </c>
      <c r="X136" s="27">
        <v>53.571428571428569</v>
      </c>
      <c r="Y136" s="33">
        <f>AVERAGE(Table13[[#This Row],[Score 1]],Table13[[#This Row],[Score 2]])</f>
        <v>66.071428571428569</v>
      </c>
      <c r="Z136" s="1">
        <v>4</v>
      </c>
      <c r="AA136" s="1">
        <v>2</v>
      </c>
      <c r="AB136" s="22">
        <f>Table13[[#This Row],[Rank 1]]+Table13[[#This Row],[Rank 2]]</f>
        <v>6</v>
      </c>
      <c r="AC136" s="1" t="str">
        <f>IF(AND(Table13[[#This Row],[Average score]]&gt;75,Table13[[#This Row],[Total rank]]&gt;6.5),"Yes","No")</f>
        <v>No</v>
      </c>
      <c r="AD136" s="1" t="str">
        <f>IF(AND(Table13[[#This Row],[Average score]]&gt;80,Table13[[#This Row],[Total rank]]&gt;7.5),"Yes","No")</f>
        <v>No</v>
      </c>
      <c r="AF136" s="8">
        <v>46023</v>
      </c>
      <c r="AG136" s="1">
        <v>1</v>
      </c>
      <c r="AH136" s="27">
        <v>77000</v>
      </c>
      <c r="AI136" s="30">
        <v>0</v>
      </c>
      <c r="AJ136" s="30">
        <v>0</v>
      </c>
      <c r="AK136" s="30">
        <f>Table13[[#This Row],[Year 1]]</f>
        <v>77000</v>
      </c>
      <c r="AL136" s="30">
        <f>Table13[[#This Row],[Year 2]]</f>
        <v>0</v>
      </c>
      <c r="AM136" s="30">
        <f>Table13[[#This Row],[Year 3]]</f>
        <v>0</v>
      </c>
      <c r="AN136" s="1">
        <v>2</v>
      </c>
    </row>
    <row r="137" spans="1:40" hidden="1" x14ac:dyDescent="0.25">
      <c r="A137" s="1" t="s">
        <v>48</v>
      </c>
      <c r="B137" s="2" t="s">
        <v>1709</v>
      </c>
      <c r="C137" s="1" t="s">
        <v>50</v>
      </c>
      <c r="D137" s="1" t="s">
        <v>1710</v>
      </c>
      <c r="E137" s="1" t="s">
        <v>1711</v>
      </c>
      <c r="F137" s="22" t="s">
        <v>3</v>
      </c>
      <c r="G137" s="1" t="s">
        <v>6085</v>
      </c>
      <c r="H137" s="1" t="s">
        <v>5</v>
      </c>
      <c r="I137" s="1" t="s">
        <v>20</v>
      </c>
      <c r="J137" s="1" t="s">
        <v>25</v>
      </c>
      <c r="K137" s="1" t="s">
        <v>9</v>
      </c>
      <c r="L137" s="1" t="s">
        <v>53</v>
      </c>
      <c r="M137" s="11" t="s">
        <v>188</v>
      </c>
      <c r="N137" s="1" t="s">
        <v>6037</v>
      </c>
      <c r="O137" s="1" t="s">
        <v>13</v>
      </c>
      <c r="P137" s="1" t="s">
        <v>1773</v>
      </c>
      <c r="Q137" s="1" t="s">
        <v>5524</v>
      </c>
      <c r="R137" s="1" t="s">
        <v>1774</v>
      </c>
      <c r="S137" s="1" t="s">
        <v>6066</v>
      </c>
      <c r="T137" s="1" t="s">
        <v>6067</v>
      </c>
      <c r="U137" s="1" t="s">
        <v>6103</v>
      </c>
      <c r="V137" s="1" t="s">
        <v>6198</v>
      </c>
      <c r="W137" s="27">
        <v>71.428571428571431</v>
      </c>
      <c r="X137" s="29">
        <f>Table13[[#This Row],[Score 1]]</f>
        <v>71.428571428571431</v>
      </c>
      <c r="Y137" s="33">
        <f>AVERAGE(Table13[[#This Row],[Score 1]],Table13[[#This Row],[Score 2]])</f>
        <v>71.428571428571431</v>
      </c>
      <c r="Z137" s="1">
        <v>4</v>
      </c>
      <c r="AA137" s="2">
        <f>Table13[[#This Row],[Rank 1]]</f>
        <v>4</v>
      </c>
      <c r="AB137" s="22">
        <f>Table13[[#This Row],[Rank 1]]+Table13[[#This Row],[Rank 2]]</f>
        <v>8</v>
      </c>
      <c r="AC137" s="1" t="str">
        <f>IF(AND(Table13[[#This Row],[Average score]]&gt;75,Table13[[#This Row],[Total rank]]&gt;6.5),"Yes","No")</f>
        <v>No</v>
      </c>
      <c r="AD137" s="1" t="str">
        <f>IF(AND(Table13[[#This Row],[Average score]]&gt;80,Table13[[#This Row],[Total rank]]&gt;7.5),"Yes","No")</f>
        <v>No</v>
      </c>
      <c r="AF137" s="8">
        <v>46113</v>
      </c>
      <c r="AG137" s="1">
        <v>3</v>
      </c>
      <c r="AH137" s="27">
        <v>145000</v>
      </c>
      <c r="AI137" s="27">
        <v>65000</v>
      </c>
      <c r="AJ137" s="27">
        <v>65000</v>
      </c>
      <c r="AK137" s="27">
        <f>Table13[[#This Row],[Year 1]]</f>
        <v>145000</v>
      </c>
      <c r="AL137" s="27">
        <f>Table13[[#This Row],[Year 2]]</f>
        <v>65000</v>
      </c>
      <c r="AM137" s="27">
        <f>Table13[[#This Row],[Year 3]]</f>
        <v>65000</v>
      </c>
      <c r="AN137" s="1">
        <v>2</v>
      </c>
    </row>
    <row r="138" spans="1:40" hidden="1" x14ac:dyDescent="0.25">
      <c r="A138" s="1" t="s">
        <v>48</v>
      </c>
      <c r="B138" s="25" t="s">
        <v>2328</v>
      </c>
      <c r="C138" s="1" t="s">
        <v>50</v>
      </c>
      <c r="D138" s="1" t="s">
        <v>3106</v>
      </c>
      <c r="E138" s="1" t="s">
        <v>3107</v>
      </c>
      <c r="F138" s="22" t="s">
        <v>3</v>
      </c>
      <c r="G138" s="1" t="s">
        <v>6085</v>
      </c>
      <c r="H138" s="1" t="s">
        <v>5</v>
      </c>
      <c r="I138" s="1" t="s">
        <v>24</v>
      </c>
      <c r="J138" s="1" t="s">
        <v>26</v>
      </c>
      <c r="K138" s="1" t="s">
        <v>8</v>
      </c>
      <c r="L138" s="1" t="s">
        <v>53</v>
      </c>
      <c r="M138" s="11" t="s">
        <v>188</v>
      </c>
      <c r="N138" s="1" t="s">
        <v>6037</v>
      </c>
      <c r="O138" s="1" t="s">
        <v>14</v>
      </c>
      <c r="P138" s="1" t="s">
        <v>4500</v>
      </c>
      <c r="Q138" s="1" t="s">
        <v>5380</v>
      </c>
      <c r="R138" s="1" t="s">
        <v>4501</v>
      </c>
      <c r="S138" s="1" t="s">
        <v>6148</v>
      </c>
      <c r="T138" s="1" t="s">
        <v>6149</v>
      </c>
      <c r="U138" s="1" t="s">
        <v>6166</v>
      </c>
      <c r="V138" s="1" t="s">
        <v>6204</v>
      </c>
      <c r="W138" s="27">
        <v>65.625</v>
      </c>
      <c r="X138" s="27">
        <v>81.25</v>
      </c>
      <c r="Y138" s="33">
        <f>AVERAGE(Table13[[#This Row],[Score 1]],Table13[[#This Row],[Score 2]])</f>
        <v>73.4375</v>
      </c>
      <c r="Z138" s="1">
        <v>3</v>
      </c>
      <c r="AA138" s="1">
        <v>4</v>
      </c>
      <c r="AB138" s="22">
        <f>Table13[[#This Row],[Rank 1]]+Table13[[#This Row],[Rank 2]]</f>
        <v>7</v>
      </c>
      <c r="AC138" s="1" t="str">
        <f>IF(AND(Table13[[#This Row],[Average score]]&gt;75,Table13[[#This Row],[Total rank]]&gt;6.5),"Yes","No")</f>
        <v>No</v>
      </c>
      <c r="AD138" s="1" t="str">
        <f>IF(AND(Table13[[#This Row],[Average score]]&gt;80,Table13[[#This Row],[Total rank]]&gt;7.5),"Yes","No")</f>
        <v>No</v>
      </c>
      <c r="AF138" s="8">
        <v>46053</v>
      </c>
      <c r="AG138" s="1">
        <v>3</v>
      </c>
      <c r="AH138" s="27">
        <v>82387.5</v>
      </c>
      <c r="AI138" s="27">
        <v>50488.75</v>
      </c>
      <c r="AJ138" s="27">
        <v>68867.5</v>
      </c>
      <c r="AK138" s="27">
        <f>Table13[[#This Row],[Year 1]]</f>
        <v>82387.5</v>
      </c>
      <c r="AL138" s="27">
        <f>Table13[[#This Row],[Year 2]]</f>
        <v>50488.75</v>
      </c>
      <c r="AM138" s="27">
        <f>Table13[[#This Row],[Year 3]]</f>
        <v>68867.5</v>
      </c>
      <c r="AN138" s="1">
        <v>3</v>
      </c>
    </row>
    <row r="139" spans="1:40" hidden="1" x14ac:dyDescent="0.25">
      <c r="A139" s="1" t="s">
        <v>48</v>
      </c>
      <c r="B139" s="1" t="s">
        <v>1715</v>
      </c>
      <c r="C139" s="1" t="s">
        <v>50</v>
      </c>
      <c r="D139" s="1" t="s">
        <v>1716</v>
      </c>
      <c r="E139" s="1" t="s">
        <v>1717</v>
      </c>
      <c r="F139" s="22" t="s">
        <v>3</v>
      </c>
      <c r="G139" s="1" t="s">
        <v>6085</v>
      </c>
      <c r="H139" s="1" t="s">
        <v>6</v>
      </c>
      <c r="I139" s="1" t="s">
        <v>20</v>
      </c>
      <c r="J139" s="1" t="s">
        <v>25</v>
      </c>
      <c r="K139" s="1" t="s">
        <v>9</v>
      </c>
      <c r="L139" s="1" t="s">
        <v>53</v>
      </c>
      <c r="M139" s="11" t="s">
        <v>2091</v>
      </c>
      <c r="N139" s="1" t="s">
        <v>6037</v>
      </c>
      <c r="O139" s="1" t="s">
        <v>13</v>
      </c>
      <c r="P139" s="1" t="s">
        <v>126</v>
      </c>
      <c r="Q139" s="1" t="s">
        <v>5095</v>
      </c>
      <c r="R139" s="1" t="s">
        <v>1778</v>
      </c>
      <c r="S139" s="1" t="s">
        <v>6072</v>
      </c>
      <c r="T139" s="1" t="s">
        <v>6073</v>
      </c>
      <c r="U139" s="1" t="s">
        <v>6092</v>
      </c>
      <c r="V139" s="1" t="s">
        <v>6176</v>
      </c>
      <c r="W139" s="27">
        <v>75</v>
      </c>
      <c r="X139" s="27">
        <v>85.714285714285708</v>
      </c>
      <c r="Y139" s="33">
        <f>AVERAGE(Table13[[#This Row],[Score 1]],Table13[[#This Row],[Score 2]])</f>
        <v>80.357142857142861</v>
      </c>
      <c r="Z139" s="1">
        <v>3</v>
      </c>
      <c r="AA139" s="1">
        <v>4</v>
      </c>
      <c r="AB139" s="22">
        <f>Table13[[#This Row],[Rank 1]]+Table13[[#This Row],[Rank 2]]</f>
        <v>7</v>
      </c>
      <c r="AC139" s="1" t="str">
        <f>IF(AND(Table13[[#This Row],[Average score]]&gt;75,Table13[[#This Row],[Total rank]]&gt;6.5),"Yes","No")</f>
        <v>Yes</v>
      </c>
      <c r="AD139" s="1" t="str">
        <f>IF(AND(Table13[[#This Row],[Average score]]&gt;80,Table13[[#This Row],[Total rank]]&gt;7.5),"Yes","No")</f>
        <v>No</v>
      </c>
      <c r="AF139" s="8">
        <v>46098</v>
      </c>
      <c r="AG139" s="1">
        <v>2</v>
      </c>
      <c r="AH139" s="27">
        <v>110010</v>
      </c>
      <c r="AI139" s="27">
        <v>136050</v>
      </c>
      <c r="AJ139" s="30">
        <v>0</v>
      </c>
      <c r="AK139" s="30">
        <f>Table13[[#This Row],[Year 1]]</f>
        <v>110010</v>
      </c>
      <c r="AL139" s="30">
        <f>Table13[[#This Row],[Year 2]]</f>
        <v>136050</v>
      </c>
      <c r="AM139" s="30">
        <f>Table13[[#This Row],[Year 3]]</f>
        <v>0</v>
      </c>
      <c r="AN139" s="1">
        <v>3</v>
      </c>
    </row>
    <row r="140" spans="1:40" hidden="1" x14ac:dyDescent="0.25">
      <c r="A140" s="1" t="s">
        <v>48</v>
      </c>
      <c r="B140" s="1" t="s">
        <v>1718</v>
      </c>
      <c r="C140" s="1" t="s">
        <v>50</v>
      </c>
      <c r="D140" s="1" t="s">
        <v>1719</v>
      </c>
      <c r="E140" s="1" t="s">
        <v>1720</v>
      </c>
      <c r="F140" s="22" t="s">
        <v>3</v>
      </c>
      <c r="G140" s="1" t="s">
        <v>6085</v>
      </c>
      <c r="H140" s="1" t="s">
        <v>6</v>
      </c>
      <c r="I140" s="1" t="s">
        <v>20</v>
      </c>
      <c r="J140" s="1" t="s">
        <v>25</v>
      </c>
      <c r="K140" s="1" t="s">
        <v>9</v>
      </c>
      <c r="L140" s="1" t="s">
        <v>53</v>
      </c>
      <c r="M140" s="11" t="s">
        <v>188</v>
      </c>
      <c r="N140" s="1" t="s">
        <v>6037</v>
      </c>
      <c r="O140" s="1" t="s">
        <v>11</v>
      </c>
      <c r="P140" s="1" t="s">
        <v>126</v>
      </c>
      <c r="Q140" s="1" t="s">
        <v>5526</v>
      </c>
      <c r="R140" s="1" t="s">
        <v>1781</v>
      </c>
      <c r="S140" s="1" t="s">
        <v>6053</v>
      </c>
      <c r="T140" s="1" t="s">
        <v>6056</v>
      </c>
      <c r="U140" s="1" t="s">
        <v>6087</v>
      </c>
      <c r="V140" s="1" t="s">
        <v>6199</v>
      </c>
      <c r="W140" s="27">
        <v>85.714285714285708</v>
      </c>
      <c r="X140" s="27">
        <v>60.714285714285708</v>
      </c>
      <c r="Y140" s="33">
        <f>AVERAGE(Table13[[#This Row],[Score 1]],Table13[[#This Row],[Score 2]])</f>
        <v>73.214285714285708</v>
      </c>
      <c r="Z140" s="1">
        <v>5</v>
      </c>
      <c r="AA140" s="1">
        <v>2</v>
      </c>
      <c r="AB140" s="22">
        <f>Table13[[#This Row],[Rank 1]]+Table13[[#This Row],[Rank 2]]</f>
        <v>7</v>
      </c>
      <c r="AC140" s="1" t="str">
        <f>IF(AND(Table13[[#This Row],[Average score]]&gt;75,Table13[[#This Row],[Total rank]]&gt;6.5),"Yes","No")</f>
        <v>No</v>
      </c>
      <c r="AD140" s="1" t="str">
        <f>IF(AND(Table13[[#This Row],[Average score]]&gt;80,Table13[[#This Row],[Total rank]]&gt;7.5),"Yes","No")</f>
        <v>No</v>
      </c>
      <c r="AF140" s="8">
        <v>46069</v>
      </c>
      <c r="AG140" s="1">
        <v>2</v>
      </c>
      <c r="AH140" s="27">
        <v>217500</v>
      </c>
      <c r="AI140" s="27">
        <v>252500</v>
      </c>
      <c r="AJ140" s="30">
        <v>0</v>
      </c>
      <c r="AK140" s="30">
        <f>Table13[[#This Row],[Year 1]]</f>
        <v>217500</v>
      </c>
      <c r="AL140" s="30">
        <f>Table13[[#This Row],[Year 2]]</f>
        <v>252500</v>
      </c>
      <c r="AM140" s="30">
        <f>Table13[[#This Row],[Year 3]]</f>
        <v>0</v>
      </c>
      <c r="AN140" s="1">
        <v>3</v>
      </c>
    </row>
    <row r="141" spans="1:40" hidden="1" x14ac:dyDescent="0.25">
      <c r="A141" s="1" t="s">
        <v>48</v>
      </c>
      <c r="B141" s="1" t="s">
        <v>1721</v>
      </c>
      <c r="C141" s="1" t="s">
        <v>50</v>
      </c>
      <c r="D141" s="1" t="s">
        <v>1722</v>
      </c>
      <c r="E141" s="1" t="s">
        <v>1723</v>
      </c>
      <c r="F141" s="22" t="s">
        <v>3</v>
      </c>
      <c r="G141" s="1" t="s">
        <v>6085</v>
      </c>
      <c r="H141" s="1" t="s">
        <v>7</v>
      </c>
      <c r="I141" s="1" t="s">
        <v>20</v>
      </c>
      <c r="J141" s="1" t="s">
        <v>26</v>
      </c>
      <c r="K141" s="1" t="s">
        <v>9</v>
      </c>
      <c r="L141" s="1" t="s">
        <v>53</v>
      </c>
      <c r="M141" s="1" t="s">
        <v>5248</v>
      </c>
      <c r="N141" s="1" t="s">
        <v>6037</v>
      </c>
      <c r="O141" s="1" t="s">
        <v>10</v>
      </c>
      <c r="P141" s="1" t="s">
        <v>1456</v>
      </c>
      <c r="Q141" s="20" t="s">
        <v>5527</v>
      </c>
      <c r="R141" s="1" t="s">
        <v>1784</v>
      </c>
      <c r="S141" s="1" t="s">
        <v>6048</v>
      </c>
      <c r="T141" s="1" t="s">
        <v>6047</v>
      </c>
      <c r="U141" s="1" t="s">
        <v>6086</v>
      </c>
      <c r="V141" s="1" t="s">
        <v>6106</v>
      </c>
      <c r="W141" s="27">
        <v>77.777777777777786</v>
      </c>
      <c r="X141" s="27">
        <v>69.444444444444443</v>
      </c>
      <c r="Y141" s="33">
        <f>AVERAGE(Table13[[#This Row],[Score 1]],Table13[[#This Row],[Score 2]])</f>
        <v>73.611111111111114</v>
      </c>
      <c r="Z141" s="1">
        <v>3</v>
      </c>
      <c r="AA141" s="1">
        <v>4</v>
      </c>
      <c r="AB141" s="22">
        <f>Table13[[#This Row],[Rank 1]]+Table13[[#This Row],[Rank 2]]</f>
        <v>7</v>
      </c>
      <c r="AC141" s="1" t="str">
        <f>IF(AND(Table13[[#This Row],[Average score]]&gt;75,Table13[[#This Row],[Total rank]]&gt;6.5),"Yes","No")</f>
        <v>No</v>
      </c>
      <c r="AD141" s="1" t="str">
        <f>IF(AND(Table13[[#This Row],[Average score]]&gt;80,Table13[[#This Row],[Total rank]]&gt;7.5),"Yes","No")</f>
        <v>No</v>
      </c>
      <c r="AF141" s="8">
        <v>46023</v>
      </c>
      <c r="AG141" s="1">
        <v>2</v>
      </c>
      <c r="AH141" s="27">
        <v>664400</v>
      </c>
      <c r="AI141" s="27">
        <v>664400</v>
      </c>
      <c r="AJ141" s="30">
        <v>0</v>
      </c>
      <c r="AK141" s="30">
        <f>Table13[[#This Row],[Year 1]]</f>
        <v>664400</v>
      </c>
      <c r="AL141" s="30">
        <f>Table13[[#This Row],[Year 2]]</f>
        <v>664400</v>
      </c>
      <c r="AM141" s="30">
        <f>Table13[[#This Row],[Year 3]]</f>
        <v>0</v>
      </c>
      <c r="AN141" s="1">
        <v>3</v>
      </c>
    </row>
    <row r="142" spans="1:40" hidden="1" x14ac:dyDescent="0.25">
      <c r="A142" s="1" t="s">
        <v>48</v>
      </c>
      <c r="B142" s="1" t="s">
        <v>1724</v>
      </c>
      <c r="C142" s="1" t="s">
        <v>50</v>
      </c>
      <c r="D142" s="1" t="s">
        <v>1725</v>
      </c>
      <c r="E142" s="1" t="s">
        <v>1726</v>
      </c>
      <c r="F142" s="22" t="s">
        <v>3</v>
      </c>
      <c r="G142" s="1" t="s">
        <v>6085</v>
      </c>
      <c r="H142" s="1" t="s">
        <v>5</v>
      </c>
      <c r="I142" s="1" t="s">
        <v>20</v>
      </c>
      <c r="J142" s="1" t="s">
        <v>26</v>
      </c>
      <c r="K142" s="1" t="s">
        <v>9</v>
      </c>
      <c r="L142" s="1" t="s">
        <v>53</v>
      </c>
      <c r="M142" s="11" t="s">
        <v>188</v>
      </c>
      <c r="N142" s="1" t="s">
        <v>6037</v>
      </c>
      <c r="O142" s="1" t="s">
        <v>16</v>
      </c>
      <c r="P142" s="1" t="s">
        <v>1456</v>
      </c>
      <c r="Q142" s="1" t="s">
        <v>5528</v>
      </c>
      <c r="R142" s="1" t="s">
        <v>1786</v>
      </c>
      <c r="S142" s="1" t="s">
        <v>6117</v>
      </c>
      <c r="T142" s="1" t="s">
        <v>6118</v>
      </c>
      <c r="U142" s="1" t="s">
        <v>6126</v>
      </c>
      <c r="V142" s="1" t="s">
        <v>6177</v>
      </c>
      <c r="W142" s="27">
        <v>85.714285714285708</v>
      </c>
      <c r="X142" s="27">
        <v>82.142857142857139</v>
      </c>
      <c r="Y142" s="33">
        <f>AVERAGE(Table13[[#This Row],[Score 1]],Table13[[#This Row],[Score 2]])</f>
        <v>83.928571428571416</v>
      </c>
      <c r="Z142" s="1">
        <v>5</v>
      </c>
      <c r="AA142" s="1">
        <v>4</v>
      </c>
      <c r="AB142" s="22">
        <f>Table13[[#This Row],[Rank 1]]+Table13[[#This Row],[Rank 2]]</f>
        <v>9</v>
      </c>
      <c r="AC142" s="1" t="str">
        <f>IF(AND(Table13[[#This Row],[Average score]]&gt;75,Table13[[#This Row],[Total rank]]&gt;6.5),"Yes","No")</f>
        <v>Yes</v>
      </c>
      <c r="AD142" s="1" t="str">
        <f>IF(AND(Table13[[#This Row],[Average score]]&gt;80,Table13[[#This Row],[Total rank]]&gt;7.5),"Yes","No")</f>
        <v>Yes</v>
      </c>
      <c r="AF142" s="8">
        <v>46027</v>
      </c>
      <c r="AG142" s="1">
        <v>2</v>
      </c>
      <c r="AH142" s="27">
        <v>200750</v>
      </c>
      <c r="AI142" s="27">
        <v>200750</v>
      </c>
      <c r="AJ142" s="30">
        <v>0</v>
      </c>
      <c r="AK142" s="30">
        <f>Table13[[#This Row],[Year 1]]</f>
        <v>200750</v>
      </c>
      <c r="AL142" s="30">
        <f>Table13[[#This Row],[Year 2]]</f>
        <v>200750</v>
      </c>
      <c r="AM142" s="30">
        <f>Table13[[#This Row],[Year 3]]</f>
        <v>0</v>
      </c>
      <c r="AN142" s="1">
        <v>3</v>
      </c>
    </row>
    <row r="143" spans="1:40" x14ac:dyDescent="0.25">
      <c r="A143" s="1" t="s">
        <v>48</v>
      </c>
      <c r="B143" s="1" t="s">
        <v>1733</v>
      </c>
      <c r="C143" s="1" t="s">
        <v>50</v>
      </c>
      <c r="D143" s="1" t="s">
        <v>1734</v>
      </c>
      <c r="E143" s="1" t="s">
        <v>1735</v>
      </c>
      <c r="F143" s="22" t="s">
        <v>3</v>
      </c>
      <c r="G143" s="1" t="s">
        <v>6085</v>
      </c>
      <c r="H143" s="1" t="s">
        <v>5</v>
      </c>
      <c r="I143" s="1" t="s">
        <v>20</v>
      </c>
      <c r="J143" s="1" t="s">
        <v>26</v>
      </c>
      <c r="K143" s="1" t="s">
        <v>9</v>
      </c>
      <c r="L143" s="1" t="s">
        <v>53</v>
      </c>
      <c r="M143" s="11" t="s">
        <v>188</v>
      </c>
      <c r="N143" s="1" t="s">
        <v>6037</v>
      </c>
      <c r="O143" s="1" t="s">
        <v>10</v>
      </c>
      <c r="P143" s="1" t="s">
        <v>1519</v>
      </c>
      <c r="Q143" s="20" t="s">
        <v>5531</v>
      </c>
      <c r="R143" s="1" t="s">
        <v>1791</v>
      </c>
      <c r="S143" s="1" t="s">
        <v>6048</v>
      </c>
      <c r="T143" s="1" t="s">
        <v>6047</v>
      </c>
      <c r="U143" s="1" t="s">
        <v>6086</v>
      </c>
      <c r="V143" s="1" t="s">
        <v>6106</v>
      </c>
      <c r="W143" s="27">
        <v>89.285714285714292</v>
      </c>
      <c r="X143" s="27">
        <v>92.857142857142861</v>
      </c>
      <c r="Y143" s="33">
        <f>AVERAGE(Table13[[#This Row],[Score 1]],Table13[[#This Row],[Score 2]])</f>
        <v>91.071428571428584</v>
      </c>
      <c r="Z143" s="1">
        <v>4</v>
      </c>
      <c r="AA143" s="1">
        <v>4</v>
      </c>
      <c r="AB143" s="22">
        <f>Table13[[#This Row],[Rank 1]]+Table13[[#This Row],[Rank 2]]</f>
        <v>8</v>
      </c>
      <c r="AC143" s="1" t="str">
        <f>IF(AND(Table13[[#This Row],[Average score]]&gt;75,Table13[[#This Row],[Total rank]]&gt;6.5),"Yes","No")</f>
        <v>Yes</v>
      </c>
      <c r="AD143" s="1" t="str">
        <f>IF(AND(Table13[[#This Row],[Average score]]&gt;80,Table13[[#This Row],[Total rank]]&gt;7.5),"Yes","No")</f>
        <v>Yes</v>
      </c>
      <c r="AE143" s="2" t="s">
        <v>6221</v>
      </c>
      <c r="AF143" s="8">
        <v>45691</v>
      </c>
      <c r="AG143" s="1">
        <v>2</v>
      </c>
      <c r="AH143" s="27">
        <v>223380</v>
      </c>
      <c r="AI143" s="27">
        <v>223380</v>
      </c>
      <c r="AJ143" s="30">
        <v>0</v>
      </c>
      <c r="AK143" s="30">
        <v>224000</v>
      </c>
      <c r="AL143" s="30">
        <v>224000</v>
      </c>
      <c r="AM143" s="30">
        <f>Table13[[#This Row],[Year 3]]</f>
        <v>0</v>
      </c>
      <c r="AN143" s="1">
        <v>3</v>
      </c>
    </row>
    <row r="144" spans="1:40" hidden="1" x14ac:dyDescent="0.25">
      <c r="A144" s="1" t="s">
        <v>48</v>
      </c>
      <c r="B144" s="1" t="s">
        <v>1739</v>
      </c>
      <c r="C144" s="1" t="s">
        <v>50</v>
      </c>
      <c r="D144" s="1" t="s">
        <v>1740</v>
      </c>
      <c r="E144" s="1" t="s">
        <v>1741</v>
      </c>
      <c r="F144" s="22" t="s">
        <v>3</v>
      </c>
      <c r="G144" s="1" t="s">
        <v>6085</v>
      </c>
      <c r="H144" s="1" t="s">
        <v>7</v>
      </c>
      <c r="I144" s="1" t="s">
        <v>20</v>
      </c>
      <c r="J144" s="1" t="s">
        <v>26</v>
      </c>
      <c r="K144" s="1" t="s">
        <v>9</v>
      </c>
      <c r="L144" s="1" t="s">
        <v>53</v>
      </c>
      <c r="M144" s="11" t="s">
        <v>188</v>
      </c>
      <c r="N144" s="1" t="s">
        <v>6037</v>
      </c>
      <c r="O144" s="1" t="s">
        <v>13</v>
      </c>
      <c r="P144" s="1" t="s">
        <v>1796</v>
      </c>
      <c r="Q144" s="1" t="s">
        <v>5533</v>
      </c>
      <c r="R144" s="1" t="s">
        <v>1797</v>
      </c>
      <c r="S144" s="1" t="s">
        <v>6075</v>
      </c>
      <c r="T144" s="1" t="s">
        <v>6074</v>
      </c>
      <c r="U144" s="1" t="s">
        <v>6093</v>
      </c>
      <c r="V144" s="1" t="s">
        <v>6181</v>
      </c>
      <c r="W144" s="27">
        <v>61.111111111111114</v>
      </c>
      <c r="X144" s="27">
        <v>36.111111111111107</v>
      </c>
      <c r="Y144" s="33">
        <f>AVERAGE(Table13[[#This Row],[Score 1]],Table13[[#This Row],[Score 2]])</f>
        <v>48.611111111111114</v>
      </c>
      <c r="Z144" s="1">
        <v>2</v>
      </c>
      <c r="AA144" s="1">
        <v>1</v>
      </c>
      <c r="AB144" s="22">
        <f>Table13[[#This Row],[Rank 1]]+Table13[[#This Row],[Rank 2]]</f>
        <v>3</v>
      </c>
      <c r="AC144" s="1" t="str">
        <f>IF(AND(Table13[[#This Row],[Average score]]&gt;75,Table13[[#This Row],[Total rank]]&gt;6.5),"Yes","No")</f>
        <v>No</v>
      </c>
      <c r="AD144" s="1" t="str">
        <f>IF(AND(Table13[[#This Row],[Average score]]&gt;80,Table13[[#This Row],[Total rank]]&gt;7.5),"Yes","No")</f>
        <v>No</v>
      </c>
      <c r="AF144" s="8">
        <v>46113</v>
      </c>
      <c r="AG144" s="1">
        <v>3</v>
      </c>
      <c r="AH144" s="27">
        <v>222265</v>
      </c>
      <c r="AI144" s="27">
        <v>288456</v>
      </c>
      <c r="AJ144" s="27">
        <v>283664</v>
      </c>
      <c r="AK144" s="27">
        <f>Table13[[#This Row],[Year 1]]</f>
        <v>222265</v>
      </c>
      <c r="AL144" s="27">
        <f>Table13[[#This Row],[Year 2]]</f>
        <v>288456</v>
      </c>
      <c r="AM144" s="27">
        <f>Table13[[#This Row],[Year 3]]</f>
        <v>283664</v>
      </c>
      <c r="AN144" s="1">
        <v>3</v>
      </c>
    </row>
    <row r="145" spans="1:40" hidden="1" x14ac:dyDescent="0.25">
      <c r="A145" s="1" t="s">
        <v>48</v>
      </c>
      <c r="B145" s="1" t="s">
        <v>1742</v>
      </c>
      <c r="C145" s="1" t="s">
        <v>50</v>
      </c>
      <c r="D145" s="1" t="s">
        <v>1743</v>
      </c>
      <c r="E145" s="1" t="s">
        <v>1744</v>
      </c>
      <c r="F145" s="22" t="s">
        <v>3</v>
      </c>
      <c r="G145" s="1" t="s">
        <v>6085</v>
      </c>
      <c r="H145" s="1" t="s">
        <v>7</v>
      </c>
      <c r="I145" s="1" t="s">
        <v>22</v>
      </c>
      <c r="J145" s="1" t="s">
        <v>25</v>
      </c>
      <c r="K145" s="1" t="s">
        <v>9</v>
      </c>
      <c r="L145" s="1" t="s">
        <v>53</v>
      </c>
      <c r="M145" s="11" t="s">
        <v>188</v>
      </c>
      <c r="N145" s="1" t="s">
        <v>6037</v>
      </c>
      <c r="O145" s="1" t="s">
        <v>13</v>
      </c>
      <c r="P145" s="1" t="s">
        <v>1801</v>
      </c>
      <c r="Q145" s="1" t="s">
        <v>5534</v>
      </c>
      <c r="R145" s="1" t="s">
        <v>1802</v>
      </c>
      <c r="S145" s="1" t="s">
        <v>6075</v>
      </c>
      <c r="T145" s="1" t="s">
        <v>6074</v>
      </c>
      <c r="U145" s="1" t="s">
        <v>6093</v>
      </c>
      <c r="V145" s="1" t="s">
        <v>6181</v>
      </c>
      <c r="W145" s="27">
        <v>72.222222222222214</v>
      </c>
      <c r="X145" s="27">
        <v>61.111111111111114</v>
      </c>
      <c r="Y145" s="33">
        <f>AVERAGE(Table13[[#This Row],[Score 1]],Table13[[#This Row],[Score 2]])</f>
        <v>66.666666666666657</v>
      </c>
      <c r="Z145" s="1">
        <v>2</v>
      </c>
      <c r="AA145" s="1">
        <v>3</v>
      </c>
      <c r="AB145" s="22">
        <f>Table13[[#This Row],[Rank 1]]+Table13[[#This Row],[Rank 2]]</f>
        <v>5</v>
      </c>
      <c r="AC145" s="1" t="str">
        <f>IF(AND(Table13[[#This Row],[Average score]]&gt;75,Table13[[#This Row],[Total rank]]&gt;6.5),"Yes","No")</f>
        <v>No</v>
      </c>
      <c r="AD145" s="1" t="str">
        <f>IF(AND(Table13[[#This Row],[Average score]]&gt;80,Table13[[#This Row],[Total rank]]&gt;7.5),"Yes","No")</f>
        <v>No</v>
      </c>
      <c r="AF145" s="8">
        <v>46023</v>
      </c>
      <c r="AG145" s="1">
        <v>2</v>
      </c>
      <c r="AH145" s="27">
        <v>285000</v>
      </c>
      <c r="AI145" s="27">
        <v>320000</v>
      </c>
      <c r="AJ145" s="30">
        <v>0</v>
      </c>
      <c r="AK145" s="30">
        <f>Table13[[#This Row],[Year 1]]</f>
        <v>285000</v>
      </c>
      <c r="AL145" s="30">
        <f>Table13[[#This Row],[Year 2]]</f>
        <v>320000</v>
      </c>
      <c r="AM145" s="30">
        <f>Table13[[#This Row],[Year 3]]</f>
        <v>0</v>
      </c>
      <c r="AN145" s="1">
        <v>3</v>
      </c>
    </row>
    <row r="146" spans="1:40" hidden="1" x14ac:dyDescent="0.25">
      <c r="A146" s="1" t="s">
        <v>48</v>
      </c>
      <c r="B146" s="1" t="s">
        <v>1745</v>
      </c>
      <c r="C146" s="1" t="s">
        <v>50</v>
      </c>
      <c r="D146" s="1" t="s">
        <v>1746</v>
      </c>
      <c r="E146" s="1" t="s">
        <v>1747</v>
      </c>
      <c r="F146" s="22" t="s">
        <v>3</v>
      </c>
      <c r="G146" s="1" t="s">
        <v>6085</v>
      </c>
      <c r="H146" s="1" t="s">
        <v>7</v>
      </c>
      <c r="I146" s="1" t="s">
        <v>20</v>
      </c>
      <c r="J146" s="1" t="s">
        <v>26</v>
      </c>
      <c r="K146" s="1" t="s">
        <v>9</v>
      </c>
      <c r="L146" s="1" t="s">
        <v>53</v>
      </c>
      <c r="M146" s="11" t="s">
        <v>188</v>
      </c>
      <c r="N146" s="1" t="s">
        <v>6037</v>
      </c>
      <c r="O146" s="1" t="s">
        <v>12</v>
      </c>
      <c r="P146" s="1" t="s">
        <v>247</v>
      </c>
      <c r="Q146" s="1" t="s">
        <v>5535</v>
      </c>
      <c r="R146" s="1" t="s">
        <v>1805</v>
      </c>
      <c r="S146" s="1" t="s">
        <v>6155</v>
      </c>
      <c r="T146" s="1" t="s">
        <v>6154</v>
      </c>
      <c r="U146" s="1" t="s">
        <v>6164</v>
      </c>
      <c r="V146" s="1" t="s">
        <v>6167</v>
      </c>
      <c r="W146" s="27">
        <v>66.666666666666657</v>
      </c>
      <c r="X146" s="27">
        <v>66.666666666666657</v>
      </c>
      <c r="Y146" s="33">
        <f>AVERAGE(Table13[[#This Row],[Score 1]],Table13[[#This Row],[Score 2]])</f>
        <v>66.666666666666657</v>
      </c>
      <c r="Z146" s="1">
        <v>3</v>
      </c>
      <c r="AA146" s="1">
        <v>1</v>
      </c>
      <c r="AB146" s="22">
        <f>Table13[[#This Row],[Rank 1]]+Table13[[#This Row],[Rank 2]]</f>
        <v>4</v>
      </c>
      <c r="AC146" s="1" t="str">
        <f>IF(AND(Table13[[#This Row],[Average score]]&gt;75,Table13[[#This Row],[Total rank]]&gt;6.5),"Yes","No")</f>
        <v>No</v>
      </c>
      <c r="AD146" s="1" t="str">
        <f>IF(AND(Table13[[#This Row],[Average score]]&gt;80,Table13[[#This Row],[Total rank]]&gt;7.5),"Yes","No")</f>
        <v>No</v>
      </c>
      <c r="AF146" s="8">
        <v>46023</v>
      </c>
      <c r="AG146" s="1">
        <v>2</v>
      </c>
      <c r="AH146" s="27">
        <v>510000</v>
      </c>
      <c r="AI146" s="27">
        <v>480000</v>
      </c>
      <c r="AJ146" s="30">
        <v>0</v>
      </c>
      <c r="AK146" s="30">
        <f>Table13[[#This Row],[Year 1]]</f>
        <v>510000</v>
      </c>
      <c r="AL146" s="30">
        <f>Table13[[#This Row],[Year 2]]</f>
        <v>480000</v>
      </c>
      <c r="AM146" s="30">
        <f>Table13[[#This Row],[Year 3]]</f>
        <v>0</v>
      </c>
      <c r="AN146" s="1">
        <v>3</v>
      </c>
    </row>
    <row r="147" spans="1:40" hidden="1" x14ac:dyDescent="0.25">
      <c r="A147" s="1" t="s">
        <v>48</v>
      </c>
      <c r="B147" s="1" t="s">
        <v>1751</v>
      </c>
      <c r="C147" s="1" t="s">
        <v>50</v>
      </c>
      <c r="D147" s="1" t="s">
        <v>1752</v>
      </c>
      <c r="E147" s="1" t="s">
        <v>1753</v>
      </c>
      <c r="F147" s="22" t="s">
        <v>3</v>
      </c>
      <c r="G147" s="1" t="s">
        <v>6085</v>
      </c>
      <c r="H147" s="1" t="s">
        <v>5</v>
      </c>
      <c r="I147" s="1" t="s">
        <v>20</v>
      </c>
      <c r="J147" s="1" t="s">
        <v>26</v>
      </c>
      <c r="K147" s="1" t="s">
        <v>9</v>
      </c>
      <c r="L147" s="1" t="s">
        <v>53</v>
      </c>
      <c r="M147" s="11" t="s">
        <v>188</v>
      </c>
      <c r="N147" s="1" t="s">
        <v>6037</v>
      </c>
      <c r="O147" s="1" t="s">
        <v>12</v>
      </c>
      <c r="P147" s="1" t="s">
        <v>66</v>
      </c>
      <c r="Q147" s="1" t="s">
        <v>5537</v>
      </c>
      <c r="R147" s="1" t="s">
        <v>1811</v>
      </c>
      <c r="S147" s="1" t="s">
        <v>6153</v>
      </c>
      <c r="T147" s="1" t="s">
        <v>6154</v>
      </c>
      <c r="U147" s="1" t="s">
        <v>6157</v>
      </c>
      <c r="V147" s="1" t="s">
        <v>6167</v>
      </c>
      <c r="W147" s="27">
        <v>64.285714285714292</v>
      </c>
      <c r="X147" s="27">
        <v>53.571428571428569</v>
      </c>
      <c r="Y147" s="33">
        <f>AVERAGE(Table13[[#This Row],[Score 1]],Table13[[#This Row],[Score 2]])</f>
        <v>58.928571428571431</v>
      </c>
      <c r="Z147" s="1">
        <v>2</v>
      </c>
      <c r="AA147" s="1">
        <v>2</v>
      </c>
      <c r="AB147" s="22">
        <f>Table13[[#This Row],[Rank 1]]+Table13[[#This Row],[Rank 2]]</f>
        <v>4</v>
      </c>
      <c r="AC147" s="1" t="str">
        <f>IF(AND(Table13[[#This Row],[Average score]]&gt;75,Table13[[#This Row],[Total rank]]&gt;6.5),"Yes","No")</f>
        <v>No</v>
      </c>
      <c r="AD147" s="1" t="str">
        <f>IF(AND(Table13[[#This Row],[Average score]]&gt;80,Table13[[#This Row],[Total rank]]&gt;7.5),"Yes","No")</f>
        <v>No</v>
      </c>
      <c r="AF147" s="8">
        <v>45691</v>
      </c>
      <c r="AG147" s="1">
        <v>3</v>
      </c>
      <c r="AH147" s="27">
        <v>270000</v>
      </c>
      <c r="AI147" s="27">
        <v>210000</v>
      </c>
      <c r="AJ147" s="27">
        <v>210000</v>
      </c>
      <c r="AK147" s="27">
        <f>Table13[[#This Row],[Year 1]]</f>
        <v>270000</v>
      </c>
      <c r="AL147" s="27">
        <f>Table13[[#This Row],[Year 2]]</f>
        <v>210000</v>
      </c>
      <c r="AM147" s="27">
        <f>Table13[[#This Row],[Year 3]]</f>
        <v>210000</v>
      </c>
      <c r="AN147" s="1">
        <v>3</v>
      </c>
    </row>
    <row r="148" spans="1:40" hidden="1" x14ac:dyDescent="0.25">
      <c r="A148" s="1" t="s">
        <v>48</v>
      </c>
      <c r="B148" s="2" t="s">
        <v>1754</v>
      </c>
      <c r="C148" s="1" t="s">
        <v>50</v>
      </c>
      <c r="D148" s="1" t="s">
        <v>1755</v>
      </c>
      <c r="E148" s="1" t="s">
        <v>1756</v>
      </c>
      <c r="F148" s="22" t="s">
        <v>3</v>
      </c>
      <c r="G148" s="1" t="s">
        <v>6085</v>
      </c>
      <c r="H148" s="1" t="s">
        <v>5</v>
      </c>
      <c r="I148" s="1" t="s">
        <v>20</v>
      </c>
      <c r="J148" s="1" t="s">
        <v>25</v>
      </c>
      <c r="K148" s="1" t="s">
        <v>9</v>
      </c>
      <c r="L148" s="1" t="s">
        <v>53</v>
      </c>
      <c r="M148" s="11" t="s">
        <v>188</v>
      </c>
      <c r="N148" s="1" t="s">
        <v>6037</v>
      </c>
      <c r="O148" s="1" t="s">
        <v>13</v>
      </c>
      <c r="P148" s="1" t="s">
        <v>1814</v>
      </c>
      <c r="Q148" s="1" t="s">
        <v>4156</v>
      </c>
      <c r="R148" s="1" t="s">
        <v>1815</v>
      </c>
      <c r="S148" s="1" t="s">
        <v>6066</v>
      </c>
      <c r="T148" s="1" t="s">
        <v>6067</v>
      </c>
      <c r="U148" s="1" t="s">
        <v>6103</v>
      </c>
      <c r="V148" s="1" t="s">
        <v>6198</v>
      </c>
      <c r="W148" s="27">
        <v>78.571428571428569</v>
      </c>
      <c r="X148" s="29">
        <f>Table13[[#This Row],[Score 1]]</f>
        <v>78.571428571428569</v>
      </c>
      <c r="Y148" s="33">
        <f>AVERAGE(Table13[[#This Row],[Score 1]],Table13[[#This Row],[Score 2]])</f>
        <v>78.571428571428569</v>
      </c>
      <c r="Z148" s="1">
        <v>5</v>
      </c>
      <c r="AA148" s="2">
        <f>Table13[[#This Row],[Rank 1]]</f>
        <v>5</v>
      </c>
      <c r="AB148" s="22">
        <f>Table13[[#This Row],[Rank 1]]+Table13[[#This Row],[Rank 2]]</f>
        <v>10</v>
      </c>
      <c r="AC148" s="1" t="str">
        <f>IF(AND(Table13[[#This Row],[Average score]]&gt;75,Table13[[#This Row],[Total rank]]&gt;6.5),"Yes","No")</f>
        <v>Yes</v>
      </c>
      <c r="AD148" s="1" t="str">
        <f>IF(AND(Table13[[#This Row],[Average score]]&gt;80,Table13[[#This Row],[Total rank]]&gt;7.5),"Yes","No")</f>
        <v>No</v>
      </c>
      <c r="AF148" s="8">
        <v>45839</v>
      </c>
      <c r="AG148" s="1">
        <v>3</v>
      </c>
      <c r="AH148" s="27">
        <v>95000</v>
      </c>
      <c r="AI148" s="27">
        <v>102000</v>
      </c>
      <c r="AJ148" s="27">
        <v>79000</v>
      </c>
      <c r="AK148" s="27">
        <f>Table13[[#This Row],[Year 1]]</f>
        <v>95000</v>
      </c>
      <c r="AL148" s="27">
        <f>Table13[[#This Row],[Year 2]]</f>
        <v>102000</v>
      </c>
      <c r="AM148" s="27">
        <f>Table13[[#This Row],[Year 3]]</f>
        <v>79000</v>
      </c>
      <c r="AN148" s="1">
        <v>3</v>
      </c>
    </row>
    <row r="149" spans="1:40" hidden="1" x14ac:dyDescent="0.25">
      <c r="A149" s="1" t="s">
        <v>48</v>
      </c>
      <c r="B149" s="1" t="s">
        <v>1760</v>
      </c>
      <c r="C149" s="1" t="s">
        <v>50</v>
      </c>
      <c r="D149" s="1" t="s">
        <v>1761</v>
      </c>
      <c r="E149" s="1" t="s">
        <v>1762</v>
      </c>
      <c r="F149" s="22" t="s">
        <v>3</v>
      </c>
      <c r="G149" s="1" t="s">
        <v>6085</v>
      </c>
      <c r="H149" s="1" t="s">
        <v>6</v>
      </c>
      <c r="I149" s="1" t="s">
        <v>20</v>
      </c>
      <c r="J149" s="1" t="s">
        <v>25</v>
      </c>
      <c r="K149" s="1" t="s">
        <v>9</v>
      </c>
      <c r="L149" s="1" t="s">
        <v>53</v>
      </c>
      <c r="M149" s="11" t="s">
        <v>188</v>
      </c>
      <c r="N149" s="1" t="s">
        <v>6037</v>
      </c>
      <c r="O149" s="1" t="s">
        <v>11</v>
      </c>
      <c r="P149" s="1" t="s">
        <v>126</v>
      </c>
      <c r="Q149" s="1" t="s">
        <v>5538</v>
      </c>
      <c r="R149" s="1" t="s">
        <v>1820</v>
      </c>
      <c r="S149" s="1" t="s">
        <v>6053</v>
      </c>
      <c r="T149" s="1" t="s">
        <v>6056</v>
      </c>
      <c r="U149" s="1" t="s">
        <v>6087</v>
      </c>
      <c r="V149" s="1" t="s">
        <v>6199</v>
      </c>
      <c r="W149" s="27">
        <v>89.285714285714292</v>
      </c>
      <c r="X149" s="27">
        <v>67.857142857142861</v>
      </c>
      <c r="Y149" s="33">
        <f>AVERAGE(Table13[[#This Row],[Score 1]],Table13[[#This Row],[Score 2]])</f>
        <v>78.571428571428584</v>
      </c>
      <c r="Z149" s="1">
        <v>5</v>
      </c>
      <c r="AA149" s="1">
        <v>3</v>
      </c>
      <c r="AB149" s="22">
        <f>Table13[[#This Row],[Rank 1]]+Table13[[#This Row],[Rank 2]]</f>
        <v>8</v>
      </c>
      <c r="AC149" s="1" t="str">
        <f>IF(AND(Table13[[#This Row],[Average score]]&gt;75,Table13[[#This Row],[Total rank]]&gt;6.5),"Yes","No")</f>
        <v>Yes</v>
      </c>
      <c r="AD149" s="1" t="str">
        <f>IF(AND(Table13[[#This Row],[Average score]]&gt;80,Table13[[#This Row],[Total rank]]&gt;7.5),"Yes","No")</f>
        <v>No</v>
      </c>
      <c r="AF149" s="8">
        <v>46055</v>
      </c>
      <c r="AG149" s="1">
        <v>2</v>
      </c>
      <c r="AH149" s="27">
        <v>83670</v>
      </c>
      <c r="AI149" s="27">
        <v>115670</v>
      </c>
      <c r="AJ149" s="30">
        <v>0</v>
      </c>
      <c r="AK149" s="30">
        <f>Table13[[#This Row],[Year 1]]</f>
        <v>83670</v>
      </c>
      <c r="AL149" s="30">
        <f>Table13[[#This Row],[Year 2]]</f>
        <v>115670</v>
      </c>
      <c r="AM149" s="30">
        <f>Table13[[#This Row],[Year 3]]</f>
        <v>0</v>
      </c>
      <c r="AN149" s="1">
        <v>2</v>
      </c>
    </row>
    <row r="150" spans="1:40" hidden="1" x14ac:dyDescent="0.25">
      <c r="A150" s="1" t="s">
        <v>48</v>
      </c>
      <c r="B150" s="1" t="s">
        <v>1763</v>
      </c>
      <c r="C150" s="1" t="s">
        <v>50</v>
      </c>
      <c r="D150" s="1" t="s">
        <v>1764</v>
      </c>
      <c r="E150" s="1" t="s">
        <v>1765</v>
      </c>
      <c r="F150" s="22" t="s">
        <v>3</v>
      </c>
      <c r="G150" s="1" t="s">
        <v>6085</v>
      </c>
      <c r="H150" s="1" t="s">
        <v>5</v>
      </c>
      <c r="I150" s="1" t="s">
        <v>24</v>
      </c>
      <c r="J150" s="1" t="s">
        <v>25</v>
      </c>
      <c r="K150" s="1" t="s">
        <v>9</v>
      </c>
      <c r="L150" s="1" t="s">
        <v>53</v>
      </c>
      <c r="M150" s="11" t="s">
        <v>188</v>
      </c>
      <c r="N150" s="1" t="s">
        <v>6037</v>
      </c>
      <c r="O150" s="1" t="s">
        <v>14</v>
      </c>
      <c r="P150" s="1" t="s">
        <v>593</v>
      </c>
      <c r="Q150" s="1" t="s">
        <v>5380</v>
      </c>
      <c r="R150" s="1" t="s">
        <v>1823</v>
      </c>
      <c r="S150" s="1" t="s">
        <v>6139</v>
      </c>
      <c r="T150" s="1" t="s">
        <v>6140</v>
      </c>
      <c r="U150" s="1" t="s">
        <v>6162</v>
      </c>
      <c r="V150" s="1" t="s">
        <v>6187</v>
      </c>
      <c r="W150" s="27">
        <v>92.857142857142861</v>
      </c>
      <c r="X150" s="27">
        <v>96.428571428571431</v>
      </c>
      <c r="Y150" s="33">
        <f>AVERAGE(Table13[[#This Row],[Score 1]],Table13[[#This Row],[Score 2]])</f>
        <v>94.642857142857139</v>
      </c>
      <c r="Z150" s="1">
        <v>5</v>
      </c>
      <c r="AA150" s="1">
        <v>4</v>
      </c>
      <c r="AB150" s="22">
        <f>Table13[[#This Row],[Rank 1]]+Table13[[#This Row],[Rank 2]]</f>
        <v>9</v>
      </c>
      <c r="AC150" s="1" t="str">
        <f>IF(AND(Table13[[#This Row],[Average score]]&gt;75,Table13[[#This Row],[Total rank]]&gt;6.5),"Yes","No")</f>
        <v>Yes</v>
      </c>
      <c r="AD150" s="1" t="str">
        <f>IF(AND(Table13[[#This Row],[Average score]]&gt;80,Table13[[#This Row],[Total rank]]&gt;7.5),"Yes","No")</f>
        <v>Yes</v>
      </c>
      <c r="AF150" s="8">
        <v>45809</v>
      </c>
      <c r="AG150" s="1">
        <v>3</v>
      </c>
      <c r="AH150" s="27">
        <v>306852.88</v>
      </c>
      <c r="AI150" s="27">
        <v>363944.46</v>
      </c>
      <c r="AJ150" s="30">
        <v>391888.82</v>
      </c>
      <c r="AK150" s="30">
        <f>Table13[[#This Row],[Year 1]]</f>
        <v>306852.88</v>
      </c>
      <c r="AL150" s="30">
        <v>350000</v>
      </c>
      <c r="AM150" s="27">
        <v>350000</v>
      </c>
      <c r="AN150" s="1">
        <v>3</v>
      </c>
    </row>
    <row r="151" spans="1:40" hidden="1" x14ac:dyDescent="0.25">
      <c r="A151" s="1" t="s">
        <v>48</v>
      </c>
      <c r="B151" s="1" t="s">
        <v>1766</v>
      </c>
      <c r="C151" s="1" t="s">
        <v>50</v>
      </c>
      <c r="D151" s="1" t="s">
        <v>1767</v>
      </c>
      <c r="E151" s="1" t="s">
        <v>1768</v>
      </c>
      <c r="F151" s="22" t="s">
        <v>3</v>
      </c>
      <c r="G151" s="1" t="s">
        <v>6085</v>
      </c>
      <c r="H151" s="1" t="s">
        <v>7</v>
      </c>
      <c r="I151" s="1" t="s">
        <v>20</v>
      </c>
      <c r="J151" s="1" t="s">
        <v>26</v>
      </c>
      <c r="K151" s="1" t="s">
        <v>9</v>
      </c>
      <c r="L151" s="1" t="s">
        <v>53</v>
      </c>
      <c r="M151" s="1" t="s">
        <v>5248</v>
      </c>
      <c r="N151" s="1" t="s">
        <v>6037</v>
      </c>
      <c r="O151" s="1" t="s">
        <v>19</v>
      </c>
      <c r="P151" s="1" t="s">
        <v>66</v>
      </c>
      <c r="Q151" s="1" t="s">
        <v>5539</v>
      </c>
      <c r="R151" s="1" t="s">
        <v>1827</v>
      </c>
      <c r="S151" s="1" t="s">
        <v>6137</v>
      </c>
      <c r="T151" s="1" t="s">
        <v>6138</v>
      </c>
      <c r="U151" s="1" t="s">
        <v>6160</v>
      </c>
      <c r="V151" s="1" t="s">
        <v>6203</v>
      </c>
      <c r="W151" s="27">
        <v>75</v>
      </c>
      <c r="X151" s="27">
        <v>44.444444444444443</v>
      </c>
      <c r="Y151" s="33">
        <f>AVERAGE(Table13[[#This Row],[Score 1]],Table13[[#This Row],[Score 2]])</f>
        <v>59.722222222222221</v>
      </c>
      <c r="Z151" s="1">
        <v>3</v>
      </c>
      <c r="AA151" s="1">
        <v>1</v>
      </c>
      <c r="AB151" s="22">
        <f>Table13[[#This Row],[Rank 1]]+Table13[[#This Row],[Rank 2]]</f>
        <v>4</v>
      </c>
      <c r="AC151" s="1" t="str">
        <f>IF(AND(Table13[[#This Row],[Average score]]&gt;75,Table13[[#This Row],[Total rank]]&gt;6.5),"Yes","No")</f>
        <v>No</v>
      </c>
      <c r="AD151" s="1" t="str">
        <f>IF(AND(Table13[[#This Row],[Average score]]&gt;80,Table13[[#This Row],[Total rank]]&gt;7.5),"Yes","No")</f>
        <v>No</v>
      </c>
      <c r="AF151" s="8">
        <v>45874</v>
      </c>
      <c r="AG151" s="1">
        <v>1</v>
      </c>
      <c r="AH151" s="27">
        <v>250000</v>
      </c>
      <c r="AI151" s="30">
        <v>0</v>
      </c>
      <c r="AJ151" s="30">
        <v>0</v>
      </c>
      <c r="AK151" s="30">
        <f>Table13[[#This Row],[Year 1]]</f>
        <v>250000</v>
      </c>
      <c r="AL151" s="30">
        <f>Table13[[#This Row],[Year 2]]</f>
        <v>0</v>
      </c>
      <c r="AM151" s="30">
        <f>Table13[[#This Row],[Year 3]]</f>
        <v>0</v>
      </c>
      <c r="AN151" s="1">
        <v>3</v>
      </c>
    </row>
    <row r="152" spans="1:40" hidden="1" x14ac:dyDescent="0.25">
      <c r="A152" s="1" t="s">
        <v>48</v>
      </c>
      <c r="B152" s="1" t="s">
        <v>1831</v>
      </c>
      <c r="C152" s="1" t="s">
        <v>50</v>
      </c>
      <c r="D152" s="1" t="s">
        <v>1832</v>
      </c>
      <c r="E152" s="1" t="s">
        <v>1833</v>
      </c>
      <c r="F152" s="22" t="s">
        <v>3</v>
      </c>
      <c r="G152" s="1" t="s">
        <v>6085</v>
      </c>
      <c r="H152" s="1" t="s">
        <v>5</v>
      </c>
      <c r="I152" s="1" t="s">
        <v>24</v>
      </c>
      <c r="J152" s="1" t="s">
        <v>25</v>
      </c>
      <c r="K152" s="1" t="s">
        <v>9</v>
      </c>
      <c r="L152" s="1" t="s">
        <v>53</v>
      </c>
      <c r="M152" s="11" t="s">
        <v>188</v>
      </c>
      <c r="N152" s="1" t="s">
        <v>6037</v>
      </c>
      <c r="O152" s="1" t="s">
        <v>16</v>
      </c>
      <c r="P152" s="1" t="s">
        <v>3719</v>
      </c>
      <c r="Q152" s="1" t="s">
        <v>5540</v>
      </c>
      <c r="R152" s="1" t="s">
        <v>3720</v>
      </c>
      <c r="S152" s="1" t="s">
        <v>6115</v>
      </c>
      <c r="T152" s="1" t="s">
        <v>6116</v>
      </c>
      <c r="U152" s="1" t="s">
        <v>6130</v>
      </c>
      <c r="V152" s="1" t="s">
        <v>6191</v>
      </c>
      <c r="W152" s="27">
        <v>89.285714285714292</v>
      </c>
      <c r="X152" s="27">
        <v>85.714285714285708</v>
      </c>
      <c r="Y152" s="33">
        <f>AVERAGE(Table13[[#This Row],[Score 1]],Table13[[#This Row],[Score 2]])</f>
        <v>87.5</v>
      </c>
      <c r="Z152" s="1">
        <v>4</v>
      </c>
      <c r="AA152" s="1">
        <v>4</v>
      </c>
      <c r="AB152" s="22">
        <f>Table13[[#This Row],[Rank 1]]+Table13[[#This Row],[Rank 2]]</f>
        <v>8</v>
      </c>
      <c r="AC152" s="1" t="str">
        <f>IF(AND(Table13[[#This Row],[Average score]]&gt;75,Table13[[#This Row],[Total rank]]&gt;6.5),"Yes","No")</f>
        <v>Yes</v>
      </c>
      <c r="AD152" s="1" t="str">
        <f>IF(AND(Table13[[#This Row],[Average score]]&gt;80,Table13[[#This Row],[Total rank]]&gt;7.5),"Yes","No")</f>
        <v>Yes</v>
      </c>
      <c r="AF152" s="8">
        <v>46054</v>
      </c>
      <c r="AG152" s="1">
        <v>3</v>
      </c>
      <c r="AH152" s="27">
        <v>316000</v>
      </c>
      <c r="AI152" s="27">
        <v>271000</v>
      </c>
      <c r="AJ152" s="27">
        <v>313000</v>
      </c>
      <c r="AK152" s="27">
        <f>Table13[[#This Row],[Year 1]]</f>
        <v>316000</v>
      </c>
      <c r="AL152" s="27">
        <f>Table13[[#This Row],[Year 2]]</f>
        <v>271000</v>
      </c>
      <c r="AM152" s="27">
        <f>Table13[[#This Row],[Year 3]]</f>
        <v>313000</v>
      </c>
      <c r="AN152" s="1">
        <v>3</v>
      </c>
    </row>
    <row r="153" spans="1:40" hidden="1" x14ac:dyDescent="0.25">
      <c r="A153" s="1" t="s">
        <v>48</v>
      </c>
      <c r="B153" s="1" t="s">
        <v>1834</v>
      </c>
      <c r="C153" s="1" t="s">
        <v>50</v>
      </c>
      <c r="D153" s="1" t="s">
        <v>1835</v>
      </c>
      <c r="E153" s="1" t="s">
        <v>1836</v>
      </c>
      <c r="F153" s="22" t="s">
        <v>3</v>
      </c>
      <c r="G153" s="1" t="s">
        <v>6085</v>
      </c>
      <c r="H153" s="1" t="s">
        <v>6</v>
      </c>
      <c r="I153" s="1" t="s">
        <v>20</v>
      </c>
      <c r="J153" s="1" t="s">
        <v>26</v>
      </c>
      <c r="K153" s="1" t="s">
        <v>9</v>
      </c>
      <c r="L153" s="1" t="s">
        <v>53</v>
      </c>
      <c r="M153" s="11" t="s">
        <v>188</v>
      </c>
      <c r="N153" s="1" t="s">
        <v>6037</v>
      </c>
      <c r="O153" s="1" t="s">
        <v>13</v>
      </c>
      <c r="P153" s="1" t="s">
        <v>1456</v>
      </c>
      <c r="Q153" s="1" t="s">
        <v>5541</v>
      </c>
      <c r="R153" s="1" t="s">
        <v>3724</v>
      </c>
      <c r="S153" s="1" t="s">
        <v>6079</v>
      </c>
      <c r="T153" s="1" t="s">
        <v>6080</v>
      </c>
      <c r="U153" s="1" t="s">
        <v>6089</v>
      </c>
      <c r="V153" s="1" t="s">
        <v>6172</v>
      </c>
      <c r="W153" s="27">
        <v>57.142857142857139</v>
      </c>
      <c r="X153" s="27">
        <v>60.714285714285708</v>
      </c>
      <c r="Y153" s="33">
        <f>AVERAGE(Table13[[#This Row],[Score 1]],Table13[[#This Row],[Score 2]])</f>
        <v>58.928571428571423</v>
      </c>
      <c r="Z153" s="1">
        <v>1</v>
      </c>
      <c r="AA153" s="1">
        <v>2</v>
      </c>
      <c r="AB153" s="22">
        <f>Table13[[#This Row],[Rank 1]]+Table13[[#This Row],[Rank 2]]</f>
        <v>3</v>
      </c>
      <c r="AC153" s="1" t="str">
        <f>IF(AND(Table13[[#This Row],[Average score]]&gt;75,Table13[[#This Row],[Total rank]]&gt;6.5),"Yes","No")</f>
        <v>No</v>
      </c>
      <c r="AD153" s="1" t="str">
        <f>IF(AND(Table13[[#This Row],[Average score]]&gt;80,Table13[[#This Row],[Total rank]]&gt;7.5),"Yes","No")</f>
        <v>No</v>
      </c>
      <c r="AF153" s="8">
        <v>46039</v>
      </c>
      <c r="AG153" s="1">
        <v>2</v>
      </c>
      <c r="AH153" s="27">
        <v>195500</v>
      </c>
      <c r="AI153" s="27">
        <v>195500</v>
      </c>
      <c r="AJ153" s="30">
        <v>0</v>
      </c>
      <c r="AK153" s="30">
        <f>Table13[[#This Row],[Year 1]]</f>
        <v>195500</v>
      </c>
      <c r="AL153" s="30">
        <f>Table13[[#This Row],[Year 2]]</f>
        <v>195500</v>
      </c>
      <c r="AM153" s="30">
        <f>Table13[[#This Row],[Year 3]]</f>
        <v>0</v>
      </c>
      <c r="AN153" s="1">
        <v>2</v>
      </c>
    </row>
    <row r="154" spans="1:40" hidden="1" x14ac:dyDescent="0.25">
      <c r="A154" s="1" t="s">
        <v>48</v>
      </c>
      <c r="B154" s="1" t="s">
        <v>1843</v>
      </c>
      <c r="C154" s="1" t="s">
        <v>50</v>
      </c>
      <c r="D154" s="1" t="s">
        <v>1844</v>
      </c>
      <c r="E154" s="1" t="s">
        <v>1845</v>
      </c>
      <c r="F154" s="22" t="s">
        <v>3</v>
      </c>
      <c r="G154" s="1" t="s">
        <v>6085</v>
      </c>
      <c r="H154" s="1" t="s">
        <v>5</v>
      </c>
      <c r="I154" s="1" t="s">
        <v>24</v>
      </c>
      <c r="J154" s="1" t="s">
        <v>26</v>
      </c>
      <c r="K154" s="1" t="s">
        <v>9</v>
      </c>
      <c r="L154" s="1" t="s">
        <v>53</v>
      </c>
      <c r="M154" s="11" t="s">
        <v>188</v>
      </c>
      <c r="N154" s="1" t="s">
        <v>6037</v>
      </c>
      <c r="O154" s="1" t="s">
        <v>13</v>
      </c>
      <c r="P154" s="1" t="s">
        <v>60</v>
      </c>
      <c r="Q154" s="1" t="s">
        <v>5544</v>
      </c>
      <c r="R154" s="1" t="s">
        <v>3732</v>
      </c>
      <c r="S154" s="1" t="s">
        <v>6063</v>
      </c>
      <c r="T154" s="1" t="s">
        <v>6076</v>
      </c>
      <c r="U154" s="1" t="s">
        <v>6100</v>
      </c>
      <c r="V154" s="1" t="s">
        <v>6195</v>
      </c>
      <c r="W154" s="27">
        <v>50</v>
      </c>
      <c r="X154" s="27">
        <v>85.714285714285708</v>
      </c>
      <c r="Y154" s="33">
        <f>AVERAGE(Table13[[#This Row],[Score 1]],Table13[[#This Row],[Score 2]])</f>
        <v>67.857142857142861</v>
      </c>
      <c r="Z154" s="1">
        <v>1</v>
      </c>
      <c r="AA154" s="1">
        <v>5</v>
      </c>
      <c r="AB154" s="22">
        <f>Table13[[#This Row],[Rank 1]]+Table13[[#This Row],[Rank 2]]</f>
        <v>6</v>
      </c>
      <c r="AC154" s="1" t="str">
        <f>IF(AND(Table13[[#This Row],[Average score]]&gt;75,Table13[[#This Row],[Total rank]]&gt;6.5),"Yes","No")</f>
        <v>No</v>
      </c>
      <c r="AD154" s="1" t="str">
        <f>IF(AND(Table13[[#This Row],[Average score]]&gt;80,Table13[[#This Row],[Total rank]]&gt;7.5),"Yes","No")</f>
        <v>No</v>
      </c>
      <c r="AF154" s="8">
        <v>46023</v>
      </c>
      <c r="AG154" s="1">
        <v>3</v>
      </c>
      <c r="AH154" s="27">
        <v>215350</v>
      </c>
      <c r="AI154" s="27">
        <v>232877</v>
      </c>
      <c r="AJ154" s="27">
        <v>234496</v>
      </c>
      <c r="AK154" s="27">
        <f>Table13[[#This Row],[Year 1]]</f>
        <v>215350</v>
      </c>
      <c r="AL154" s="27">
        <f>Table13[[#This Row],[Year 2]]</f>
        <v>232877</v>
      </c>
      <c r="AM154" s="27">
        <f>Table13[[#This Row],[Year 3]]</f>
        <v>234496</v>
      </c>
      <c r="AN154" s="1">
        <v>3</v>
      </c>
    </row>
    <row r="155" spans="1:40" hidden="1" x14ac:dyDescent="0.25">
      <c r="A155" s="1" t="s">
        <v>48</v>
      </c>
      <c r="B155" s="1" t="s">
        <v>1846</v>
      </c>
      <c r="C155" s="1" t="s">
        <v>50</v>
      </c>
      <c r="D155" s="1" t="s">
        <v>1847</v>
      </c>
      <c r="E155" s="1" t="s">
        <v>1848</v>
      </c>
      <c r="F155" s="22" t="s">
        <v>3</v>
      </c>
      <c r="G155" s="1" t="s">
        <v>6085</v>
      </c>
      <c r="H155" s="1" t="s">
        <v>5</v>
      </c>
      <c r="I155" s="1" t="s">
        <v>20</v>
      </c>
      <c r="J155" s="1" t="s">
        <v>26</v>
      </c>
      <c r="K155" s="1" t="s">
        <v>9</v>
      </c>
      <c r="L155" s="1" t="s">
        <v>53</v>
      </c>
      <c r="M155" s="11" t="s">
        <v>188</v>
      </c>
      <c r="N155" s="1" t="s">
        <v>6037</v>
      </c>
      <c r="O155" s="1" t="s">
        <v>16</v>
      </c>
      <c r="P155" s="1" t="s">
        <v>656</v>
      </c>
      <c r="Q155" s="1" t="s">
        <v>5545</v>
      </c>
      <c r="R155" s="1" t="s">
        <v>3736</v>
      </c>
      <c r="S155" s="1" t="s">
        <v>6115</v>
      </c>
      <c r="T155" s="1" t="s">
        <v>6116</v>
      </c>
      <c r="U155" s="1" t="s">
        <v>6130</v>
      </c>
      <c r="V155" s="1" t="s">
        <v>6191</v>
      </c>
      <c r="W155" s="27">
        <v>75</v>
      </c>
      <c r="X155" s="27">
        <v>75</v>
      </c>
      <c r="Y155" s="33">
        <f>AVERAGE(Table13[[#This Row],[Score 1]],Table13[[#This Row],[Score 2]])</f>
        <v>75</v>
      </c>
      <c r="Z155" s="1">
        <v>4</v>
      </c>
      <c r="AA155" s="1">
        <v>3</v>
      </c>
      <c r="AB155" s="22">
        <f>Table13[[#This Row],[Rank 1]]+Table13[[#This Row],[Rank 2]]</f>
        <v>7</v>
      </c>
      <c r="AC155" s="1" t="str">
        <f>IF(AND(Table13[[#This Row],[Average score]]&gt;75,Table13[[#This Row],[Total rank]]&gt;6.5),"Yes","No")</f>
        <v>No</v>
      </c>
      <c r="AD155" s="1" t="str">
        <f>IF(AND(Table13[[#This Row],[Average score]]&gt;80,Table13[[#This Row],[Total rank]]&gt;7.5),"Yes","No")</f>
        <v>No</v>
      </c>
      <c r="AF155" s="8">
        <v>45722</v>
      </c>
      <c r="AG155" s="1">
        <v>3</v>
      </c>
      <c r="AH155" s="27">
        <v>-303800</v>
      </c>
      <c r="AI155" s="27">
        <v>-294300</v>
      </c>
      <c r="AJ155" s="27">
        <v>-284000</v>
      </c>
      <c r="AK155" s="27">
        <f>Table13[[#This Row],[Year 1]]</f>
        <v>-303800</v>
      </c>
      <c r="AL155" s="27">
        <f>Table13[[#This Row],[Year 2]]</f>
        <v>-294300</v>
      </c>
      <c r="AM155" s="27">
        <f>Table13[[#This Row],[Year 3]]</f>
        <v>-284000</v>
      </c>
      <c r="AN155" s="1">
        <v>3</v>
      </c>
    </row>
    <row r="156" spans="1:40" hidden="1" x14ac:dyDescent="0.25">
      <c r="A156" s="1" t="s">
        <v>48</v>
      </c>
      <c r="B156" s="1" t="s">
        <v>1858</v>
      </c>
      <c r="C156" s="1" t="s">
        <v>50</v>
      </c>
      <c r="D156" s="1" t="s">
        <v>1859</v>
      </c>
      <c r="E156" s="1" t="s">
        <v>1860</v>
      </c>
      <c r="F156" s="22" t="s">
        <v>3</v>
      </c>
      <c r="G156" s="1" t="s">
        <v>6085</v>
      </c>
      <c r="H156" s="1" t="s">
        <v>6</v>
      </c>
      <c r="I156" s="1" t="s">
        <v>20</v>
      </c>
      <c r="J156" s="1" t="s">
        <v>25</v>
      </c>
      <c r="K156" s="1" t="s">
        <v>9</v>
      </c>
      <c r="L156" s="1" t="s">
        <v>53</v>
      </c>
      <c r="M156" s="11" t="s">
        <v>188</v>
      </c>
      <c r="N156" s="1" t="s">
        <v>6037</v>
      </c>
      <c r="O156" s="1" t="s">
        <v>10</v>
      </c>
      <c r="P156" s="1" t="s">
        <v>162</v>
      </c>
      <c r="Q156" s="18" t="s">
        <v>5549</v>
      </c>
      <c r="R156" s="1" t="s">
        <v>3749</v>
      </c>
      <c r="S156" s="1" t="s">
        <v>6049</v>
      </c>
      <c r="T156" s="1" t="s">
        <v>6050</v>
      </c>
      <c r="U156" s="1" t="s">
        <v>6104</v>
      </c>
      <c r="V156" s="1" t="s">
        <v>6200</v>
      </c>
      <c r="W156" s="27">
        <v>67.857142857142861</v>
      </c>
      <c r="X156" s="27">
        <v>64.285714285714292</v>
      </c>
      <c r="Y156" s="33">
        <f>AVERAGE(Table13[[#This Row],[Score 1]],Table13[[#This Row],[Score 2]])</f>
        <v>66.071428571428584</v>
      </c>
      <c r="Z156" s="1">
        <v>4</v>
      </c>
      <c r="AA156" s="1">
        <v>2</v>
      </c>
      <c r="AB156" s="22">
        <f>Table13[[#This Row],[Rank 1]]+Table13[[#This Row],[Rank 2]]</f>
        <v>6</v>
      </c>
      <c r="AC156" s="1" t="str">
        <f>IF(AND(Table13[[#This Row],[Average score]]&gt;75,Table13[[#This Row],[Total rank]]&gt;6.5),"Yes","No")</f>
        <v>No</v>
      </c>
      <c r="AD156" s="1" t="str">
        <f>IF(AND(Table13[[#This Row],[Average score]]&gt;80,Table13[[#This Row],[Total rank]]&gt;7.5),"Yes","No")</f>
        <v>No</v>
      </c>
      <c r="AF156" s="8">
        <v>45689</v>
      </c>
      <c r="AG156" s="1">
        <v>2</v>
      </c>
      <c r="AH156" s="27">
        <v>100000</v>
      </c>
      <c r="AI156" s="31">
        <v>0</v>
      </c>
      <c r="AJ156" s="30">
        <v>0</v>
      </c>
      <c r="AK156" s="30">
        <f>Table13[[#This Row],[Year 1]]</f>
        <v>100000</v>
      </c>
      <c r="AL156" s="30">
        <f>Table13[[#This Row],[Year 2]]</f>
        <v>0</v>
      </c>
      <c r="AM156" s="30">
        <f>Table13[[#This Row],[Year 3]]</f>
        <v>0</v>
      </c>
      <c r="AN156" s="1">
        <v>3</v>
      </c>
    </row>
    <row r="157" spans="1:40" hidden="1" x14ac:dyDescent="0.25">
      <c r="A157" s="1" t="s">
        <v>48</v>
      </c>
      <c r="B157" s="1" t="s">
        <v>1864</v>
      </c>
      <c r="C157" s="1" t="s">
        <v>50</v>
      </c>
      <c r="D157" s="1" t="s">
        <v>1865</v>
      </c>
      <c r="E157" s="1" t="s">
        <v>1866</v>
      </c>
      <c r="F157" s="22" t="s">
        <v>3</v>
      </c>
      <c r="G157" s="1" t="s">
        <v>6085</v>
      </c>
      <c r="H157" s="1" t="s">
        <v>6</v>
      </c>
      <c r="I157" s="1" t="s">
        <v>20</v>
      </c>
      <c r="J157" s="1" t="s">
        <v>25</v>
      </c>
      <c r="K157" s="1" t="s">
        <v>9</v>
      </c>
      <c r="L157" s="1" t="s">
        <v>53</v>
      </c>
      <c r="M157" s="11" t="s">
        <v>188</v>
      </c>
      <c r="N157" s="1" t="s">
        <v>6037</v>
      </c>
      <c r="O157" s="1" t="s">
        <v>13</v>
      </c>
      <c r="P157" s="1" t="s">
        <v>107</v>
      </c>
      <c r="Q157" s="1" t="s">
        <v>5281</v>
      </c>
      <c r="R157" s="1" t="s">
        <v>3753</v>
      </c>
      <c r="S157" s="1" t="s">
        <v>6072</v>
      </c>
      <c r="T157" s="1" t="s">
        <v>6073</v>
      </c>
      <c r="U157" s="1" t="s">
        <v>6092</v>
      </c>
      <c r="V157" s="1" t="s">
        <v>6176</v>
      </c>
      <c r="W157" s="27">
        <v>57.142857142857139</v>
      </c>
      <c r="X157" s="27">
        <v>71.428571428571431</v>
      </c>
      <c r="Y157" s="33">
        <f>AVERAGE(Table13[[#This Row],[Score 1]],Table13[[#This Row],[Score 2]])</f>
        <v>64.285714285714278</v>
      </c>
      <c r="Z157" s="1">
        <v>2</v>
      </c>
      <c r="AA157" s="1">
        <v>2</v>
      </c>
      <c r="AB157" s="22">
        <f>Table13[[#This Row],[Rank 1]]+Table13[[#This Row],[Rank 2]]</f>
        <v>4</v>
      </c>
      <c r="AC157" s="1" t="str">
        <f>IF(AND(Table13[[#This Row],[Average score]]&gt;75,Table13[[#This Row],[Total rank]]&gt;6.5),"Yes","No")</f>
        <v>No</v>
      </c>
      <c r="AD157" s="1" t="str">
        <f>IF(AND(Table13[[#This Row],[Average score]]&gt;80,Table13[[#This Row],[Total rank]]&gt;7.5),"Yes","No")</f>
        <v>No</v>
      </c>
      <c r="AF157" s="8">
        <v>45726</v>
      </c>
      <c r="AG157" s="1">
        <v>1</v>
      </c>
      <c r="AH157" s="27">
        <v>158000</v>
      </c>
      <c r="AI157" s="30">
        <v>0</v>
      </c>
      <c r="AJ157" s="30">
        <v>0</v>
      </c>
      <c r="AK157" s="30">
        <f>Table13[[#This Row],[Year 1]]</f>
        <v>158000</v>
      </c>
      <c r="AL157" s="30">
        <f>Table13[[#This Row],[Year 2]]</f>
        <v>0</v>
      </c>
      <c r="AM157" s="30">
        <f>Table13[[#This Row],[Year 3]]</f>
        <v>0</v>
      </c>
      <c r="AN157" s="1">
        <v>3</v>
      </c>
    </row>
    <row r="158" spans="1:40" hidden="1" x14ac:dyDescent="0.25">
      <c r="A158" s="1" t="s">
        <v>48</v>
      </c>
      <c r="B158" s="1" t="s">
        <v>1873</v>
      </c>
      <c r="C158" s="1" t="s">
        <v>50</v>
      </c>
      <c r="D158" s="1" t="s">
        <v>1874</v>
      </c>
      <c r="E158" s="1" t="s">
        <v>1875</v>
      </c>
      <c r="F158" s="22" t="s">
        <v>3</v>
      </c>
      <c r="G158" s="1" t="s">
        <v>6085</v>
      </c>
      <c r="H158" s="1" t="s">
        <v>6</v>
      </c>
      <c r="I158" s="1" t="s">
        <v>24</v>
      </c>
      <c r="J158" s="1" t="s">
        <v>25</v>
      </c>
      <c r="K158" s="1" t="s">
        <v>9</v>
      </c>
      <c r="L158" s="1" t="s">
        <v>53</v>
      </c>
      <c r="M158" s="11" t="s">
        <v>188</v>
      </c>
      <c r="N158" s="1" t="s">
        <v>6037</v>
      </c>
      <c r="O158" s="1" t="s">
        <v>13</v>
      </c>
      <c r="P158" s="1" t="s">
        <v>126</v>
      </c>
      <c r="Q158" s="1" t="s">
        <v>5553</v>
      </c>
      <c r="R158" s="1" t="s">
        <v>3757</v>
      </c>
      <c r="S158" s="1" t="s">
        <v>6072</v>
      </c>
      <c r="T158" s="1" t="s">
        <v>6073</v>
      </c>
      <c r="U158" s="1" t="s">
        <v>6092</v>
      </c>
      <c r="V158" s="1" t="s">
        <v>6176</v>
      </c>
      <c r="W158" s="27">
        <v>53.571428571428569</v>
      </c>
      <c r="X158" s="27">
        <v>71.428571428571431</v>
      </c>
      <c r="Y158" s="33">
        <f>AVERAGE(Table13[[#This Row],[Score 1]],Table13[[#This Row],[Score 2]])</f>
        <v>62.5</v>
      </c>
      <c r="Z158" s="1">
        <v>2</v>
      </c>
      <c r="AA158" s="1">
        <v>3</v>
      </c>
      <c r="AB158" s="22">
        <f>Table13[[#This Row],[Rank 1]]+Table13[[#This Row],[Rank 2]]</f>
        <v>5</v>
      </c>
      <c r="AC158" s="1" t="str">
        <f>IF(AND(Table13[[#This Row],[Average score]]&gt;75,Table13[[#This Row],[Total rank]]&gt;6.5),"Yes","No")</f>
        <v>No</v>
      </c>
      <c r="AD158" s="1" t="str">
        <f>IF(AND(Table13[[#This Row],[Average score]]&gt;80,Table13[[#This Row],[Total rank]]&gt;7.5),"Yes","No")</f>
        <v>No</v>
      </c>
      <c r="AF158" s="8">
        <v>45669</v>
      </c>
      <c r="AG158" s="1">
        <v>1</v>
      </c>
      <c r="AH158" s="27">
        <v>31490</v>
      </c>
      <c r="AI158" s="30">
        <v>0</v>
      </c>
      <c r="AJ158" s="30">
        <v>0</v>
      </c>
      <c r="AK158" s="30">
        <f>Table13[[#This Row],[Year 1]]</f>
        <v>31490</v>
      </c>
      <c r="AL158" s="30">
        <f>Table13[[#This Row],[Year 2]]</f>
        <v>0</v>
      </c>
      <c r="AM158" s="30">
        <f>Table13[[#This Row],[Year 3]]</f>
        <v>0</v>
      </c>
      <c r="AN158" s="1">
        <v>3</v>
      </c>
    </row>
    <row r="159" spans="1:40" hidden="1" x14ac:dyDescent="0.25">
      <c r="A159" s="1" t="s">
        <v>48</v>
      </c>
      <c r="B159" s="1" t="s">
        <v>1876</v>
      </c>
      <c r="C159" s="1" t="s">
        <v>50</v>
      </c>
      <c r="D159" s="1" t="s">
        <v>1877</v>
      </c>
      <c r="E159" s="1" t="s">
        <v>1878</v>
      </c>
      <c r="F159" s="22" t="s">
        <v>3</v>
      </c>
      <c r="G159" s="1" t="s">
        <v>6085</v>
      </c>
      <c r="H159" s="1" t="s">
        <v>6</v>
      </c>
      <c r="I159" s="1" t="s">
        <v>20</v>
      </c>
      <c r="J159" s="1" t="s">
        <v>25</v>
      </c>
      <c r="K159" s="1" t="s">
        <v>9</v>
      </c>
      <c r="L159" s="1" t="s">
        <v>53</v>
      </c>
      <c r="M159" s="11" t="s">
        <v>188</v>
      </c>
      <c r="N159" s="1" t="s">
        <v>6037</v>
      </c>
      <c r="O159" s="1" t="s">
        <v>11</v>
      </c>
      <c r="P159" s="1" t="s">
        <v>3759</v>
      </c>
      <c r="Q159" s="1" t="s">
        <v>5554</v>
      </c>
      <c r="R159" s="1" t="s">
        <v>3760</v>
      </c>
      <c r="S159" s="1" t="s">
        <v>6053</v>
      </c>
      <c r="T159" s="1" t="s">
        <v>6056</v>
      </c>
      <c r="U159" s="1" t="s">
        <v>6087</v>
      </c>
      <c r="V159" s="1" t="s">
        <v>6199</v>
      </c>
      <c r="W159" s="27">
        <v>53.571428571428569</v>
      </c>
      <c r="X159" s="27">
        <v>39.285714285714285</v>
      </c>
      <c r="Y159" s="33">
        <f>AVERAGE(Table13[[#This Row],[Score 1]],Table13[[#This Row],[Score 2]])</f>
        <v>46.428571428571431</v>
      </c>
      <c r="Z159" s="1">
        <v>1</v>
      </c>
      <c r="AA159" s="1">
        <v>1</v>
      </c>
      <c r="AB159" s="22">
        <f>Table13[[#This Row],[Rank 1]]+Table13[[#This Row],[Rank 2]]</f>
        <v>2</v>
      </c>
      <c r="AC159" s="1" t="str">
        <f>IF(AND(Table13[[#This Row],[Average score]]&gt;75,Table13[[#This Row],[Total rank]]&gt;6.5),"Yes","No")</f>
        <v>No</v>
      </c>
      <c r="AD159" s="1" t="str">
        <f>IF(AND(Table13[[#This Row],[Average score]]&gt;80,Table13[[#This Row],[Total rank]]&gt;7.5),"Yes","No")</f>
        <v>No</v>
      </c>
      <c r="AF159" s="8">
        <v>46023</v>
      </c>
      <c r="AG159" s="1">
        <v>2</v>
      </c>
      <c r="AH159" s="27">
        <v>200000</v>
      </c>
      <c r="AI159" s="27">
        <v>27000</v>
      </c>
      <c r="AJ159" s="30">
        <v>0</v>
      </c>
      <c r="AK159" s="30">
        <f>Table13[[#This Row],[Year 1]]</f>
        <v>200000</v>
      </c>
      <c r="AL159" s="30">
        <f>Table13[[#This Row],[Year 2]]</f>
        <v>27000</v>
      </c>
      <c r="AM159" s="30">
        <f>Table13[[#This Row],[Year 3]]</f>
        <v>0</v>
      </c>
      <c r="AN159" s="1">
        <v>3</v>
      </c>
    </row>
    <row r="160" spans="1:40" hidden="1" x14ac:dyDescent="0.25">
      <c r="A160" s="1" t="s">
        <v>48</v>
      </c>
      <c r="B160" s="1" t="s">
        <v>1879</v>
      </c>
      <c r="C160" s="1" t="s">
        <v>50</v>
      </c>
      <c r="D160" s="1" t="s">
        <v>1880</v>
      </c>
      <c r="E160" s="1" t="s">
        <v>1881</v>
      </c>
      <c r="F160" s="22" t="s">
        <v>3</v>
      </c>
      <c r="G160" s="1" t="s">
        <v>6085</v>
      </c>
      <c r="H160" s="1" t="s">
        <v>6</v>
      </c>
      <c r="I160" s="1" t="s">
        <v>24</v>
      </c>
      <c r="J160" s="1" t="s">
        <v>25</v>
      </c>
      <c r="K160" s="1" t="s">
        <v>9</v>
      </c>
      <c r="L160" s="1" t="s">
        <v>53</v>
      </c>
      <c r="M160" s="11" t="s">
        <v>2091</v>
      </c>
      <c r="N160" s="1" t="s">
        <v>6037</v>
      </c>
      <c r="O160" s="1" t="s">
        <v>13</v>
      </c>
      <c r="P160" s="1" t="s">
        <v>656</v>
      </c>
      <c r="Q160" s="1" t="s">
        <v>5555</v>
      </c>
      <c r="R160" s="1" t="s">
        <v>3761</v>
      </c>
      <c r="S160" s="1" t="s">
        <v>6078</v>
      </c>
      <c r="T160" s="1" t="s">
        <v>6077</v>
      </c>
      <c r="U160" s="1" t="s">
        <v>6090</v>
      </c>
      <c r="V160" s="1" t="s">
        <v>6174</v>
      </c>
      <c r="W160" s="27">
        <v>92.857142857142861</v>
      </c>
      <c r="X160" s="27">
        <v>78.571428571428569</v>
      </c>
      <c r="Y160" s="33">
        <f>AVERAGE(Table13[[#This Row],[Score 1]],Table13[[#This Row],[Score 2]])</f>
        <v>85.714285714285722</v>
      </c>
      <c r="Z160" s="1">
        <v>5</v>
      </c>
      <c r="AA160" s="1">
        <v>4</v>
      </c>
      <c r="AB160" s="22">
        <f>Table13[[#This Row],[Rank 1]]+Table13[[#This Row],[Rank 2]]</f>
        <v>9</v>
      </c>
      <c r="AC160" s="1" t="str">
        <f>IF(AND(Table13[[#This Row],[Average score]]&gt;75,Table13[[#This Row],[Total rank]]&gt;6.5),"Yes","No")</f>
        <v>Yes</v>
      </c>
      <c r="AD160" s="1" t="str">
        <f>IF(AND(Table13[[#This Row],[Average score]]&gt;80,Table13[[#This Row],[Total rank]]&gt;7.5),"Yes","No")</f>
        <v>Yes</v>
      </c>
      <c r="AF160" s="8">
        <v>45658</v>
      </c>
      <c r="AG160" s="1">
        <v>1</v>
      </c>
      <c r="AH160" s="27">
        <v>148157.26</v>
      </c>
      <c r="AI160" s="30">
        <v>0</v>
      </c>
      <c r="AJ160" s="30">
        <v>0</v>
      </c>
      <c r="AK160" s="30">
        <f>Table13[[#This Row],[Year 1]]</f>
        <v>148157.26</v>
      </c>
      <c r="AL160" s="30">
        <f>Table13[[#This Row],[Year 2]]</f>
        <v>0</v>
      </c>
      <c r="AM160" s="30">
        <f>Table13[[#This Row],[Year 3]]</f>
        <v>0</v>
      </c>
      <c r="AN160" s="1">
        <v>3</v>
      </c>
    </row>
    <row r="161" spans="1:40" hidden="1" x14ac:dyDescent="0.25">
      <c r="A161" s="1" t="s">
        <v>48</v>
      </c>
      <c r="B161" s="1" t="s">
        <v>1882</v>
      </c>
      <c r="C161" s="1" t="s">
        <v>50</v>
      </c>
      <c r="D161" s="1" t="s">
        <v>1883</v>
      </c>
      <c r="E161" s="1" t="s">
        <v>1884</v>
      </c>
      <c r="F161" s="22" t="s">
        <v>3</v>
      </c>
      <c r="G161" s="1" t="s">
        <v>6085</v>
      </c>
      <c r="H161" s="1" t="s">
        <v>6</v>
      </c>
      <c r="I161" s="1" t="s">
        <v>20</v>
      </c>
      <c r="J161" s="1" t="s">
        <v>25</v>
      </c>
      <c r="K161" s="1" t="s">
        <v>9</v>
      </c>
      <c r="L161" s="1" t="s">
        <v>53</v>
      </c>
      <c r="M161" s="11" t="s">
        <v>188</v>
      </c>
      <c r="N161" s="1" t="s">
        <v>6037</v>
      </c>
      <c r="O161" s="1" t="s">
        <v>12</v>
      </c>
      <c r="P161" s="1" t="s">
        <v>1456</v>
      </c>
      <c r="Q161" s="1" t="s">
        <v>5556</v>
      </c>
      <c r="R161" s="1" t="s">
        <v>3763</v>
      </c>
      <c r="S161" s="1" t="s">
        <v>6155</v>
      </c>
      <c r="T161" s="1" t="s">
        <v>6154</v>
      </c>
      <c r="U161" s="1" t="s">
        <v>6164</v>
      </c>
      <c r="V161" s="1" t="s">
        <v>6167</v>
      </c>
      <c r="W161" s="27">
        <v>67.857142857142861</v>
      </c>
      <c r="X161" s="27">
        <v>67.857142857142861</v>
      </c>
      <c r="Y161" s="33">
        <f>AVERAGE(Table13[[#This Row],[Score 1]],Table13[[#This Row],[Score 2]])</f>
        <v>67.857142857142861</v>
      </c>
      <c r="Z161" s="1">
        <v>3</v>
      </c>
      <c r="AA161" s="1">
        <v>3</v>
      </c>
      <c r="AB161" s="22">
        <f>Table13[[#This Row],[Rank 1]]+Table13[[#This Row],[Rank 2]]</f>
        <v>6</v>
      </c>
      <c r="AC161" s="1" t="str">
        <f>IF(AND(Table13[[#This Row],[Average score]]&gt;75,Table13[[#This Row],[Total rank]]&gt;6.5),"Yes","No")</f>
        <v>No</v>
      </c>
      <c r="AD161" s="1" t="str">
        <f>IF(AND(Table13[[#This Row],[Average score]]&gt;80,Table13[[#This Row],[Total rank]]&gt;7.5),"Yes","No")</f>
        <v>No</v>
      </c>
      <c r="AF161" s="8">
        <v>45658</v>
      </c>
      <c r="AG161" s="1">
        <v>1</v>
      </c>
      <c r="AH161" s="27">
        <v>81555</v>
      </c>
      <c r="AI161" s="30">
        <v>0</v>
      </c>
      <c r="AJ161" s="30">
        <v>0</v>
      </c>
      <c r="AK161" s="30">
        <f>Table13[[#This Row],[Year 1]]</f>
        <v>81555</v>
      </c>
      <c r="AL161" s="30">
        <f>Table13[[#This Row],[Year 2]]</f>
        <v>0</v>
      </c>
      <c r="AM161" s="30">
        <f>Table13[[#This Row],[Year 3]]</f>
        <v>0</v>
      </c>
      <c r="AN161" s="1">
        <v>3</v>
      </c>
    </row>
    <row r="162" spans="1:40" hidden="1" x14ac:dyDescent="0.25">
      <c r="A162" s="1" t="s">
        <v>48</v>
      </c>
      <c r="B162" s="25" t="s">
        <v>2351</v>
      </c>
      <c r="C162" s="1" t="s">
        <v>50</v>
      </c>
      <c r="D162" s="1" t="s">
        <v>3152</v>
      </c>
      <c r="E162" s="1" t="s">
        <v>3153</v>
      </c>
      <c r="F162" s="22" t="s">
        <v>3</v>
      </c>
      <c r="G162" s="1" t="s">
        <v>6085</v>
      </c>
      <c r="H162" s="1" t="s">
        <v>6</v>
      </c>
      <c r="I162" s="1" t="s">
        <v>20</v>
      </c>
      <c r="J162" s="1" t="s">
        <v>25</v>
      </c>
      <c r="K162" s="1" t="s">
        <v>9</v>
      </c>
      <c r="L162" s="1" t="s">
        <v>53</v>
      </c>
      <c r="M162" s="11" t="s">
        <v>188</v>
      </c>
      <c r="N162" s="1" t="s">
        <v>6037</v>
      </c>
      <c r="O162" s="1" t="s">
        <v>14</v>
      </c>
      <c r="P162" s="1" t="s">
        <v>656</v>
      </c>
      <c r="Q162" s="1" t="s">
        <v>5817</v>
      </c>
      <c r="R162" s="1" t="s">
        <v>4555</v>
      </c>
      <c r="S162" s="1" t="s">
        <v>6148</v>
      </c>
      <c r="T162" s="1" t="s">
        <v>6149</v>
      </c>
      <c r="U162" s="1" t="s">
        <v>6166</v>
      </c>
      <c r="V162" s="1" t="s">
        <v>6204</v>
      </c>
      <c r="W162" s="27">
        <v>67.857142857142861</v>
      </c>
      <c r="X162" s="27">
        <v>78.571428571428569</v>
      </c>
      <c r="Y162" s="33">
        <f>AVERAGE(Table13[[#This Row],[Score 1]],Table13[[#This Row],[Score 2]])</f>
        <v>73.214285714285722</v>
      </c>
      <c r="Z162" s="1">
        <v>5</v>
      </c>
      <c r="AA162" s="1">
        <v>4</v>
      </c>
      <c r="AB162" s="22">
        <f>Table13[[#This Row],[Rank 1]]+Table13[[#This Row],[Rank 2]]</f>
        <v>9</v>
      </c>
      <c r="AC162" s="1" t="str">
        <f>IF(AND(Table13[[#This Row],[Average score]]&gt;75,Table13[[#This Row],[Total rank]]&gt;6.5),"Yes","No")</f>
        <v>No</v>
      </c>
      <c r="AD162" s="1" t="str">
        <f>IF(AND(Table13[[#This Row],[Average score]]&gt;80,Table13[[#This Row],[Total rank]]&gt;7.5),"Yes","No")</f>
        <v>No</v>
      </c>
      <c r="AF162" s="8">
        <v>45698</v>
      </c>
      <c r="AG162" s="1">
        <v>1</v>
      </c>
      <c r="AH162" s="27">
        <v>165000</v>
      </c>
      <c r="AI162" s="30">
        <v>0</v>
      </c>
      <c r="AJ162" s="30">
        <v>0</v>
      </c>
      <c r="AK162" s="30">
        <f>Table13[[#This Row],[Year 1]]</f>
        <v>165000</v>
      </c>
      <c r="AL162" s="30">
        <f>Table13[[#This Row],[Year 2]]</f>
        <v>0</v>
      </c>
      <c r="AM162" s="30">
        <f>Table13[[#This Row],[Year 3]]</f>
        <v>0</v>
      </c>
      <c r="AN162" s="1">
        <v>3</v>
      </c>
    </row>
    <row r="163" spans="1:40" hidden="1" x14ac:dyDescent="0.25">
      <c r="A163" s="1" t="s">
        <v>48</v>
      </c>
      <c r="B163" s="1" t="s">
        <v>1888</v>
      </c>
      <c r="C163" s="1" t="s">
        <v>50</v>
      </c>
      <c r="D163" s="1" t="s">
        <v>1889</v>
      </c>
      <c r="E163" s="1" t="s">
        <v>1890</v>
      </c>
      <c r="F163" s="22" t="s">
        <v>3</v>
      </c>
      <c r="G163" s="1" t="s">
        <v>6085</v>
      </c>
      <c r="H163" s="1" t="s">
        <v>6</v>
      </c>
      <c r="I163" s="1" t="s">
        <v>20</v>
      </c>
      <c r="J163" s="1" t="s">
        <v>26</v>
      </c>
      <c r="K163" s="1" t="s">
        <v>9</v>
      </c>
      <c r="L163" s="1" t="s">
        <v>53</v>
      </c>
      <c r="M163" s="11" t="s">
        <v>188</v>
      </c>
      <c r="N163" s="1" t="s">
        <v>6037</v>
      </c>
      <c r="O163" s="1" t="s">
        <v>15</v>
      </c>
      <c r="P163" s="1" t="s">
        <v>3767</v>
      </c>
      <c r="Q163" s="1" t="s">
        <v>5359</v>
      </c>
      <c r="R163" s="1" t="s">
        <v>3768</v>
      </c>
      <c r="S163" s="1" t="s">
        <v>6057</v>
      </c>
      <c r="T163" s="1" t="s">
        <v>6058</v>
      </c>
      <c r="U163" s="1" t="s">
        <v>6095</v>
      </c>
      <c r="V163" s="1" t="s">
        <v>6186</v>
      </c>
      <c r="W163" s="27">
        <v>75</v>
      </c>
      <c r="X163" s="27">
        <v>96.428571428571431</v>
      </c>
      <c r="Y163" s="33">
        <f>AVERAGE(Table13[[#This Row],[Score 1]],Table13[[#This Row],[Score 2]])</f>
        <v>85.714285714285722</v>
      </c>
      <c r="Z163" s="1">
        <v>4</v>
      </c>
      <c r="AA163" s="1">
        <v>4</v>
      </c>
      <c r="AB163" s="22">
        <f>Table13[[#This Row],[Rank 1]]+Table13[[#This Row],[Rank 2]]</f>
        <v>8</v>
      </c>
      <c r="AC163" s="1" t="str">
        <f>IF(AND(Table13[[#This Row],[Average score]]&gt;75,Table13[[#This Row],[Total rank]]&gt;6.5),"Yes","No")</f>
        <v>Yes</v>
      </c>
      <c r="AD163" s="1" t="str">
        <f>IF(AND(Table13[[#This Row],[Average score]]&gt;80,Table13[[#This Row],[Total rank]]&gt;7.5),"Yes","No")</f>
        <v>Yes</v>
      </c>
      <c r="AF163" s="8">
        <v>46055</v>
      </c>
      <c r="AG163" s="1">
        <v>1</v>
      </c>
      <c r="AH163" s="27">
        <v>100000</v>
      </c>
      <c r="AI163" s="30">
        <v>0</v>
      </c>
      <c r="AJ163" s="30">
        <v>0</v>
      </c>
      <c r="AK163" s="30">
        <f>Table13[[#This Row],[Year 1]]</f>
        <v>100000</v>
      </c>
      <c r="AL163" s="30">
        <f>Table13[[#This Row],[Year 2]]</f>
        <v>0</v>
      </c>
      <c r="AM163" s="30">
        <f>Table13[[#This Row],[Year 3]]</f>
        <v>0</v>
      </c>
      <c r="AN163" s="1">
        <v>3</v>
      </c>
    </row>
    <row r="164" spans="1:40" hidden="1" x14ac:dyDescent="0.25">
      <c r="A164" s="1" t="s">
        <v>48</v>
      </c>
      <c r="B164" s="1" t="s">
        <v>1894</v>
      </c>
      <c r="C164" s="1" t="s">
        <v>50</v>
      </c>
      <c r="D164" s="1" t="s">
        <v>1895</v>
      </c>
      <c r="E164" s="1" t="s">
        <v>1896</v>
      </c>
      <c r="F164" s="22" t="s">
        <v>3</v>
      </c>
      <c r="G164" s="1" t="s">
        <v>6085</v>
      </c>
      <c r="H164" s="1" t="s">
        <v>6</v>
      </c>
      <c r="I164" s="1" t="s">
        <v>24</v>
      </c>
      <c r="J164" s="1" t="s">
        <v>25</v>
      </c>
      <c r="K164" s="1" t="s">
        <v>9</v>
      </c>
      <c r="L164" s="1" t="s">
        <v>53</v>
      </c>
      <c r="M164" s="11" t="s">
        <v>188</v>
      </c>
      <c r="N164" s="1" t="s">
        <v>6037</v>
      </c>
      <c r="O164" s="1" t="s">
        <v>16</v>
      </c>
      <c r="P164" s="1" t="s">
        <v>1456</v>
      </c>
      <c r="Q164" s="1" t="s">
        <v>5558</v>
      </c>
      <c r="R164" s="1" t="s">
        <v>3772</v>
      </c>
      <c r="S164" s="1" t="s">
        <v>6119</v>
      </c>
      <c r="T164" s="1" t="s">
        <v>6120</v>
      </c>
      <c r="U164" s="1" t="s">
        <v>6129</v>
      </c>
      <c r="V164" s="1" t="s">
        <v>6189</v>
      </c>
      <c r="W164" s="27">
        <v>57.142857142857139</v>
      </c>
      <c r="X164" s="27">
        <v>67.857142857142861</v>
      </c>
      <c r="Y164" s="33">
        <f>AVERAGE(Table13[[#This Row],[Score 1]],Table13[[#This Row],[Score 2]])</f>
        <v>62.5</v>
      </c>
      <c r="Z164" s="1">
        <v>3</v>
      </c>
      <c r="AA164" s="1">
        <v>3</v>
      </c>
      <c r="AB164" s="22">
        <f>Table13[[#This Row],[Rank 1]]+Table13[[#This Row],[Rank 2]]</f>
        <v>6</v>
      </c>
      <c r="AC164" s="1" t="str">
        <f>IF(AND(Table13[[#This Row],[Average score]]&gt;75,Table13[[#This Row],[Total rank]]&gt;6.5),"Yes","No")</f>
        <v>No</v>
      </c>
      <c r="AD164" s="1" t="str">
        <f>IF(AND(Table13[[#This Row],[Average score]]&gt;80,Table13[[#This Row],[Total rank]]&gt;7.5),"Yes","No")</f>
        <v>No</v>
      </c>
      <c r="AF164" s="8">
        <v>46041</v>
      </c>
      <c r="AG164" s="1">
        <v>2</v>
      </c>
      <c r="AH164" s="27">
        <v>193500</v>
      </c>
      <c r="AI164" s="27">
        <v>193500</v>
      </c>
      <c r="AJ164" s="30">
        <v>0</v>
      </c>
      <c r="AK164" s="30">
        <f>Table13[[#This Row],[Year 1]]</f>
        <v>193500</v>
      </c>
      <c r="AL164" s="30">
        <f>Table13[[#This Row],[Year 2]]</f>
        <v>193500</v>
      </c>
      <c r="AM164" s="30">
        <f>Table13[[#This Row],[Year 3]]</f>
        <v>0</v>
      </c>
      <c r="AN164" s="1">
        <v>3</v>
      </c>
    </row>
    <row r="165" spans="1:40" hidden="1" x14ac:dyDescent="0.25">
      <c r="A165" s="1" t="s">
        <v>48</v>
      </c>
      <c r="B165" s="2" t="s">
        <v>1899</v>
      </c>
      <c r="C165" s="1" t="s">
        <v>50</v>
      </c>
      <c r="D165" s="1" t="s">
        <v>1900</v>
      </c>
      <c r="E165" s="1" t="s">
        <v>1901</v>
      </c>
      <c r="F165" s="22" t="s">
        <v>3</v>
      </c>
      <c r="G165" s="1" t="s">
        <v>6085</v>
      </c>
      <c r="H165" s="1" t="s">
        <v>5</v>
      </c>
      <c r="I165" s="1" t="s">
        <v>23</v>
      </c>
      <c r="J165" s="1" t="s">
        <v>26</v>
      </c>
      <c r="K165" s="1" t="s">
        <v>9</v>
      </c>
      <c r="L165" s="1" t="s">
        <v>53</v>
      </c>
      <c r="M165" s="11" t="s">
        <v>188</v>
      </c>
      <c r="N165" s="1" t="s">
        <v>6037</v>
      </c>
      <c r="O165" s="1" t="s">
        <v>16</v>
      </c>
      <c r="P165" s="1" t="s">
        <v>3776</v>
      </c>
      <c r="Q165" s="1" t="s">
        <v>5560</v>
      </c>
      <c r="R165" s="1" t="s">
        <v>3777</v>
      </c>
      <c r="S165" s="1" t="s">
        <v>6122</v>
      </c>
      <c r="T165" s="1" t="s">
        <v>6121</v>
      </c>
      <c r="U165" s="1" t="s">
        <v>6122</v>
      </c>
      <c r="V165" s="1" t="s">
        <v>6180</v>
      </c>
      <c r="W165" s="27">
        <v>89.285714285714292</v>
      </c>
      <c r="X165" s="27">
        <v>85.714285714285708</v>
      </c>
      <c r="Y165" s="33">
        <f>AVERAGE(Table13[[#This Row],[Score 1]],Table13[[#This Row],[Score 2]])</f>
        <v>87.5</v>
      </c>
      <c r="Z165" s="1">
        <v>5</v>
      </c>
      <c r="AA165" s="1">
        <v>5</v>
      </c>
      <c r="AB165" s="22">
        <f>Table13[[#This Row],[Rank 1]]+Table13[[#This Row],[Rank 2]]</f>
        <v>10</v>
      </c>
      <c r="AC165" s="1" t="str">
        <f>IF(AND(Table13[[#This Row],[Average score]]&gt;75,Table13[[#This Row],[Total rank]]&gt;6.5),"Yes","No")</f>
        <v>Yes</v>
      </c>
      <c r="AD165" s="1" t="str">
        <f>IF(AND(Table13[[#This Row],[Average score]]&gt;80,Table13[[#This Row],[Total rank]]&gt;7.5),"Yes","No")</f>
        <v>Yes</v>
      </c>
      <c r="AF165" s="8">
        <v>46037</v>
      </c>
      <c r="AG165" s="1">
        <v>3</v>
      </c>
      <c r="AH165" s="27">
        <v>164000</v>
      </c>
      <c r="AI165" s="27">
        <v>279150</v>
      </c>
      <c r="AJ165" s="27">
        <v>315207.5</v>
      </c>
      <c r="AK165" s="27">
        <f>Table13[[#This Row],[Year 1]]</f>
        <v>164000</v>
      </c>
      <c r="AL165" s="27">
        <f>Table13[[#This Row],[Year 2]]</f>
        <v>279150</v>
      </c>
      <c r="AM165" s="27">
        <f>Table13[[#This Row],[Year 3]]</f>
        <v>315207.5</v>
      </c>
      <c r="AN165" s="1">
        <v>3</v>
      </c>
    </row>
    <row r="166" spans="1:40" hidden="1" x14ac:dyDescent="0.25">
      <c r="A166" s="1" t="s">
        <v>48</v>
      </c>
      <c r="B166" s="1" t="s">
        <v>1902</v>
      </c>
      <c r="C166" s="1" t="s">
        <v>50</v>
      </c>
      <c r="D166" s="1" t="s">
        <v>1903</v>
      </c>
      <c r="E166" s="1" t="s">
        <v>1904</v>
      </c>
      <c r="F166" s="22" t="s">
        <v>3</v>
      </c>
      <c r="G166" s="1" t="s">
        <v>6085</v>
      </c>
      <c r="H166" s="1" t="s">
        <v>6</v>
      </c>
      <c r="I166" s="1" t="s">
        <v>20</v>
      </c>
      <c r="J166" s="1" t="s">
        <v>25</v>
      </c>
      <c r="K166" s="1" t="s">
        <v>9</v>
      </c>
      <c r="L166" s="1" t="s">
        <v>53</v>
      </c>
      <c r="M166" s="1" t="s">
        <v>1828</v>
      </c>
      <c r="N166" s="1" t="s">
        <v>6037</v>
      </c>
      <c r="O166" s="1" t="s">
        <v>16</v>
      </c>
      <c r="P166" s="1" t="s">
        <v>181</v>
      </c>
      <c r="Q166" s="1" t="s">
        <v>5561</v>
      </c>
      <c r="R166" s="1" t="s">
        <v>3781</v>
      </c>
      <c r="S166" s="1" t="s">
        <v>6119</v>
      </c>
      <c r="T166" s="1" t="s">
        <v>6120</v>
      </c>
      <c r="U166" s="1" t="s">
        <v>6129</v>
      </c>
      <c r="V166" s="1" t="s">
        <v>6189</v>
      </c>
      <c r="W166" s="27">
        <v>64.285714285714292</v>
      </c>
      <c r="X166" s="27">
        <v>78.571428571428569</v>
      </c>
      <c r="Y166" s="33">
        <f>AVERAGE(Table13[[#This Row],[Score 1]],Table13[[#This Row],[Score 2]])</f>
        <v>71.428571428571431</v>
      </c>
      <c r="Z166" s="1">
        <v>3</v>
      </c>
      <c r="AA166" s="1">
        <v>4</v>
      </c>
      <c r="AB166" s="22">
        <f>Table13[[#This Row],[Rank 1]]+Table13[[#This Row],[Rank 2]]</f>
        <v>7</v>
      </c>
      <c r="AC166" s="1" t="str">
        <f>IF(AND(Table13[[#This Row],[Average score]]&gt;75,Table13[[#This Row],[Total rank]]&gt;6.5),"Yes","No")</f>
        <v>No</v>
      </c>
      <c r="AD166" s="1" t="str">
        <f>IF(AND(Table13[[#This Row],[Average score]]&gt;80,Table13[[#This Row],[Total rank]]&gt;7.5),"Yes","No")</f>
        <v>No</v>
      </c>
      <c r="AF166" s="8">
        <v>46056</v>
      </c>
      <c r="AG166" s="1">
        <v>2</v>
      </c>
      <c r="AH166" s="27">
        <v>152100</v>
      </c>
      <c r="AI166" s="31">
        <v>0</v>
      </c>
      <c r="AJ166" s="30">
        <v>0</v>
      </c>
      <c r="AK166" s="30">
        <f>Table13[[#This Row],[Year 1]]</f>
        <v>152100</v>
      </c>
      <c r="AL166" s="30">
        <f>Table13[[#This Row],[Year 2]]</f>
        <v>0</v>
      </c>
      <c r="AM166" s="30">
        <f>Table13[[#This Row],[Year 3]]</f>
        <v>0</v>
      </c>
      <c r="AN166" s="1">
        <v>3</v>
      </c>
    </row>
    <row r="167" spans="1:40" hidden="1" x14ac:dyDescent="0.25">
      <c r="A167" s="1" t="s">
        <v>48</v>
      </c>
      <c r="B167" s="25" t="s">
        <v>2346</v>
      </c>
      <c r="C167" s="1" t="s">
        <v>50</v>
      </c>
      <c r="D167" s="1" t="s">
        <v>3142</v>
      </c>
      <c r="E167" s="1" t="s">
        <v>3143</v>
      </c>
      <c r="F167" s="22" t="s">
        <v>3</v>
      </c>
      <c r="G167" s="1" t="s">
        <v>6085</v>
      </c>
      <c r="H167" s="1" t="s">
        <v>5</v>
      </c>
      <c r="I167" s="1" t="s">
        <v>20</v>
      </c>
      <c r="J167" s="1" t="s">
        <v>25</v>
      </c>
      <c r="K167" s="1" t="s">
        <v>9</v>
      </c>
      <c r="L167" s="1" t="s">
        <v>53</v>
      </c>
      <c r="M167" s="11" t="s">
        <v>188</v>
      </c>
      <c r="N167" s="1" t="s">
        <v>6037</v>
      </c>
      <c r="O167" s="1" t="s">
        <v>14</v>
      </c>
      <c r="P167" s="1" t="s">
        <v>1456</v>
      </c>
      <c r="Q167" s="1" t="s">
        <v>5812</v>
      </c>
      <c r="R167" s="1" t="s">
        <v>4547</v>
      </c>
      <c r="S167" s="1" t="s">
        <v>6148</v>
      </c>
      <c r="T167" s="1" t="s">
        <v>6149</v>
      </c>
      <c r="U167" s="1" t="s">
        <v>6166</v>
      </c>
      <c r="V167" s="1" t="s">
        <v>6204</v>
      </c>
      <c r="W167" s="27">
        <v>75</v>
      </c>
      <c r="X167" s="27">
        <v>64.285714285714292</v>
      </c>
      <c r="Y167" s="33">
        <f>AVERAGE(Table13[[#This Row],[Score 1]],Table13[[#This Row],[Score 2]])</f>
        <v>69.642857142857139</v>
      </c>
      <c r="Z167" s="1">
        <v>4</v>
      </c>
      <c r="AA167" s="1">
        <v>3</v>
      </c>
      <c r="AB167" s="22">
        <f>Table13[[#This Row],[Rank 1]]+Table13[[#This Row],[Rank 2]]</f>
        <v>7</v>
      </c>
      <c r="AC167" s="1" t="str">
        <f>IF(AND(Table13[[#This Row],[Average score]]&gt;75,Table13[[#This Row],[Total rank]]&gt;6.5),"Yes","No")</f>
        <v>No</v>
      </c>
      <c r="AD167" s="1" t="str">
        <f>IF(AND(Table13[[#This Row],[Average score]]&gt;80,Table13[[#This Row],[Total rank]]&gt;7.5),"Yes","No")</f>
        <v>No</v>
      </c>
      <c r="AF167" s="8">
        <v>45672</v>
      </c>
      <c r="AG167" s="1">
        <v>3</v>
      </c>
      <c r="AH167" s="27">
        <v>180000</v>
      </c>
      <c r="AI167" s="27">
        <v>165000</v>
      </c>
      <c r="AJ167" s="27">
        <v>165000</v>
      </c>
      <c r="AK167" s="27">
        <f>Table13[[#This Row],[Year 1]]</f>
        <v>180000</v>
      </c>
      <c r="AL167" s="27">
        <f>Table13[[#This Row],[Year 2]]</f>
        <v>165000</v>
      </c>
      <c r="AM167" s="27">
        <f>Table13[[#This Row],[Year 3]]</f>
        <v>165000</v>
      </c>
      <c r="AN167" s="1">
        <v>4</v>
      </c>
    </row>
    <row r="168" spans="1:40" hidden="1" x14ac:dyDescent="0.25">
      <c r="A168" s="1" t="s">
        <v>48</v>
      </c>
      <c r="B168" s="1" t="s">
        <v>1908</v>
      </c>
      <c r="C168" s="1" t="s">
        <v>50</v>
      </c>
      <c r="D168" s="1" t="s">
        <v>1909</v>
      </c>
      <c r="E168" s="1" t="s">
        <v>1910</v>
      </c>
      <c r="F168" s="22" t="s">
        <v>3</v>
      </c>
      <c r="G168" s="1" t="s">
        <v>6085</v>
      </c>
      <c r="H168" s="1" t="s">
        <v>6</v>
      </c>
      <c r="I168" s="1" t="s">
        <v>20</v>
      </c>
      <c r="J168" s="1" t="s">
        <v>25</v>
      </c>
      <c r="K168" s="1" t="s">
        <v>9</v>
      </c>
      <c r="L168" s="1" t="s">
        <v>53</v>
      </c>
      <c r="M168" s="11" t="s">
        <v>188</v>
      </c>
      <c r="N168" s="1" t="s">
        <v>6037</v>
      </c>
      <c r="O168" s="1" t="s">
        <v>13</v>
      </c>
      <c r="P168" s="1" t="s">
        <v>247</v>
      </c>
      <c r="Q168" s="1" t="s">
        <v>5563</v>
      </c>
      <c r="R168" s="1" t="s">
        <v>3787</v>
      </c>
      <c r="S168" s="1" t="s">
        <v>6068</v>
      </c>
      <c r="T168" s="1" t="s">
        <v>6069</v>
      </c>
      <c r="U168" s="1" t="s">
        <v>6099</v>
      </c>
      <c r="V168" s="1" t="s">
        <v>6194</v>
      </c>
      <c r="W168" s="27">
        <v>57.142857142857139</v>
      </c>
      <c r="X168" s="27">
        <v>50</v>
      </c>
      <c r="Y168" s="33">
        <f>AVERAGE(Table13[[#This Row],[Score 1]],Table13[[#This Row],[Score 2]])</f>
        <v>53.571428571428569</v>
      </c>
      <c r="Z168" s="1">
        <v>2</v>
      </c>
      <c r="AA168" s="1">
        <v>3</v>
      </c>
      <c r="AB168" s="22">
        <f>Table13[[#This Row],[Rank 1]]+Table13[[#This Row],[Rank 2]]</f>
        <v>5</v>
      </c>
      <c r="AC168" s="1" t="str">
        <f>IF(AND(Table13[[#This Row],[Average score]]&gt;75,Table13[[#This Row],[Total rank]]&gt;6.5),"Yes","No")</f>
        <v>No</v>
      </c>
      <c r="AD168" s="1" t="str">
        <f>IF(AND(Table13[[#This Row],[Average score]]&gt;80,Table13[[#This Row],[Total rank]]&gt;7.5),"Yes","No")</f>
        <v>No</v>
      </c>
      <c r="AF168" s="8">
        <v>45688</v>
      </c>
      <c r="AG168" s="1">
        <v>1</v>
      </c>
      <c r="AH168" s="27">
        <v>251562</v>
      </c>
      <c r="AI168" s="30">
        <v>0</v>
      </c>
      <c r="AJ168" s="30">
        <v>0</v>
      </c>
      <c r="AK168" s="30">
        <f>Table13[[#This Row],[Year 1]]</f>
        <v>251562</v>
      </c>
      <c r="AL168" s="30">
        <f>Table13[[#This Row],[Year 2]]</f>
        <v>0</v>
      </c>
      <c r="AM168" s="30">
        <f>Table13[[#This Row],[Year 3]]</f>
        <v>0</v>
      </c>
      <c r="AN168" s="1">
        <v>3</v>
      </c>
    </row>
    <row r="169" spans="1:40" hidden="1" x14ac:dyDescent="0.25">
      <c r="A169" s="1" t="s">
        <v>48</v>
      </c>
      <c r="B169" s="10" t="s">
        <v>1911</v>
      </c>
      <c r="C169" s="1" t="s">
        <v>50</v>
      </c>
      <c r="D169" s="1" t="s">
        <v>1912</v>
      </c>
      <c r="E169" s="1" t="s">
        <v>1913</v>
      </c>
      <c r="F169" s="22" t="s">
        <v>3</v>
      </c>
      <c r="G169" s="1" t="s">
        <v>6085</v>
      </c>
      <c r="H169" s="1" t="s">
        <v>6</v>
      </c>
      <c r="I169" s="1" t="s">
        <v>20</v>
      </c>
      <c r="J169" s="1" t="s">
        <v>26</v>
      </c>
      <c r="K169" s="1" t="s">
        <v>9</v>
      </c>
      <c r="L169" s="1" t="s">
        <v>53</v>
      </c>
      <c r="M169" s="11" t="s">
        <v>188</v>
      </c>
      <c r="N169" s="1" t="s">
        <v>6037</v>
      </c>
      <c r="O169" s="1" t="s">
        <v>11</v>
      </c>
      <c r="P169" s="1" t="s">
        <v>126</v>
      </c>
      <c r="Q169" s="1" t="s">
        <v>5564</v>
      </c>
      <c r="R169" s="1" t="s">
        <v>3789</v>
      </c>
      <c r="S169" s="1" t="s">
        <v>6055</v>
      </c>
      <c r="T169" s="1" t="s">
        <v>6056</v>
      </c>
      <c r="U169" s="1" t="s">
        <v>6105</v>
      </c>
      <c r="V169" s="1" t="s">
        <v>6199</v>
      </c>
      <c r="W169" s="27">
        <v>67.857142857142861</v>
      </c>
      <c r="X169" s="27">
        <v>46.428571428571431</v>
      </c>
      <c r="Y169" s="33">
        <f>AVERAGE(Table13[[#This Row],[Score 1]],Table13[[#This Row],[Score 2]])</f>
        <v>57.142857142857146</v>
      </c>
      <c r="Z169" s="1">
        <v>2</v>
      </c>
      <c r="AA169" s="1">
        <v>1</v>
      </c>
      <c r="AB169" s="22">
        <f>Table13[[#This Row],[Rank 1]]+Table13[[#This Row],[Rank 2]]</f>
        <v>3</v>
      </c>
      <c r="AC169" s="1" t="str">
        <f>IF(AND(Table13[[#This Row],[Average score]]&gt;75,Table13[[#This Row],[Total rank]]&gt;6.5),"Yes","No")</f>
        <v>No</v>
      </c>
      <c r="AD169" s="1" t="str">
        <f>IF(AND(Table13[[#This Row],[Average score]]&gt;80,Table13[[#This Row],[Total rank]]&gt;7.5),"Yes","No")</f>
        <v>No</v>
      </c>
      <c r="AF169" s="8">
        <v>45672</v>
      </c>
      <c r="AG169" s="1">
        <v>2</v>
      </c>
      <c r="AH169" s="27">
        <v>1732.4</v>
      </c>
      <c r="AI169" s="27">
        <v>95558.399999999994</v>
      </c>
      <c r="AJ169" s="30">
        <v>0</v>
      </c>
      <c r="AK169" s="30">
        <f>Table13[[#This Row],[Year 1]]</f>
        <v>1732.4</v>
      </c>
      <c r="AL169" s="30">
        <f>Table13[[#This Row],[Year 2]]</f>
        <v>95558.399999999994</v>
      </c>
      <c r="AM169" s="30">
        <f>Table13[[#This Row],[Year 3]]</f>
        <v>0</v>
      </c>
      <c r="AN169" s="1">
        <v>3</v>
      </c>
    </row>
    <row r="170" spans="1:40" hidden="1" x14ac:dyDescent="0.25">
      <c r="A170" s="1" t="s">
        <v>48</v>
      </c>
      <c r="B170" s="1" t="s">
        <v>1917</v>
      </c>
      <c r="C170" s="1" t="s">
        <v>50</v>
      </c>
      <c r="D170" s="1" t="s">
        <v>1918</v>
      </c>
      <c r="E170" s="1" t="s">
        <v>1919</v>
      </c>
      <c r="F170" s="22" t="s">
        <v>3</v>
      </c>
      <c r="G170" s="1" t="s">
        <v>6085</v>
      </c>
      <c r="H170" s="1" t="s">
        <v>5</v>
      </c>
      <c r="I170" s="1" t="s">
        <v>20</v>
      </c>
      <c r="J170" s="1" t="s">
        <v>26</v>
      </c>
      <c r="K170" s="1" t="s">
        <v>9</v>
      </c>
      <c r="L170" s="1" t="s">
        <v>53</v>
      </c>
      <c r="M170" s="11" t="s">
        <v>188</v>
      </c>
      <c r="N170" s="1" t="s">
        <v>6037</v>
      </c>
      <c r="O170" s="1" t="s">
        <v>14</v>
      </c>
      <c r="P170" s="1" t="s">
        <v>3794</v>
      </c>
      <c r="Q170" s="1" t="s">
        <v>5566</v>
      </c>
      <c r="R170" s="1" t="s">
        <v>3795</v>
      </c>
      <c r="S170" s="1" t="s">
        <v>6144</v>
      </c>
      <c r="T170" s="1" t="s">
        <v>6143</v>
      </c>
      <c r="U170" s="1" t="s">
        <v>6161</v>
      </c>
      <c r="V170" s="1" t="s">
        <v>6183</v>
      </c>
      <c r="W170" s="27">
        <v>67.857142857142861</v>
      </c>
      <c r="X170" s="27">
        <v>89.285714285714292</v>
      </c>
      <c r="Y170" s="33">
        <f>AVERAGE(Table13[[#This Row],[Score 1]],Table13[[#This Row],[Score 2]])</f>
        <v>78.571428571428584</v>
      </c>
      <c r="Z170" s="1">
        <v>3</v>
      </c>
      <c r="AA170" s="1">
        <v>5</v>
      </c>
      <c r="AB170" s="22">
        <f>Table13[[#This Row],[Rank 1]]+Table13[[#This Row],[Rank 2]]</f>
        <v>8</v>
      </c>
      <c r="AC170" s="1" t="str">
        <f>IF(AND(Table13[[#This Row],[Average score]]&gt;75,Table13[[#This Row],[Total rank]]&gt;6.5),"Yes","No")</f>
        <v>Yes</v>
      </c>
      <c r="AD170" s="1" t="str">
        <f>IF(AND(Table13[[#This Row],[Average score]]&gt;80,Table13[[#This Row],[Total rank]]&gt;7.5),"Yes","No")</f>
        <v>No</v>
      </c>
      <c r="AF170" s="8">
        <v>46068</v>
      </c>
      <c r="AG170" s="1">
        <v>3</v>
      </c>
      <c r="AH170" s="27">
        <v>130000</v>
      </c>
      <c r="AI170" s="27">
        <v>105000</v>
      </c>
      <c r="AJ170" s="27">
        <v>95000</v>
      </c>
      <c r="AK170" s="27">
        <f>Table13[[#This Row],[Year 1]]</f>
        <v>130000</v>
      </c>
      <c r="AL170" s="27">
        <f>Table13[[#This Row],[Year 2]]</f>
        <v>105000</v>
      </c>
      <c r="AM170" s="27">
        <f>Table13[[#This Row],[Year 3]]</f>
        <v>95000</v>
      </c>
      <c r="AN170" s="1">
        <v>3</v>
      </c>
    </row>
    <row r="171" spans="1:40" hidden="1" x14ac:dyDescent="0.25">
      <c r="A171" s="1" t="s">
        <v>48</v>
      </c>
      <c r="B171" s="1" t="s">
        <v>1920</v>
      </c>
      <c r="C171" s="1" t="s">
        <v>50</v>
      </c>
      <c r="D171" s="1" t="s">
        <v>1921</v>
      </c>
      <c r="E171" s="1" t="s">
        <v>1922</v>
      </c>
      <c r="F171" s="22" t="s">
        <v>3</v>
      </c>
      <c r="G171" s="1" t="s">
        <v>6085</v>
      </c>
      <c r="H171" s="1" t="s">
        <v>7</v>
      </c>
      <c r="I171" s="1" t="s">
        <v>20</v>
      </c>
      <c r="J171" s="1" t="s">
        <v>26</v>
      </c>
      <c r="K171" s="1" t="s">
        <v>9</v>
      </c>
      <c r="L171" s="1" t="s">
        <v>53</v>
      </c>
      <c r="M171" s="11" t="s">
        <v>188</v>
      </c>
      <c r="N171" s="1" t="s">
        <v>6037</v>
      </c>
      <c r="O171" s="1" t="s">
        <v>10</v>
      </c>
      <c r="P171" s="1" t="s">
        <v>247</v>
      </c>
      <c r="Q171" s="18" t="s">
        <v>4621</v>
      </c>
      <c r="R171" s="1" t="s">
        <v>3796</v>
      </c>
      <c r="S171" s="1" t="s">
        <v>6049</v>
      </c>
      <c r="T171" s="1" t="s">
        <v>6050</v>
      </c>
      <c r="U171" s="1" t="s">
        <v>6104</v>
      </c>
      <c r="V171" s="1" t="s">
        <v>6200</v>
      </c>
      <c r="W171" s="27">
        <v>66.666666666666657</v>
      </c>
      <c r="X171" s="27">
        <v>66.666666666666657</v>
      </c>
      <c r="Y171" s="33">
        <f>AVERAGE(Table13[[#This Row],[Score 1]],Table13[[#This Row],[Score 2]])</f>
        <v>66.666666666666657</v>
      </c>
      <c r="Z171" s="1">
        <v>3</v>
      </c>
      <c r="AA171" s="1">
        <v>2</v>
      </c>
      <c r="AB171" s="22">
        <f>Table13[[#This Row],[Rank 1]]+Table13[[#This Row],[Rank 2]]</f>
        <v>5</v>
      </c>
      <c r="AC171" s="1" t="str">
        <f>IF(AND(Table13[[#This Row],[Average score]]&gt;75,Table13[[#This Row],[Total rank]]&gt;6.5),"Yes","No")</f>
        <v>No</v>
      </c>
      <c r="AD171" s="1" t="str">
        <f>IF(AND(Table13[[#This Row],[Average score]]&gt;80,Table13[[#This Row],[Total rank]]&gt;7.5),"Yes","No")</f>
        <v>No</v>
      </c>
      <c r="AF171" s="8">
        <v>46063</v>
      </c>
      <c r="AG171" s="1">
        <v>2</v>
      </c>
      <c r="AH171" s="27">
        <v>370000</v>
      </c>
      <c r="AI171" s="27">
        <v>370000</v>
      </c>
      <c r="AJ171" s="30">
        <v>0</v>
      </c>
      <c r="AK171" s="30">
        <f>Table13[[#This Row],[Year 1]]</f>
        <v>370000</v>
      </c>
      <c r="AL171" s="30">
        <f>Table13[[#This Row],[Year 2]]</f>
        <v>370000</v>
      </c>
      <c r="AM171" s="30">
        <f>Table13[[#This Row],[Year 3]]</f>
        <v>0</v>
      </c>
      <c r="AN171" s="1">
        <v>2</v>
      </c>
    </row>
    <row r="172" spans="1:40" hidden="1" x14ac:dyDescent="0.25">
      <c r="A172" s="1" t="s">
        <v>48</v>
      </c>
      <c r="B172" s="1" t="s">
        <v>1923</v>
      </c>
      <c r="C172" s="1" t="s">
        <v>50</v>
      </c>
      <c r="D172" s="1" t="s">
        <v>1924</v>
      </c>
      <c r="E172" s="1" t="s">
        <v>1925</v>
      </c>
      <c r="F172" s="22" t="s">
        <v>3</v>
      </c>
      <c r="G172" s="1" t="s">
        <v>6085</v>
      </c>
      <c r="H172" s="1" t="s">
        <v>7</v>
      </c>
      <c r="I172" s="1" t="s">
        <v>20</v>
      </c>
      <c r="J172" s="1" t="s">
        <v>25</v>
      </c>
      <c r="K172" s="1" t="s">
        <v>9</v>
      </c>
      <c r="L172" s="1" t="s">
        <v>53</v>
      </c>
      <c r="M172" s="11" t="s">
        <v>188</v>
      </c>
      <c r="N172" s="1" t="s">
        <v>6037</v>
      </c>
      <c r="O172" s="1" t="s">
        <v>10</v>
      </c>
      <c r="P172" s="1" t="s">
        <v>3798</v>
      </c>
      <c r="Q172" s="18" t="s">
        <v>5567</v>
      </c>
      <c r="R172" s="1" t="s">
        <v>3799</v>
      </c>
      <c r="S172" s="1" t="s">
        <v>6049</v>
      </c>
      <c r="T172" s="1" t="s">
        <v>6050</v>
      </c>
      <c r="U172" s="1" t="s">
        <v>6104</v>
      </c>
      <c r="V172" s="1" t="s">
        <v>6200</v>
      </c>
      <c r="W172" s="27">
        <v>63.888888888888886</v>
      </c>
      <c r="X172" s="27">
        <v>69.444444444444443</v>
      </c>
      <c r="Y172" s="33">
        <f>AVERAGE(Table13[[#This Row],[Score 1]],Table13[[#This Row],[Score 2]])</f>
        <v>66.666666666666657</v>
      </c>
      <c r="Z172" s="1">
        <v>3</v>
      </c>
      <c r="AA172" s="1">
        <v>2</v>
      </c>
      <c r="AB172" s="22">
        <f>Table13[[#This Row],[Rank 1]]+Table13[[#This Row],[Rank 2]]</f>
        <v>5</v>
      </c>
      <c r="AC172" s="1" t="str">
        <f>IF(AND(Table13[[#This Row],[Average score]]&gt;75,Table13[[#This Row],[Total rank]]&gt;6.5),"Yes","No")</f>
        <v>No</v>
      </c>
      <c r="AD172" s="1" t="str">
        <f>IF(AND(Table13[[#This Row],[Average score]]&gt;80,Table13[[#This Row],[Total rank]]&gt;7.5),"Yes","No")</f>
        <v>No</v>
      </c>
      <c r="AF172" s="8">
        <v>46027</v>
      </c>
      <c r="AG172" s="1">
        <v>2</v>
      </c>
      <c r="AH172" s="27">
        <v>110000</v>
      </c>
      <c r="AI172" s="27">
        <v>110000</v>
      </c>
      <c r="AJ172" s="30">
        <v>0</v>
      </c>
      <c r="AK172" s="30">
        <f>Table13[[#This Row],[Year 1]]</f>
        <v>110000</v>
      </c>
      <c r="AL172" s="30">
        <f>Table13[[#This Row],[Year 2]]</f>
        <v>110000</v>
      </c>
      <c r="AM172" s="30">
        <f>Table13[[#This Row],[Year 3]]</f>
        <v>0</v>
      </c>
      <c r="AN172" s="1">
        <v>3</v>
      </c>
    </row>
    <row r="173" spans="1:40" hidden="1" x14ac:dyDescent="0.25">
      <c r="A173" s="1" t="s">
        <v>48</v>
      </c>
      <c r="B173" s="1" t="s">
        <v>1926</v>
      </c>
      <c r="C173" s="1" t="s">
        <v>50</v>
      </c>
      <c r="D173" s="1" t="s">
        <v>1927</v>
      </c>
      <c r="E173" s="1" t="s">
        <v>1928</v>
      </c>
      <c r="F173" s="22" t="s">
        <v>3</v>
      </c>
      <c r="G173" s="1" t="s">
        <v>6085</v>
      </c>
      <c r="H173" s="1" t="s">
        <v>5</v>
      </c>
      <c r="I173" s="1" t="s">
        <v>24</v>
      </c>
      <c r="J173" s="1" t="s">
        <v>25</v>
      </c>
      <c r="K173" s="1" t="s">
        <v>9</v>
      </c>
      <c r="L173" s="1" t="s">
        <v>78</v>
      </c>
      <c r="M173" s="11" t="s">
        <v>188</v>
      </c>
      <c r="N173" s="1" t="s">
        <v>6037</v>
      </c>
      <c r="O173" s="1" t="s">
        <v>12</v>
      </c>
      <c r="P173" s="1" t="s">
        <v>3801</v>
      </c>
      <c r="Q173" s="1" t="s">
        <v>5284</v>
      </c>
      <c r="R173" s="1" t="s">
        <v>3802</v>
      </c>
      <c r="S173" s="1" t="s">
        <v>6153</v>
      </c>
      <c r="T173" s="1" t="s">
        <v>6168</v>
      </c>
      <c r="U173" s="1" t="s">
        <v>6173</v>
      </c>
      <c r="V173" s="1" t="s">
        <v>6157</v>
      </c>
      <c r="W173" s="27">
        <v>75</v>
      </c>
      <c r="X173" s="27">
        <v>96.428571428571431</v>
      </c>
      <c r="Y173" s="33">
        <f>AVERAGE(Table13[[#This Row],[Score 1]],Table13[[#This Row],[Score 2]])</f>
        <v>85.714285714285722</v>
      </c>
      <c r="Z173" s="1">
        <v>4</v>
      </c>
      <c r="AA173" s="1">
        <v>4</v>
      </c>
      <c r="AB173" s="22">
        <f>Table13[[#This Row],[Rank 1]]+Table13[[#This Row],[Rank 2]]</f>
        <v>8</v>
      </c>
      <c r="AC173" s="1" t="str">
        <f>IF(AND(Table13[[#This Row],[Average score]]&gt;75,Table13[[#This Row],[Total rank]]&gt;6.5),"Yes","No")</f>
        <v>Yes</v>
      </c>
      <c r="AD173" s="1" t="str">
        <f>IF(AND(Table13[[#This Row],[Average score]]&gt;80,Table13[[#This Row],[Total rank]]&gt;7.5),"Yes","No")</f>
        <v>Yes</v>
      </c>
      <c r="AE173" s="1" t="s">
        <v>6223</v>
      </c>
      <c r="AF173" s="8">
        <v>46037</v>
      </c>
      <c r="AG173" s="1">
        <v>3</v>
      </c>
      <c r="AH173" s="27">
        <v>93598</v>
      </c>
      <c r="AI173" s="27">
        <v>98981</v>
      </c>
      <c r="AJ173" s="27">
        <v>102376</v>
      </c>
      <c r="AK173" s="27">
        <f>Table13[[#This Row],[Year 1]]</f>
        <v>93598</v>
      </c>
      <c r="AL173" s="27">
        <f>Table13[[#This Row],[Year 2]]</f>
        <v>98981</v>
      </c>
      <c r="AM173" s="27">
        <f>Table13[[#This Row],[Year 3]]</f>
        <v>102376</v>
      </c>
      <c r="AN173" s="1">
        <v>3</v>
      </c>
    </row>
    <row r="174" spans="1:40" hidden="1" x14ac:dyDescent="0.25">
      <c r="A174" s="1" t="s">
        <v>48</v>
      </c>
      <c r="B174" s="1" t="s">
        <v>1929</v>
      </c>
      <c r="C174" s="1" t="s">
        <v>50</v>
      </c>
      <c r="D174" s="1" t="s">
        <v>1930</v>
      </c>
      <c r="E174" s="1" t="s">
        <v>1931</v>
      </c>
      <c r="F174" s="22" t="s">
        <v>3</v>
      </c>
      <c r="G174" s="1" t="s">
        <v>6085</v>
      </c>
      <c r="H174" s="1" t="s">
        <v>6</v>
      </c>
      <c r="I174" s="1" t="s">
        <v>20</v>
      </c>
      <c r="J174" s="1" t="s">
        <v>25</v>
      </c>
      <c r="K174" s="1" t="s">
        <v>9</v>
      </c>
      <c r="L174" s="1" t="s">
        <v>78</v>
      </c>
      <c r="M174" s="11" t="s">
        <v>188</v>
      </c>
      <c r="N174" s="1" t="s">
        <v>6037</v>
      </c>
      <c r="O174" s="1" t="s">
        <v>14</v>
      </c>
      <c r="P174" s="1" t="s">
        <v>66</v>
      </c>
      <c r="Q174" s="1" t="s">
        <v>5568</v>
      </c>
      <c r="R174" s="1" t="s">
        <v>3806</v>
      </c>
      <c r="S174" s="1" t="s">
        <v>6139</v>
      </c>
      <c r="T174" s="1" t="s">
        <v>6140</v>
      </c>
      <c r="U174" s="1" t="s">
        <v>6162</v>
      </c>
      <c r="V174" s="1" t="s">
        <v>6187</v>
      </c>
      <c r="W174" s="27">
        <v>53.571428571428569</v>
      </c>
      <c r="X174" s="27">
        <v>71.428571428571431</v>
      </c>
      <c r="Y174" s="33">
        <f>AVERAGE(Table13[[#This Row],[Score 1]],Table13[[#This Row],[Score 2]])</f>
        <v>62.5</v>
      </c>
      <c r="Z174" s="1">
        <v>2</v>
      </c>
      <c r="AA174" s="1">
        <v>3</v>
      </c>
      <c r="AB174" s="22">
        <f>Table13[[#This Row],[Rank 1]]+Table13[[#This Row],[Rank 2]]</f>
        <v>5</v>
      </c>
      <c r="AC174" s="1" t="str">
        <f>IF(AND(Table13[[#This Row],[Average score]]&gt;75,Table13[[#This Row],[Total rank]]&gt;6.5),"Yes","No")</f>
        <v>No</v>
      </c>
      <c r="AD174" s="1" t="str">
        <f>IF(AND(Table13[[#This Row],[Average score]]&gt;80,Table13[[#This Row],[Total rank]]&gt;7.5),"Yes","No")</f>
        <v>No</v>
      </c>
      <c r="AF174" s="8">
        <v>46062</v>
      </c>
      <c r="AG174" s="1">
        <v>2</v>
      </c>
      <c r="AH174" s="27">
        <v>118560</v>
      </c>
      <c r="AI174" s="27">
        <v>123560</v>
      </c>
      <c r="AJ174" s="30">
        <v>0</v>
      </c>
      <c r="AK174" s="30">
        <f>Table13[[#This Row],[Year 1]]</f>
        <v>118560</v>
      </c>
      <c r="AL174" s="30">
        <f>Table13[[#This Row],[Year 2]]</f>
        <v>123560</v>
      </c>
      <c r="AM174" s="30">
        <f>Table13[[#This Row],[Year 3]]</f>
        <v>0</v>
      </c>
      <c r="AN174" s="1">
        <v>3</v>
      </c>
    </row>
    <row r="175" spans="1:40" ht="15" hidden="1" customHeight="1" x14ac:dyDescent="0.25">
      <c r="A175" s="1" t="s">
        <v>48</v>
      </c>
      <c r="B175" s="1" t="s">
        <v>1932</v>
      </c>
      <c r="C175" s="1" t="s">
        <v>50</v>
      </c>
      <c r="D175" s="1" t="s">
        <v>1933</v>
      </c>
      <c r="E175" s="1" t="s">
        <v>1934</v>
      </c>
      <c r="F175" s="22" t="s">
        <v>3</v>
      </c>
      <c r="G175" s="1" t="s">
        <v>6085</v>
      </c>
      <c r="H175" s="1" t="s">
        <v>6</v>
      </c>
      <c r="I175" s="1" t="s">
        <v>24</v>
      </c>
      <c r="J175" s="1" t="s">
        <v>25</v>
      </c>
      <c r="K175" s="1" t="s">
        <v>9</v>
      </c>
      <c r="L175" s="1" t="s">
        <v>78</v>
      </c>
      <c r="M175" s="11" t="s">
        <v>188</v>
      </c>
      <c r="N175" s="1" t="s">
        <v>6037</v>
      </c>
      <c r="O175" s="1" t="s">
        <v>14</v>
      </c>
      <c r="P175" s="1" t="s">
        <v>79</v>
      </c>
      <c r="Q175" s="1" t="s">
        <v>5569</v>
      </c>
      <c r="R175" s="1" t="s">
        <v>3809</v>
      </c>
      <c r="S175" s="1" t="s">
        <v>6151</v>
      </c>
      <c r="T175" s="1" t="s">
        <v>6147</v>
      </c>
      <c r="U175" s="1" t="s">
        <v>6151</v>
      </c>
      <c r="V175" s="1" t="s">
        <v>6185</v>
      </c>
      <c r="W175" s="27">
        <v>100</v>
      </c>
      <c r="X175" s="27">
        <v>85.714285714285708</v>
      </c>
      <c r="Y175" s="33">
        <f>AVERAGE(Table13[[#This Row],[Score 1]],Table13[[#This Row],[Score 2]])</f>
        <v>92.857142857142861</v>
      </c>
      <c r="Z175" s="1">
        <v>5</v>
      </c>
      <c r="AA175" s="1">
        <v>4</v>
      </c>
      <c r="AB175" s="22">
        <f>Table13[[#This Row],[Rank 1]]+Table13[[#This Row],[Rank 2]]</f>
        <v>9</v>
      </c>
      <c r="AC175" s="1" t="str">
        <f>IF(AND(Table13[[#This Row],[Average score]]&gt;75,Table13[[#This Row],[Total rank]]&gt;6.5),"Yes","No")</f>
        <v>Yes</v>
      </c>
      <c r="AD175" s="1" t="str">
        <f>IF(AND(Table13[[#This Row],[Average score]]&gt;80,Table13[[#This Row],[Total rank]]&gt;7.5),"Yes","No")</f>
        <v>Yes</v>
      </c>
      <c r="AF175" s="8">
        <v>46023</v>
      </c>
      <c r="AG175" s="1">
        <v>2</v>
      </c>
      <c r="AH175" s="27">
        <v>30000</v>
      </c>
      <c r="AI175" s="27">
        <v>30000</v>
      </c>
      <c r="AJ175" s="30">
        <v>0</v>
      </c>
      <c r="AK175" s="30">
        <f>Table13[[#This Row],[Year 1]]</f>
        <v>30000</v>
      </c>
      <c r="AL175" s="30">
        <f>Table13[[#This Row],[Year 2]]</f>
        <v>30000</v>
      </c>
      <c r="AM175" s="30">
        <f>Table13[[#This Row],[Year 3]]</f>
        <v>0</v>
      </c>
      <c r="AN175" s="1">
        <v>3</v>
      </c>
    </row>
    <row r="176" spans="1:40" x14ac:dyDescent="0.25">
      <c r="A176" s="1" t="s">
        <v>48</v>
      </c>
      <c r="B176" s="1" t="s">
        <v>1938</v>
      </c>
      <c r="C176" s="1" t="s">
        <v>50</v>
      </c>
      <c r="D176" s="1" t="s">
        <v>1939</v>
      </c>
      <c r="E176" s="1" t="s">
        <v>1940</v>
      </c>
      <c r="F176" s="22" t="s">
        <v>3</v>
      </c>
      <c r="G176" s="1" t="s">
        <v>6085</v>
      </c>
      <c r="H176" s="1" t="s">
        <v>6</v>
      </c>
      <c r="I176" s="1" t="s">
        <v>20</v>
      </c>
      <c r="J176" s="1" t="s">
        <v>25</v>
      </c>
      <c r="K176" s="1" t="s">
        <v>9</v>
      </c>
      <c r="L176" s="1" t="s">
        <v>78</v>
      </c>
      <c r="M176" s="1" t="s">
        <v>1013</v>
      </c>
      <c r="N176" s="1" t="s">
        <v>6037</v>
      </c>
      <c r="O176" s="1" t="s">
        <v>16</v>
      </c>
      <c r="P176" s="1" t="s">
        <v>66</v>
      </c>
      <c r="Q176" s="1" t="s">
        <v>5347</v>
      </c>
      <c r="R176" s="1" t="s">
        <v>3812</v>
      </c>
      <c r="S176" s="1" t="s">
        <v>6119</v>
      </c>
      <c r="T176" s="1" t="s">
        <v>6120</v>
      </c>
      <c r="U176" s="1" t="s">
        <v>6129</v>
      </c>
      <c r="V176" s="1" t="s">
        <v>6189</v>
      </c>
      <c r="W176" s="27">
        <v>89.285714285714292</v>
      </c>
      <c r="X176" s="27">
        <v>89.285714285714292</v>
      </c>
      <c r="Y176" s="33">
        <f>AVERAGE(Table13[[#This Row],[Score 1]],Table13[[#This Row],[Score 2]])</f>
        <v>89.285714285714292</v>
      </c>
      <c r="Z176" s="1">
        <v>5</v>
      </c>
      <c r="AA176" s="1">
        <v>5</v>
      </c>
      <c r="AB176" s="22">
        <f>Table13[[#This Row],[Rank 1]]+Table13[[#This Row],[Rank 2]]</f>
        <v>10</v>
      </c>
      <c r="AC176" s="1" t="str">
        <f>IF(AND(Table13[[#This Row],[Average score]]&gt;75,Table13[[#This Row],[Total rank]]&gt;6.5),"Yes","No")</f>
        <v>Yes</v>
      </c>
      <c r="AD176" s="1" t="str">
        <f>IF(AND(Table13[[#This Row],[Average score]]&gt;80,Table13[[#This Row],[Total rank]]&gt;7.5),"Yes","No")</f>
        <v>Yes</v>
      </c>
      <c r="AE176" s="1" t="s">
        <v>6221</v>
      </c>
      <c r="AF176" s="8">
        <v>46055</v>
      </c>
      <c r="AG176" s="1">
        <v>2</v>
      </c>
      <c r="AH176" s="27">
        <v>110000</v>
      </c>
      <c r="AI176" s="27">
        <v>110000</v>
      </c>
      <c r="AJ176" s="30">
        <v>0</v>
      </c>
      <c r="AK176" s="30">
        <f>Table13[[#This Row],[Year 1]]</f>
        <v>110000</v>
      </c>
      <c r="AL176" s="30">
        <f>Table13[[#This Row],[Year 2]]</f>
        <v>110000</v>
      </c>
      <c r="AM176" s="30">
        <f>Table13[[#This Row],[Year 3]]</f>
        <v>0</v>
      </c>
      <c r="AN176" s="1">
        <v>2</v>
      </c>
    </row>
    <row r="177" spans="1:40" x14ac:dyDescent="0.25">
      <c r="A177" s="1" t="s">
        <v>48</v>
      </c>
      <c r="B177" s="1" t="s">
        <v>1941</v>
      </c>
      <c r="C177" s="1" t="s">
        <v>50</v>
      </c>
      <c r="D177" s="1" t="s">
        <v>1942</v>
      </c>
      <c r="E177" s="1" t="s">
        <v>1943</v>
      </c>
      <c r="F177" s="22" t="s">
        <v>3</v>
      </c>
      <c r="G177" s="1" t="s">
        <v>6085</v>
      </c>
      <c r="H177" s="1" t="s">
        <v>6</v>
      </c>
      <c r="I177" s="1" t="s">
        <v>24</v>
      </c>
      <c r="J177" s="1" t="s">
        <v>27</v>
      </c>
      <c r="K177" s="1" t="s">
        <v>9</v>
      </c>
      <c r="L177" s="1" t="s">
        <v>78</v>
      </c>
      <c r="M177" s="11" t="s">
        <v>188</v>
      </c>
      <c r="N177" s="1" t="s">
        <v>6037</v>
      </c>
      <c r="O177" s="1" t="s">
        <v>13</v>
      </c>
      <c r="P177" s="1" t="s">
        <v>421</v>
      </c>
      <c r="Q177" s="1" t="s">
        <v>5571</v>
      </c>
      <c r="R177" s="1" t="s">
        <v>3813</v>
      </c>
      <c r="S177" s="1" t="s">
        <v>6072</v>
      </c>
      <c r="T177" s="1" t="s">
        <v>6073</v>
      </c>
      <c r="U177" s="1" t="s">
        <v>6092</v>
      </c>
      <c r="V177" s="1" t="s">
        <v>6176</v>
      </c>
      <c r="W177" s="27">
        <v>89.285714285714292</v>
      </c>
      <c r="X177" s="27">
        <v>100</v>
      </c>
      <c r="Y177" s="33">
        <f>AVERAGE(Table13[[#This Row],[Score 1]],Table13[[#This Row],[Score 2]])</f>
        <v>94.642857142857139</v>
      </c>
      <c r="Z177" s="1">
        <v>5</v>
      </c>
      <c r="AA177" s="1">
        <v>5</v>
      </c>
      <c r="AB177" s="22">
        <f>Table13[[#This Row],[Rank 1]]+Table13[[#This Row],[Rank 2]]</f>
        <v>10</v>
      </c>
      <c r="AC177" s="1" t="str">
        <f>IF(AND(Table13[[#This Row],[Average score]]&gt;75,Table13[[#This Row],[Total rank]]&gt;6.5),"Yes","No")</f>
        <v>Yes</v>
      </c>
      <c r="AD177" s="1" t="str">
        <f>IF(AND(Table13[[#This Row],[Average score]]&gt;80,Table13[[#This Row],[Total rank]]&gt;7.5),"Yes","No")</f>
        <v>Yes</v>
      </c>
      <c r="AE177" s="1" t="s">
        <v>6221</v>
      </c>
      <c r="AF177" s="8">
        <v>46055</v>
      </c>
      <c r="AG177" s="1">
        <v>1</v>
      </c>
      <c r="AH177" s="27">
        <v>197530</v>
      </c>
      <c r="AI177" s="30">
        <v>0</v>
      </c>
      <c r="AJ177" s="30">
        <v>0</v>
      </c>
      <c r="AK177" s="30">
        <v>198000</v>
      </c>
      <c r="AL177" s="30">
        <f>Table13[[#This Row],[Year 2]]</f>
        <v>0</v>
      </c>
      <c r="AM177" s="30">
        <f>Table13[[#This Row],[Year 3]]</f>
        <v>0</v>
      </c>
      <c r="AN177" s="1">
        <v>3</v>
      </c>
    </row>
    <row r="178" spans="1:40" hidden="1" x14ac:dyDescent="0.25">
      <c r="A178" s="1" t="s">
        <v>48</v>
      </c>
      <c r="B178" s="1" t="s">
        <v>1959</v>
      </c>
      <c r="C178" s="1" t="s">
        <v>50</v>
      </c>
      <c r="D178" s="1" t="s">
        <v>1960</v>
      </c>
      <c r="E178" s="1" t="s">
        <v>1961</v>
      </c>
      <c r="F178" s="22" t="s">
        <v>3</v>
      </c>
      <c r="G178" s="1" t="s">
        <v>6085</v>
      </c>
      <c r="H178" s="1" t="s">
        <v>6</v>
      </c>
      <c r="I178" s="1" t="s">
        <v>21</v>
      </c>
      <c r="J178" s="1" t="s">
        <v>26</v>
      </c>
      <c r="K178" s="1" t="s">
        <v>9</v>
      </c>
      <c r="L178" s="1" t="s">
        <v>78</v>
      </c>
      <c r="M178" s="11" t="s">
        <v>188</v>
      </c>
      <c r="N178" s="1" t="s">
        <v>6037</v>
      </c>
      <c r="O178" s="1" t="s">
        <v>16</v>
      </c>
      <c r="P178" s="1" t="s">
        <v>707</v>
      </c>
      <c r="Q178" s="1" t="s">
        <v>5575</v>
      </c>
      <c r="R178" s="1" t="s">
        <v>3826</v>
      </c>
      <c r="S178" s="1" t="s">
        <v>6115</v>
      </c>
      <c r="T178" s="1" t="s">
        <v>6116</v>
      </c>
      <c r="U178" s="1" t="s">
        <v>6130</v>
      </c>
      <c r="V178" s="1" t="s">
        <v>6191</v>
      </c>
      <c r="W178" s="27">
        <v>75</v>
      </c>
      <c r="X178" s="27">
        <v>89.285714285714292</v>
      </c>
      <c r="Y178" s="33">
        <f>AVERAGE(Table13[[#This Row],[Score 1]],Table13[[#This Row],[Score 2]])</f>
        <v>82.142857142857139</v>
      </c>
      <c r="Z178" s="1">
        <v>4</v>
      </c>
      <c r="AA178" s="1">
        <v>4</v>
      </c>
      <c r="AB178" s="22">
        <f>Table13[[#This Row],[Rank 1]]+Table13[[#This Row],[Rank 2]]</f>
        <v>8</v>
      </c>
      <c r="AC178" s="1" t="str">
        <f>IF(AND(Table13[[#This Row],[Average score]]&gt;75,Table13[[#This Row],[Total rank]]&gt;6.5),"Yes","No")</f>
        <v>Yes</v>
      </c>
      <c r="AD178" s="1" t="str">
        <f>IF(AND(Table13[[#This Row],[Average score]]&gt;80,Table13[[#This Row],[Total rank]]&gt;7.5),"Yes","No")</f>
        <v>Yes</v>
      </c>
      <c r="AF178" s="8">
        <v>46047</v>
      </c>
      <c r="AG178" s="1">
        <v>2</v>
      </c>
      <c r="AH178" s="27">
        <v>150000</v>
      </c>
      <c r="AI178" s="27">
        <v>150000</v>
      </c>
      <c r="AJ178" s="30">
        <v>0</v>
      </c>
      <c r="AK178" s="30">
        <f>Table13[[#This Row],[Year 1]]</f>
        <v>150000</v>
      </c>
      <c r="AL178" s="30">
        <f>Table13[[#This Row],[Year 2]]</f>
        <v>150000</v>
      </c>
      <c r="AM178" s="30">
        <f>Table13[[#This Row],[Year 3]]</f>
        <v>0</v>
      </c>
      <c r="AN178" s="1">
        <v>3</v>
      </c>
    </row>
    <row r="179" spans="1:40" hidden="1" x14ac:dyDescent="0.25">
      <c r="A179" s="1" t="s">
        <v>48</v>
      </c>
      <c r="B179" s="1" t="s">
        <v>1965</v>
      </c>
      <c r="C179" s="1" t="s">
        <v>50</v>
      </c>
      <c r="D179" s="1" t="s">
        <v>1966</v>
      </c>
      <c r="E179" s="1" t="s">
        <v>1967</v>
      </c>
      <c r="F179" s="22" t="s">
        <v>3</v>
      </c>
      <c r="G179" s="1" t="s">
        <v>6085</v>
      </c>
      <c r="H179" s="1" t="s">
        <v>6</v>
      </c>
      <c r="I179" s="1" t="s">
        <v>24</v>
      </c>
      <c r="J179" s="1" t="s">
        <v>25</v>
      </c>
      <c r="K179" s="1" t="s">
        <v>9</v>
      </c>
      <c r="L179" s="1" t="s">
        <v>78</v>
      </c>
      <c r="M179" s="11" t="s">
        <v>188</v>
      </c>
      <c r="N179" s="1" t="s">
        <v>6037</v>
      </c>
      <c r="O179" s="1" t="s">
        <v>16</v>
      </c>
      <c r="P179" s="1" t="s">
        <v>126</v>
      </c>
      <c r="Q179" s="1" t="s">
        <v>4328</v>
      </c>
      <c r="R179" s="1" t="s">
        <v>3828</v>
      </c>
      <c r="S179" s="1" t="s">
        <v>6115</v>
      </c>
      <c r="T179" s="1" t="s">
        <v>6116</v>
      </c>
      <c r="U179" s="1" t="s">
        <v>6130</v>
      </c>
      <c r="V179" s="1" t="s">
        <v>6191</v>
      </c>
      <c r="W179" s="27">
        <v>71.428571428571431</v>
      </c>
      <c r="X179" s="27">
        <v>71.428571428571431</v>
      </c>
      <c r="Y179" s="33">
        <f>AVERAGE(Table13[[#This Row],[Score 1]],Table13[[#This Row],[Score 2]])</f>
        <v>71.428571428571431</v>
      </c>
      <c r="Z179" s="1">
        <v>3</v>
      </c>
      <c r="AA179" s="1">
        <v>3</v>
      </c>
      <c r="AB179" s="22">
        <f>Table13[[#This Row],[Rank 1]]+Table13[[#This Row],[Rank 2]]</f>
        <v>6</v>
      </c>
      <c r="AC179" s="1" t="str">
        <f>IF(AND(Table13[[#This Row],[Average score]]&gt;75,Table13[[#This Row],[Total rank]]&gt;6.5),"Yes","No")</f>
        <v>No</v>
      </c>
      <c r="AD179" s="1" t="str">
        <f>IF(AND(Table13[[#This Row],[Average score]]&gt;80,Table13[[#This Row],[Total rank]]&gt;7.5),"Yes","No")</f>
        <v>No</v>
      </c>
      <c r="AF179" s="8">
        <v>46041</v>
      </c>
      <c r="AG179" s="1">
        <v>2</v>
      </c>
      <c r="AH179" s="27">
        <v>180910</v>
      </c>
      <c r="AI179" s="27">
        <v>144780</v>
      </c>
      <c r="AJ179" s="30">
        <v>0</v>
      </c>
      <c r="AK179" s="30">
        <f>Table13[[#This Row],[Year 1]]</f>
        <v>180910</v>
      </c>
      <c r="AL179" s="30">
        <f>Table13[[#This Row],[Year 2]]</f>
        <v>144780</v>
      </c>
      <c r="AM179" s="30">
        <f>Table13[[#This Row],[Year 3]]</f>
        <v>0</v>
      </c>
      <c r="AN179" s="1">
        <v>3</v>
      </c>
    </row>
    <row r="180" spans="1:40" hidden="1" x14ac:dyDescent="0.25">
      <c r="A180" s="1" t="s">
        <v>48</v>
      </c>
      <c r="B180" s="1" t="s">
        <v>1968</v>
      </c>
      <c r="C180" s="1" t="s">
        <v>50</v>
      </c>
      <c r="D180" s="1" t="s">
        <v>1969</v>
      </c>
      <c r="E180" s="1" t="s">
        <v>1970</v>
      </c>
      <c r="F180" s="22" t="s">
        <v>3</v>
      </c>
      <c r="G180" s="1" t="s">
        <v>6085</v>
      </c>
      <c r="H180" s="1" t="s">
        <v>6</v>
      </c>
      <c r="I180" s="1" t="s">
        <v>20</v>
      </c>
      <c r="J180" s="1" t="s">
        <v>25</v>
      </c>
      <c r="K180" s="1" t="s">
        <v>9</v>
      </c>
      <c r="L180" s="1" t="s">
        <v>78</v>
      </c>
      <c r="M180" s="11" t="s">
        <v>188</v>
      </c>
      <c r="N180" s="1" t="s">
        <v>6037</v>
      </c>
      <c r="O180" s="1" t="s">
        <v>14</v>
      </c>
      <c r="P180" s="1" t="s">
        <v>1456</v>
      </c>
      <c r="Q180" s="1" t="s">
        <v>5577</v>
      </c>
      <c r="R180" s="1" t="s">
        <v>3831</v>
      </c>
      <c r="S180" s="1" t="s">
        <v>6151</v>
      </c>
      <c r="T180" s="1" t="s">
        <v>6147</v>
      </c>
      <c r="U180" s="1" t="s">
        <v>6151</v>
      </c>
      <c r="V180" s="1" t="s">
        <v>6185</v>
      </c>
      <c r="W180" s="27">
        <v>96.428571428571431</v>
      </c>
      <c r="X180" s="27">
        <v>57.142857142857139</v>
      </c>
      <c r="Y180" s="33">
        <f>AVERAGE(Table13[[#This Row],[Score 1]],Table13[[#This Row],[Score 2]])</f>
        <v>76.785714285714278</v>
      </c>
      <c r="Z180" s="1">
        <v>4</v>
      </c>
      <c r="AA180" s="1">
        <v>2</v>
      </c>
      <c r="AB180" s="22">
        <f>Table13[[#This Row],[Rank 1]]+Table13[[#This Row],[Rank 2]]</f>
        <v>6</v>
      </c>
      <c r="AC180" s="1" t="str">
        <f>IF(AND(Table13[[#This Row],[Average score]]&gt;75,Table13[[#This Row],[Total rank]]&gt;6.5),"Yes","No")</f>
        <v>No</v>
      </c>
      <c r="AD180" s="1" t="str">
        <f>IF(AND(Table13[[#This Row],[Average score]]&gt;80,Table13[[#This Row],[Total rank]]&gt;7.5),"Yes","No")</f>
        <v>No</v>
      </c>
      <c r="AF180" s="8">
        <v>45672</v>
      </c>
      <c r="AG180" s="1">
        <v>2</v>
      </c>
      <c r="AH180" s="27">
        <v>120000</v>
      </c>
      <c r="AI180" s="27">
        <v>120000</v>
      </c>
      <c r="AJ180" s="30">
        <v>0</v>
      </c>
      <c r="AK180" s="30">
        <f>Table13[[#This Row],[Year 1]]</f>
        <v>120000</v>
      </c>
      <c r="AL180" s="30">
        <f>Table13[[#This Row],[Year 2]]</f>
        <v>120000</v>
      </c>
      <c r="AM180" s="30">
        <f>Table13[[#This Row],[Year 3]]</f>
        <v>0</v>
      </c>
      <c r="AN180" s="1">
        <v>2</v>
      </c>
    </row>
    <row r="181" spans="1:40" hidden="1" x14ac:dyDescent="0.25">
      <c r="A181" s="1" t="s">
        <v>48</v>
      </c>
      <c r="B181" s="1" t="s">
        <v>1971</v>
      </c>
      <c r="C181" s="1" t="s">
        <v>50</v>
      </c>
      <c r="D181" s="1" t="s">
        <v>1972</v>
      </c>
      <c r="E181" s="1" t="s">
        <v>1973</v>
      </c>
      <c r="F181" s="22" t="s">
        <v>3</v>
      </c>
      <c r="G181" s="1" t="s">
        <v>6085</v>
      </c>
      <c r="H181" s="1" t="s">
        <v>5</v>
      </c>
      <c r="I181" s="1" t="s">
        <v>1974</v>
      </c>
      <c r="J181" s="1" t="s">
        <v>26</v>
      </c>
      <c r="K181" s="1" t="s">
        <v>9</v>
      </c>
      <c r="L181" s="1" t="s">
        <v>78</v>
      </c>
      <c r="M181" s="11" t="s">
        <v>188</v>
      </c>
      <c r="N181" s="1" t="s">
        <v>6037</v>
      </c>
      <c r="O181" s="1" t="s">
        <v>10</v>
      </c>
      <c r="P181" s="1" t="s">
        <v>126</v>
      </c>
      <c r="Q181" s="19" t="s">
        <v>5578</v>
      </c>
      <c r="R181" s="1" t="s">
        <v>3832</v>
      </c>
      <c r="S181" s="1" t="s">
        <v>6045</v>
      </c>
      <c r="T181" s="1" t="s">
        <v>6046</v>
      </c>
      <c r="U181" s="1" t="s">
        <v>6098</v>
      </c>
      <c r="V181" s="1" t="s">
        <v>6190</v>
      </c>
      <c r="W181" s="27">
        <v>82.142857142857139</v>
      </c>
      <c r="X181" s="27">
        <v>78.571428571428569</v>
      </c>
      <c r="Y181" s="33">
        <f>AVERAGE(Table13[[#This Row],[Score 1]],Table13[[#This Row],[Score 2]])</f>
        <v>80.357142857142861</v>
      </c>
      <c r="Z181" s="1">
        <v>4</v>
      </c>
      <c r="AA181" s="1">
        <v>3</v>
      </c>
      <c r="AB181" s="22">
        <f>Table13[[#This Row],[Rank 1]]+Table13[[#This Row],[Rank 2]]</f>
        <v>7</v>
      </c>
      <c r="AC181" s="1" t="str">
        <f>IF(AND(Table13[[#This Row],[Average score]]&gt;75,Table13[[#This Row],[Total rank]]&gt;6.5),"Yes","No")</f>
        <v>Yes</v>
      </c>
      <c r="AD181" s="1" t="str">
        <f>IF(AND(Table13[[#This Row],[Average score]]&gt;80,Table13[[#This Row],[Total rank]]&gt;7.5),"Yes","No")</f>
        <v>No</v>
      </c>
      <c r="AF181" s="8">
        <v>45964</v>
      </c>
      <c r="AG181" s="1">
        <v>3</v>
      </c>
      <c r="AH181" s="27">
        <v>350000</v>
      </c>
      <c r="AI181" s="27">
        <v>350000</v>
      </c>
      <c r="AJ181" s="27">
        <v>350000</v>
      </c>
      <c r="AK181" s="27">
        <f>Table13[[#This Row],[Year 1]]</f>
        <v>350000</v>
      </c>
      <c r="AL181" s="27">
        <f>Table13[[#This Row],[Year 2]]</f>
        <v>350000</v>
      </c>
      <c r="AM181" s="27">
        <f>Table13[[#This Row],[Year 3]]</f>
        <v>350000</v>
      </c>
      <c r="AN181" s="1">
        <v>3</v>
      </c>
    </row>
    <row r="182" spans="1:40" hidden="1" x14ac:dyDescent="0.25">
      <c r="A182" s="1" t="s">
        <v>48</v>
      </c>
      <c r="B182" s="10" t="s">
        <v>1975</v>
      </c>
      <c r="C182" s="1" t="s">
        <v>50</v>
      </c>
      <c r="D182" s="1" t="s">
        <v>1976</v>
      </c>
      <c r="E182" s="1" t="s">
        <v>1977</v>
      </c>
      <c r="F182" s="22" t="s">
        <v>3</v>
      </c>
      <c r="G182" s="1" t="s">
        <v>6085</v>
      </c>
      <c r="H182" s="1" t="s">
        <v>6</v>
      </c>
      <c r="I182" s="1" t="s">
        <v>20</v>
      </c>
      <c r="J182" s="1" t="s">
        <v>26</v>
      </c>
      <c r="K182" s="1" t="s">
        <v>9</v>
      </c>
      <c r="L182" s="1" t="s">
        <v>78</v>
      </c>
      <c r="M182" s="11" t="s">
        <v>188</v>
      </c>
      <c r="N182" s="1" t="s">
        <v>6037</v>
      </c>
      <c r="O182" s="1" t="s">
        <v>13</v>
      </c>
      <c r="P182" s="1" t="s">
        <v>3833</v>
      </c>
      <c r="Q182" s="1" t="s">
        <v>5579</v>
      </c>
      <c r="R182" s="1" t="s">
        <v>3834</v>
      </c>
      <c r="S182" s="1" t="s">
        <v>6068</v>
      </c>
      <c r="T182" s="1" t="s">
        <v>6069</v>
      </c>
      <c r="U182" s="1" t="s">
        <v>6099</v>
      </c>
      <c r="V182" s="1" t="s">
        <v>6194</v>
      </c>
      <c r="W182" s="27">
        <v>71.428571428571431</v>
      </c>
      <c r="X182" s="27">
        <v>46.428571428571431</v>
      </c>
      <c r="Y182" s="33">
        <f>AVERAGE(Table13[[#This Row],[Score 1]],Table13[[#This Row],[Score 2]])</f>
        <v>58.928571428571431</v>
      </c>
      <c r="Z182" s="1">
        <v>2</v>
      </c>
      <c r="AA182" s="1">
        <v>1</v>
      </c>
      <c r="AB182" s="22">
        <f>Table13[[#This Row],[Rank 1]]+Table13[[#This Row],[Rank 2]]</f>
        <v>3</v>
      </c>
      <c r="AC182" s="1" t="str">
        <f>IF(AND(Table13[[#This Row],[Average score]]&gt;75,Table13[[#This Row],[Total rank]]&gt;6.5),"Yes","No")</f>
        <v>No</v>
      </c>
      <c r="AD182" s="1" t="str">
        <f>IF(AND(Table13[[#This Row],[Average score]]&gt;80,Table13[[#This Row],[Total rank]]&gt;7.5),"Yes","No")</f>
        <v>No</v>
      </c>
      <c r="AF182" s="8">
        <v>46027</v>
      </c>
      <c r="AG182" s="1">
        <v>2</v>
      </c>
      <c r="AH182" s="27">
        <v>171800</v>
      </c>
      <c r="AI182" s="27">
        <v>171800</v>
      </c>
      <c r="AJ182" s="30">
        <v>0</v>
      </c>
      <c r="AK182" s="30">
        <f>Table13[[#This Row],[Year 1]]</f>
        <v>171800</v>
      </c>
      <c r="AL182" s="30">
        <f>Table13[[#This Row],[Year 2]]</f>
        <v>171800</v>
      </c>
      <c r="AM182" s="30">
        <f>Table13[[#This Row],[Year 3]]</f>
        <v>0</v>
      </c>
      <c r="AN182" s="1">
        <v>2</v>
      </c>
    </row>
    <row r="183" spans="1:40" x14ac:dyDescent="0.25">
      <c r="A183" s="1" t="s">
        <v>48</v>
      </c>
      <c r="B183" s="1" t="s">
        <v>1978</v>
      </c>
      <c r="C183" s="1" t="s">
        <v>50</v>
      </c>
      <c r="D183" s="1" t="s">
        <v>1979</v>
      </c>
      <c r="E183" s="1" t="s">
        <v>1980</v>
      </c>
      <c r="F183" s="22" t="s">
        <v>3</v>
      </c>
      <c r="G183" s="1" t="s">
        <v>6085</v>
      </c>
      <c r="H183" s="1" t="s">
        <v>6</v>
      </c>
      <c r="I183" s="1" t="s">
        <v>20</v>
      </c>
      <c r="J183" s="1" t="s">
        <v>25</v>
      </c>
      <c r="K183" s="1" t="s">
        <v>9</v>
      </c>
      <c r="L183" s="1" t="s">
        <v>78</v>
      </c>
      <c r="M183" s="11" t="s">
        <v>188</v>
      </c>
      <c r="N183" s="1" t="s">
        <v>6037</v>
      </c>
      <c r="O183" s="1" t="s">
        <v>10</v>
      </c>
      <c r="P183" s="1" t="s">
        <v>924</v>
      </c>
      <c r="Q183" s="18" t="s">
        <v>4621</v>
      </c>
      <c r="R183" s="1" t="s">
        <v>3836</v>
      </c>
      <c r="S183" s="1" t="s">
        <v>6049</v>
      </c>
      <c r="T183" s="1" t="s">
        <v>6050</v>
      </c>
      <c r="U183" s="1" t="s">
        <v>6104</v>
      </c>
      <c r="V183" s="1" t="s">
        <v>6200</v>
      </c>
      <c r="W183" s="27">
        <v>89.285714285714292</v>
      </c>
      <c r="X183" s="27">
        <v>89.285714285714292</v>
      </c>
      <c r="Y183" s="33">
        <f>AVERAGE(Table13[[#This Row],[Score 1]],Table13[[#This Row],[Score 2]])</f>
        <v>89.285714285714292</v>
      </c>
      <c r="Z183" s="1">
        <v>5</v>
      </c>
      <c r="AA183" s="1">
        <v>4</v>
      </c>
      <c r="AB183" s="22">
        <f>Table13[[#This Row],[Rank 1]]+Table13[[#This Row],[Rank 2]]</f>
        <v>9</v>
      </c>
      <c r="AC183" s="1" t="str">
        <f>IF(AND(Table13[[#This Row],[Average score]]&gt;75,Table13[[#This Row],[Total rank]]&gt;6.5),"Yes","No")</f>
        <v>Yes</v>
      </c>
      <c r="AD183" s="1" t="str">
        <f>IF(AND(Table13[[#This Row],[Average score]]&gt;80,Table13[[#This Row],[Total rank]]&gt;7.5),"Yes","No")</f>
        <v>Yes</v>
      </c>
      <c r="AE183" s="2" t="s">
        <v>6221</v>
      </c>
      <c r="AF183" s="8">
        <v>46062</v>
      </c>
      <c r="AG183" s="1">
        <v>1</v>
      </c>
      <c r="AH183" s="27">
        <v>163385</v>
      </c>
      <c r="AI183" s="30">
        <v>0</v>
      </c>
      <c r="AJ183" s="30">
        <v>0</v>
      </c>
      <c r="AK183" s="30">
        <v>164000</v>
      </c>
      <c r="AL183" s="30">
        <f>Table13[[#This Row],[Year 2]]</f>
        <v>0</v>
      </c>
      <c r="AM183" s="30">
        <f>Table13[[#This Row],[Year 3]]</f>
        <v>0</v>
      </c>
      <c r="AN183" s="1">
        <v>3</v>
      </c>
    </row>
    <row r="184" spans="1:40" hidden="1" x14ac:dyDescent="0.25">
      <c r="A184" s="1" t="s">
        <v>48</v>
      </c>
      <c r="B184" s="1" t="s">
        <v>1984</v>
      </c>
      <c r="C184" s="1" t="s">
        <v>50</v>
      </c>
      <c r="D184" s="1" t="s">
        <v>1985</v>
      </c>
      <c r="E184" s="1" t="s">
        <v>1986</v>
      </c>
      <c r="F184" s="22" t="s">
        <v>3</v>
      </c>
      <c r="G184" s="1" t="s">
        <v>6085</v>
      </c>
      <c r="H184" s="1" t="s">
        <v>5</v>
      </c>
      <c r="I184" s="1" t="s">
        <v>21</v>
      </c>
      <c r="J184" s="1" t="s">
        <v>25</v>
      </c>
      <c r="K184" s="1" t="s">
        <v>9</v>
      </c>
      <c r="L184" s="1" t="s">
        <v>78</v>
      </c>
      <c r="M184" s="11" t="s">
        <v>188</v>
      </c>
      <c r="N184" s="1" t="s">
        <v>6037</v>
      </c>
      <c r="O184" s="1" t="s">
        <v>14</v>
      </c>
      <c r="P184" s="1" t="s">
        <v>60</v>
      </c>
      <c r="Q184" s="1" t="s">
        <v>5581</v>
      </c>
      <c r="R184" s="1" t="s">
        <v>3842</v>
      </c>
      <c r="S184" s="1" t="s">
        <v>6141</v>
      </c>
      <c r="T184" s="11" t="s">
        <v>6137</v>
      </c>
      <c r="U184" s="1" t="s">
        <v>6160</v>
      </c>
      <c r="V184" s="1" t="s">
        <v>6165</v>
      </c>
      <c r="W184" s="27">
        <v>85.714285714285708</v>
      </c>
      <c r="X184" s="27">
        <v>78.571428571428569</v>
      </c>
      <c r="Y184" s="33">
        <f>AVERAGE(Table13[[#This Row],[Score 1]],Table13[[#This Row],[Score 2]])</f>
        <v>82.142857142857139</v>
      </c>
      <c r="Z184" s="1">
        <v>3</v>
      </c>
      <c r="AA184" s="1">
        <v>4</v>
      </c>
      <c r="AB184" s="22">
        <f>Table13[[#This Row],[Rank 1]]+Table13[[#This Row],[Rank 2]]</f>
        <v>7</v>
      </c>
      <c r="AC184" s="1" t="str">
        <f>IF(AND(Table13[[#This Row],[Average score]]&gt;75,Table13[[#This Row],[Total rank]]&gt;6.5),"Yes","No")</f>
        <v>Yes</v>
      </c>
      <c r="AD184" s="1" t="str">
        <f>IF(AND(Table13[[#This Row],[Average score]]&gt;80,Table13[[#This Row],[Total rank]]&gt;7.5),"Yes","No")</f>
        <v>No</v>
      </c>
      <c r="AF184" s="8">
        <v>45747</v>
      </c>
      <c r="AG184" s="1">
        <v>2</v>
      </c>
      <c r="AH184" s="27">
        <v>133739.19</v>
      </c>
      <c r="AI184" s="27">
        <v>67550</v>
      </c>
      <c r="AJ184" s="30">
        <v>0</v>
      </c>
      <c r="AK184" s="30">
        <f>Table13[[#This Row],[Year 1]]</f>
        <v>133739.19</v>
      </c>
      <c r="AL184" s="30">
        <f>Table13[[#This Row],[Year 2]]</f>
        <v>67550</v>
      </c>
      <c r="AM184" s="30">
        <f>Table13[[#This Row],[Year 3]]</f>
        <v>0</v>
      </c>
      <c r="AN184" s="1">
        <v>3</v>
      </c>
    </row>
    <row r="185" spans="1:40" hidden="1" x14ac:dyDescent="0.25">
      <c r="A185" s="1" t="s">
        <v>48</v>
      </c>
      <c r="B185" s="1" t="s">
        <v>1987</v>
      </c>
      <c r="C185" s="1" t="s">
        <v>50</v>
      </c>
      <c r="D185" s="1" t="s">
        <v>1988</v>
      </c>
      <c r="E185" s="1" t="s">
        <v>1989</v>
      </c>
      <c r="F185" s="22" t="s">
        <v>3</v>
      </c>
      <c r="G185" s="1" t="s">
        <v>6085</v>
      </c>
      <c r="H185" s="1" t="s">
        <v>5</v>
      </c>
      <c r="I185" s="1" t="s">
        <v>20</v>
      </c>
      <c r="J185" s="1" t="s">
        <v>26</v>
      </c>
      <c r="K185" s="1" t="s">
        <v>9</v>
      </c>
      <c r="L185" s="1" t="s">
        <v>78</v>
      </c>
      <c r="M185" s="11" t="s">
        <v>188</v>
      </c>
      <c r="N185" s="1" t="s">
        <v>6037</v>
      </c>
      <c r="O185" s="1" t="s">
        <v>14</v>
      </c>
      <c r="P185" s="1" t="s">
        <v>306</v>
      </c>
      <c r="Q185" s="1" t="s">
        <v>5582</v>
      </c>
      <c r="R185" s="1" t="s">
        <v>3845</v>
      </c>
      <c r="S185" s="1" t="s">
        <v>6145</v>
      </c>
      <c r="T185" s="1" t="s">
        <v>6146</v>
      </c>
      <c r="U185" s="1" t="s">
        <v>6156</v>
      </c>
      <c r="V185" s="1" t="s">
        <v>6169</v>
      </c>
      <c r="W185" s="27">
        <v>75</v>
      </c>
      <c r="X185" s="27">
        <v>96.428571428571431</v>
      </c>
      <c r="Y185" s="33">
        <f>AVERAGE(Table13[[#This Row],[Score 1]],Table13[[#This Row],[Score 2]])</f>
        <v>85.714285714285722</v>
      </c>
      <c r="Z185" s="1">
        <v>3</v>
      </c>
      <c r="AA185" s="1">
        <v>5</v>
      </c>
      <c r="AB185" s="22">
        <f>Table13[[#This Row],[Rank 1]]+Table13[[#This Row],[Rank 2]]</f>
        <v>8</v>
      </c>
      <c r="AC185" s="1" t="str">
        <f>IF(AND(Table13[[#This Row],[Average score]]&gt;75,Table13[[#This Row],[Total rank]]&gt;6.5),"Yes","No")</f>
        <v>Yes</v>
      </c>
      <c r="AD185" s="1" t="str">
        <f>IF(AND(Table13[[#This Row],[Average score]]&gt;80,Table13[[#This Row],[Total rank]]&gt;7.5),"Yes","No")</f>
        <v>Yes</v>
      </c>
      <c r="AF185" s="8">
        <v>46028</v>
      </c>
      <c r="AG185" s="1">
        <v>3</v>
      </c>
      <c r="AH185" s="27">
        <v>276000</v>
      </c>
      <c r="AI185" s="27">
        <v>314000</v>
      </c>
      <c r="AJ185" s="27">
        <v>340000</v>
      </c>
      <c r="AK185" s="27">
        <f>Table13[[#This Row],[Year 1]]</f>
        <v>276000</v>
      </c>
      <c r="AL185" s="27">
        <f>Table13[[#This Row],[Year 2]]</f>
        <v>314000</v>
      </c>
      <c r="AM185" s="27">
        <f>Table13[[#This Row],[Year 3]]</f>
        <v>340000</v>
      </c>
      <c r="AN185" s="1">
        <v>3</v>
      </c>
    </row>
    <row r="186" spans="1:40" hidden="1" x14ac:dyDescent="0.25">
      <c r="A186" s="1" t="s">
        <v>48</v>
      </c>
      <c r="B186" s="1" t="s">
        <v>1993</v>
      </c>
      <c r="C186" s="1" t="s">
        <v>50</v>
      </c>
      <c r="D186" s="1" t="s">
        <v>1994</v>
      </c>
      <c r="E186" s="1" t="s">
        <v>1995</v>
      </c>
      <c r="F186" s="22" t="s">
        <v>3</v>
      </c>
      <c r="G186" s="1" t="s">
        <v>6085</v>
      </c>
      <c r="H186" s="1" t="s">
        <v>5</v>
      </c>
      <c r="I186" s="1" t="s">
        <v>20</v>
      </c>
      <c r="J186" s="1" t="s">
        <v>25</v>
      </c>
      <c r="K186" s="1" t="s">
        <v>9</v>
      </c>
      <c r="L186" s="1" t="s">
        <v>78</v>
      </c>
      <c r="M186" s="11" t="s">
        <v>188</v>
      </c>
      <c r="N186" s="1" t="s">
        <v>6037</v>
      </c>
      <c r="O186" s="1" t="s">
        <v>10</v>
      </c>
      <c r="P186" s="1" t="s">
        <v>1456</v>
      </c>
      <c r="Q186" s="20" t="s">
        <v>5583</v>
      </c>
      <c r="R186" s="1" t="s">
        <v>3852</v>
      </c>
      <c r="S186" s="1" t="s">
        <v>6048</v>
      </c>
      <c r="T186" s="1" t="s">
        <v>6047</v>
      </c>
      <c r="U186" s="1" t="s">
        <v>6086</v>
      </c>
      <c r="V186" s="1" t="s">
        <v>6106</v>
      </c>
      <c r="W186" s="27">
        <v>85.714285714285708</v>
      </c>
      <c r="X186" s="27">
        <v>92.857142857142861</v>
      </c>
      <c r="Y186" s="33">
        <f>AVERAGE(Table13[[#This Row],[Score 1]],Table13[[#This Row],[Score 2]])</f>
        <v>89.285714285714278</v>
      </c>
      <c r="Z186" s="1">
        <v>4</v>
      </c>
      <c r="AA186" s="1">
        <v>4</v>
      </c>
      <c r="AB186" s="22">
        <f>Table13[[#This Row],[Rank 1]]+Table13[[#This Row],[Rank 2]]</f>
        <v>8</v>
      </c>
      <c r="AC186" s="1" t="str">
        <f>IF(AND(Table13[[#This Row],[Average score]]&gt;75,Table13[[#This Row],[Total rank]]&gt;6.5),"Yes","No")</f>
        <v>Yes</v>
      </c>
      <c r="AD186" s="1" t="str">
        <f>IF(AND(Table13[[#This Row],[Average score]]&gt;80,Table13[[#This Row],[Total rank]]&gt;7.5),"Yes","No")</f>
        <v>Yes</v>
      </c>
      <c r="AF186" s="8">
        <v>46027</v>
      </c>
      <c r="AG186" s="1">
        <v>3</v>
      </c>
      <c r="AH186" s="27">
        <v>223000</v>
      </c>
      <c r="AI186" s="27">
        <v>216000</v>
      </c>
      <c r="AJ186" s="27">
        <v>223000</v>
      </c>
      <c r="AK186" s="27">
        <f>Table13[[#This Row],[Year 1]]</f>
        <v>223000</v>
      </c>
      <c r="AL186" s="27">
        <f>Table13[[#This Row],[Year 2]]</f>
        <v>216000</v>
      </c>
      <c r="AM186" s="27">
        <f>Table13[[#This Row],[Year 3]]</f>
        <v>223000</v>
      </c>
      <c r="AN186" s="1">
        <v>3</v>
      </c>
    </row>
    <row r="187" spans="1:40" hidden="1" x14ac:dyDescent="0.25">
      <c r="A187" s="1" t="s">
        <v>48</v>
      </c>
      <c r="B187" s="1" t="s">
        <v>1996</v>
      </c>
      <c r="C187" s="1" t="s">
        <v>50</v>
      </c>
      <c r="D187" s="1" t="s">
        <v>1997</v>
      </c>
      <c r="E187" s="1" t="s">
        <v>1998</v>
      </c>
      <c r="F187" s="22" t="s">
        <v>3</v>
      </c>
      <c r="G187" s="1" t="s">
        <v>6085</v>
      </c>
      <c r="H187" s="1" t="s">
        <v>5</v>
      </c>
      <c r="I187" s="1" t="s">
        <v>24</v>
      </c>
      <c r="J187" s="1" t="s">
        <v>25</v>
      </c>
      <c r="K187" s="1" t="s">
        <v>9</v>
      </c>
      <c r="L187" s="1" t="s">
        <v>78</v>
      </c>
      <c r="M187" s="11" t="s">
        <v>188</v>
      </c>
      <c r="N187" s="1" t="s">
        <v>6037</v>
      </c>
      <c r="O187" s="1" t="s">
        <v>13</v>
      </c>
      <c r="P187" s="1" t="s">
        <v>1456</v>
      </c>
      <c r="Q187" s="1" t="s">
        <v>5584</v>
      </c>
      <c r="R187" s="1" t="s">
        <v>3855</v>
      </c>
      <c r="S187" s="1" t="s">
        <v>6064</v>
      </c>
      <c r="T187" s="1" t="s">
        <v>6065</v>
      </c>
      <c r="U187" s="1" t="s">
        <v>6102</v>
      </c>
      <c r="V187" s="1" t="s">
        <v>6197</v>
      </c>
      <c r="W187" s="27">
        <v>89.285714285714292</v>
      </c>
      <c r="X187" s="27">
        <v>82.142857142857139</v>
      </c>
      <c r="Y187" s="33">
        <f>AVERAGE(Table13[[#This Row],[Score 1]],Table13[[#This Row],[Score 2]])</f>
        <v>85.714285714285722</v>
      </c>
      <c r="Z187" s="1">
        <v>4</v>
      </c>
      <c r="AA187" s="1">
        <v>4</v>
      </c>
      <c r="AB187" s="22">
        <f>Table13[[#This Row],[Rank 1]]+Table13[[#This Row],[Rank 2]]</f>
        <v>8</v>
      </c>
      <c r="AC187" s="1" t="str">
        <f>IF(AND(Table13[[#This Row],[Average score]]&gt;75,Table13[[#This Row],[Total rank]]&gt;6.5),"Yes","No")</f>
        <v>Yes</v>
      </c>
      <c r="AD187" s="1" t="str">
        <f>IF(AND(Table13[[#This Row],[Average score]]&gt;80,Table13[[#This Row],[Total rank]]&gt;7.5),"Yes","No")</f>
        <v>Yes</v>
      </c>
      <c r="AF187" s="8">
        <v>46023</v>
      </c>
      <c r="AG187" s="1">
        <v>3</v>
      </c>
      <c r="AH187" s="27">
        <v>275000</v>
      </c>
      <c r="AI187" s="27">
        <v>296000</v>
      </c>
      <c r="AJ187" s="27">
        <v>317000</v>
      </c>
      <c r="AK187" s="27">
        <f>Table13[[#This Row],[Year 1]]</f>
        <v>275000</v>
      </c>
      <c r="AL187" s="27">
        <f>Table13[[#This Row],[Year 2]]</f>
        <v>296000</v>
      </c>
      <c r="AM187" s="27">
        <f>Table13[[#This Row],[Year 3]]</f>
        <v>317000</v>
      </c>
      <c r="AN187" s="1">
        <v>3</v>
      </c>
    </row>
    <row r="188" spans="1:40" hidden="1" x14ac:dyDescent="0.25">
      <c r="A188" s="1" t="s">
        <v>48</v>
      </c>
      <c r="B188" s="1" t="s">
        <v>1999</v>
      </c>
      <c r="C188" s="1" t="s">
        <v>50</v>
      </c>
      <c r="D188" s="1" t="s">
        <v>2000</v>
      </c>
      <c r="E188" s="1" t="s">
        <v>2001</v>
      </c>
      <c r="F188" s="22" t="s">
        <v>3</v>
      </c>
      <c r="G188" s="1" t="s">
        <v>6085</v>
      </c>
      <c r="H188" s="1" t="s">
        <v>5</v>
      </c>
      <c r="I188" s="1" t="s">
        <v>20</v>
      </c>
      <c r="J188" s="1" t="s">
        <v>26</v>
      </c>
      <c r="K188" s="1" t="s">
        <v>9</v>
      </c>
      <c r="L188" s="1" t="s">
        <v>78</v>
      </c>
      <c r="M188" s="11" t="s">
        <v>188</v>
      </c>
      <c r="N188" s="1" t="s">
        <v>6037</v>
      </c>
      <c r="O188" s="1" t="s">
        <v>12</v>
      </c>
      <c r="P188" s="1" t="s">
        <v>3859</v>
      </c>
      <c r="Q188" s="1" t="s">
        <v>5585</v>
      </c>
      <c r="R188" s="1" t="s">
        <v>3860</v>
      </c>
      <c r="S188" s="1" t="s">
        <v>6155</v>
      </c>
      <c r="T188" s="1" t="s">
        <v>6154</v>
      </c>
      <c r="U188" s="1" t="s">
        <v>6164</v>
      </c>
      <c r="V188" s="1" t="s">
        <v>6167</v>
      </c>
      <c r="W188" s="27">
        <v>67.857142857142861</v>
      </c>
      <c r="X188" s="27">
        <v>57.142857142857139</v>
      </c>
      <c r="Y188" s="33">
        <f>AVERAGE(Table13[[#This Row],[Score 1]],Table13[[#This Row],[Score 2]])</f>
        <v>62.5</v>
      </c>
      <c r="Z188" s="1">
        <v>3</v>
      </c>
      <c r="AA188" s="1">
        <v>3</v>
      </c>
      <c r="AB188" s="22">
        <f>Table13[[#This Row],[Rank 1]]+Table13[[#This Row],[Rank 2]]</f>
        <v>6</v>
      </c>
      <c r="AC188" s="1" t="str">
        <f>IF(AND(Table13[[#This Row],[Average score]]&gt;75,Table13[[#This Row],[Total rank]]&gt;6.5),"Yes","No")</f>
        <v>No</v>
      </c>
      <c r="AD188" s="1" t="str">
        <f>IF(AND(Table13[[#This Row],[Average score]]&gt;80,Table13[[#This Row],[Total rank]]&gt;7.5),"Yes","No")</f>
        <v>No</v>
      </c>
      <c r="AF188" s="8">
        <v>46033</v>
      </c>
      <c r="AG188" s="1">
        <v>3</v>
      </c>
      <c r="AH188" s="27">
        <v>230380</v>
      </c>
      <c r="AI188" s="27">
        <v>265380</v>
      </c>
      <c r="AJ188" s="27">
        <v>270380</v>
      </c>
      <c r="AK188" s="27">
        <f>Table13[[#This Row],[Year 1]]</f>
        <v>230380</v>
      </c>
      <c r="AL188" s="27">
        <f>Table13[[#This Row],[Year 2]]</f>
        <v>265380</v>
      </c>
      <c r="AM188" s="27">
        <f>Table13[[#This Row],[Year 3]]</f>
        <v>270380</v>
      </c>
      <c r="AN188" s="1">
        <v>3</v>
      </c>
    </row>
    <row r="189" spans="1:40" hidden="1" x14ac:dyDescent="0.25">
      <c r="A189" s="1" t="s">
        <v>48</v>
      </c>
      <c r="B189" s="1" t="s">
        <v>2005</v>
      </c>
      <c r="C189" s="1" t="s">
        <v>50</v>
      </c>
      <c r="D189" s="1" t="s">
        <v>2006</v>
      </c>
      <c r="E189" s="12" t="s">
        <v>2007</v>
      </c>
      <c r="F189" s="22" t="s">
        <v>3</v>
      </c>
      <c r="G189" s="1" t="s">
        <v>6085</v>
      </c>
      <c r="H189" s="1" t="s">
        <v>5</v>
      </c>
      <c r="I189" s="1" t="s">
        <v>20</v>
      </c>
      <c r="J189" s="1" t="s">
        <v>25</v>
      </c>
      <c r="K189" s="1" t="s">
        <v>9</v>
      </c>
      <c r="L189" s="1" t="s">
        <v>78</v>
      </c>
      <c r="M189" s="11" t="s">
        <v>188</v>
      </c>
      <c r="N189" s="1" t="s">
        <v>6037</v>
      </c>
      <c r="O189" s="1" t="s">
        <v>14</v>
      </c>
      <c r="P189" s="1" t="s">
        <v>126</v>
      </c>
      <c r="Q189" s="1" t="s">
        <v>5</v>
      </c>
      <c r="R189" s="1" t="s">
        <v>3867</v>
      </c>
      <c r="S189" s="1" t="s">
        <v>6139</v>
      </c>
      <c r="T189" s="1" t="s">
        <v>6140</v>
      </c>
      <c r="U189" s="1" t="s">
        <v>6162</v>
      </c>
      <c r="V189" s="1" t="s">
        <v>6187</v>
      </c>
      <c r="W189" s="27">
        <v>82.142857142857139</v>
      </c>
      <c r="X189" s="27">
        <v>78.571428571428569</v>
      </c>
      <c r="Y189" s="33">
        <f>AVERAGE(Table13[[#This Row],[Score 1]],Table13[[#This Row],[Score 2]])</f>
        <v>80.357142857142861</v>
      </c>
      <c r="Z189" s="1">
        <v>4</v>
      </c>
      <c r="AA189" s="1">
        <v>4</v>
      </c>
      <c r="AB189" s="22">
        <f>Table13[[#This Row],[Rank 1]]+Table13[[#This Row],[Rank 2]]</f>
        <v>8</v>
      </c>
      <c r="AC189" s="1" t="str">
        <f>IF(AND(Table13[[#This Row],[Average score]]&gt;75,Table13[[#This Row],[Total rank]]&gt;6.5),"Yes","No")</f>
        <v>Yes</v>
      </c>
      <c r="AD189" s="1" t="str">
        <f>IF(AND(Table13[[#This Row],[Average score]]&gt;80,Table13[[#This Row],[Total rank]]&gt;7.5),"Yes","No")</f>
        <v>Yes</v>
      </c>
      <c r="AF189" s="8">
        <v>46055</v>
      </c>
      <c r="AG189" s="1">
        <v>3</v>
      </c>
      <c r="AH189" s="27">
        <v>332170</v>
      </c>
      <c r="AI189" s="27">
        <v>309170</v>
      </c>
      <c r="AJ189" s="27">
        <v>309170</v>
      </c>
      <c r="AK189" s="27">
        <f>Table13[[#This Row],[Year 1]]</f>
        <v>332170</v>
      </c>
      <c r="AL189" s="27">
        <f>Table13[[#This Row],[Year 2]]</f>
        <v>309170</v>
      </c>
      <c r="AM189" s="27">
        <f>Table13[[#This Row],[Year 3]]</f>
        <v>309170</v>
      </c>
      <c r="AN189" s="1">
        <v>3</v>
      </c>
    </row>
    <row r="190" spans="1:40" hidden="1" x14ac:dyDescent="0.25">
      <c r="A190" s="1" t="s">
        <v>48</v>
      </c>
      <c r="B190" s="1" t="s">
        <v>2014</v>
      </c>
      <c r="C190" s="1" t="s">
        <v>50</v>
      </c>
      <c r="D190" s="1" t="s">
        <v>2015</v>
      </c>
      <c r="E190" s="1" t="s">
        <v>2016</v>
      </c>
      <c r="F190" s="22" t="s">
        <v>3</v>
      </c>
      <c r="G190" s="1" t="s">
        <v>6085</v>
      </c>
      <c r="H190" s="1" t="s">
        <v>6</v>
      </c>
      <c r="I190" s="1" t="s">
        <v>20</v>
      </c>
      <c r="J190" s="1" t="s">
        <v>25</v>
      </c>
      <c r="K190" s="1" t="s">
        <v>9</v>
      </c>
      <c r="L190" s="1" t="s">
        <v>78</v>
      </c>
      <c r="M190" s="11" t="s">
        <v>188</v>
      </c>
      <c r="N190" s="1" t="s">
        <v>6037</v>
      </c>
      <c r="O190" s="1" t="s">
        <v>14</v>
      </c>
      <c r="P190" s="1" t="s">
        <v>66</v>
      </c>
      <c r="Q190" s="1" t="s">
        <v>5589</v>
      </c>
      <c r="R190" s="1" t="s">
        <v>3874</v>
      </c>
      <c r="S190" s="1" t="s">
        <v>6145</v>
      </c>
      <c r="T190" s="1" t="s">
        <v>6146</v>
      </c>
      <c r="U190" s="1" t="s">
        <v>6156</v>
      </c>
      <c r="V190" s="1" t="s">
        <v>6169</v>
      </c>
      <c r="W190" s="27">
        <v>67.857142857142861</v>
      </c>
      <c r="X190" s="27">
        <v>75</v>
      </c>
      <c r="Y190" s="33">
        <f>AVERAGE(Table13[[#This Row],[Score 1]],Table13[[#This Row],[Score 2]])</f>
        <v>71.428571428571431</v>
      </c>
      <c r="Z190" s="1">
        <v>2</v>
      </c>
      <c r="AA190" s="1">
        <v>4</v>
      </c>
      <c r="AB190" s="22">
        <f>Table13[[#This Row],[Rank 1]]+Table13[[#This Row],[Rank 2]]</f>
        <v>6</v>
      </c>
      <c r="AC190" s="1" t="str">
        <f>IF(AND(Table13[[#This Row],[Average score]]&gt;75,Table13[[#This Row],[Total rank]]&gt;6.5),"Yes","No")</f>
        <v>No</v>
      </c>
      <c r="AD190" s="1" t="str">
        <f>IF(AND(Table13[[#This Row],[Average score]]&gt;80,Table13[[#This Row],[Total rank]]&gt;7.5),"Yes","No")</f>
        <v>No</v>
      </c>
      <c r="AF190" s="8">
        <v>46027</v>
      </c>
      <c r="AG190" s="1">
        <v>1</v>
      </c>
      <c r="AH190" s="27">
        <v>99031</v>
      </c>
      <c r="AI190" s="30">
        <v>0</v>
      </c>
      <c r="AJ190" s="30">
        <v>0</v>
      </c>
      <c r="AK190" s="30">
        <f>Table13[[#This Row],[Year 1]]</f>
        <v>99031</v>
      </c>
      <c r="AL190" s="30">
        <f>Table13[[#This Row],[Year 2]]</f>
        <v>0</v>
      </c>
      <c r="AM190" s="30">
        <f>Table13[[#This Row],[Year 3]]</f>
        <v>0</v>
      </c>
      <c r="AN190" s="1">
        <v>3</v>
      </c>
    </row>
    <row r="191" spans="1:40" hidden="1" x14ac:dyDescent="0.25">
      <c r="A191" s="1" t="s">
        <v>48</v>
      </c>
      <c r="B191" s="1" t="s">
        <v>2017</v>
      </c>
      <c r="C191" s="1" t="s">
        <v>50</v>
      </c>
      <c r="D191" s="1" t="s">
        <v>2018</v>
      </c>
      <c r="E191" s="1" t="s">
        <v>2019</v>
      </c>
      <c r="F191" s="22" t="s">
        <v>3</v>
      </c>
      <c r="G191" s="1" t="s">
        <v>6085</v>
      </c>
      <c r="H191" s="1" t="s">
        <v>6</v>
      </c>
      <c r="I191" s="1" t="s">
        <v>20</v>
      </c>
      <c r="J191" s="1" t="s">
        <v>25</v>
      </c>
      <c r="K191" s="1" t="s">
        <v>9</v>
      </c>
      <c r="L191" s="1" t="s">
        <v>78</v>
      </c>
      <c r="M191" s="11" t="s">
        <v>188</v>
      </c>
      <c r="N191" s="1" t="s">
        <v>6037</v>
      </c>
      <c r="O191" s="1" t="s">
        <v>19</v>
      </c>
      <c r="P191" s="1" t="s">
        <v>66</v>
      </c>
      <c r="Q191" s="1" t="s">
        <v>5590</v>
      </c>
      <c r="R191" s="1" t="s">
        <v>3876</v>
      </c>
      <c r="S191" s="1" t="s">
        <v>6133</v>
      </c>
      <c r="T191" s="1" t="s">
        <v>6150</v>
      </c>
      <c r="U191" s="1" t="s">
        <v>6158</v>
      </c>
      <c r="V191" s="1" t="s">
        <v>6094</v>
      </c>
      <c r="W191" s="27">
        <v>92.857142857142861</v>
      </c>
      <c r="X191" s="27">
        <v>92.857142857142861</v>
      </c>
      <c r="Y191" s="33">
        <f>AVERAGE(Table13[[#This Row],[Score 1]],Table13[[#This Row],[Score 2]])</f>
        <v>92.857142857142861</v>
      </c>
      <c r="Z191" s="1">
        <v>3</v>
      </c>
      <c r="AA191" s="1">
        <v>5</v>
      </c>
      <c r="AB191" s="22">
        <f>Table13[[#This Row],[Rank 1]]+Table13[[#This Row],[Rank 2]]</f>
        <v>8</v>
      </c>
      <c r="AC191" s="1" t="str">
        <f>IF(AND(Table13[[#This Row],[Average score]]&gt;75,Table13[[#This Row],[Total rank]]&gt;6.5),"Yes","No")</f>
        <v>Yes</v>
      </c>
      <c r="AD191" s="1" t="str">
        <f>IF(AND(Table13[[#This Row],[Average score]]&gt;80,Table13[[#This Row],[Total rank]]&gt;7.5),"Yes","No")</f>
        <v>Yes</v>
      </c>
      <c r="AF191" s="8">
        <v>45662</v>
      </c>
      <c r="AG191" s="1">
        <v>1</v>
      </c>
      <c r="AH191" s="27">
        <v>109488</v>
      </c>
      <c r="AI191" s="30">
        <v>0</v>
      </c>
      <c r="AJ191" s="30">
        <v>0</v>
      </c>
      <c r="AK191" s="30">
        <f>Table13[[#This Row],[Year 1]]</f>
        <v>109488</v>
      </c>
      <c r="AL191" s="30">
        <f>Table13[[#This Row],[Year 2]]</f>
        <v>0</v>
      </c>
      <c r="AM191" s="30">
        <f>Table13[[#This Row],[Year 3]]</f>
        <v>0</v>
      </c>
      <c r="AN191" s="1">
        <v>3</v>
      </c>
    </row>
    <row r="192" spans="1:40" hidden="1" x14ac:dyDescent="0.25">
      <c r="A192" s="1" t="s">
        <v>48</v>
      </c>
      <c r="B192" s="1" t="s">
        <v>2020</v>
      </c>
      <c r="C192" s="1" t="s">
        <v>50</v>
      </c>
      <c r="D192" s="1" t="s">
        <v>2021</v>
      </c>
      <c r="E192" s="1" t="s">
        <v>2022</v>
      </c>
      <c r="F192" s="22" t="s">
        <v>3</v>
      </c>
      <c r="G192" s="1" t="s">
        <v>6085</v>
      </c>
      <c r="H192" s="1" t="s">
        <v>7</v>
      </c>
      <c r="I192" s="1" t="s">
        <v>20</v>
      </c>
      <c r="J192" s="1" t="s">
        <v>25</v>
      </c>
      <c r="K192" s="1" t="s">
        <v>9</v>
      </c>
      <c r="L192" s="1" t="s">
        <v>78</v>
      </c>
      <c r="M192" s="11" t="s">
        <v>188</v>
      </c>
      <c r="N192" s="1" t="s">
        <v>6037</v>
      </c>
      <c r="O192" s="1" t="s">
        <v>10</v>
      </c>
      <c r="P192" s="1" t="s">
        <v>1519</v>
      </c>
      <c r="Q192" s="20" t="s">
        <v>5591</v>
      </c>
      <c r="R192" s="1" t="s">
        <v>3878</v>
      </c>
      <c r="S192" s="1" t="s">
        <v>6048</v>
      </c>
      <c r="T192" s="1" t="s">
        <v>6047</v>
      </c>
      <c r="U192" s="1" t="s">
        <v>6086</v>
      </c>
      <c r="V192" s="1" t="s">
        <v>6106</v>
      </c>
      <c r="W192" s="27">
        <v>77.777777777777786</v>
      </c>
      <c r="X192" s="27">
        <v>75</v>
      </c>
      <c r="Y192" s="33">
        <f>AVERAGE(Table13[[#This Row],[Score 1]],Table13[[#This Row],[Score 2]])</f>
        <v>76.388888888888886</v>
      </c>
      <c r="Z192" s="1">
        <v>4</v>
      </c>
      <c r="AA192" s="1">
        <v>3</v>
      </c>
      <c r="AB192" s="22">
        <f>Table13[[#This Row],[Rank 1]]+Table13[[#This Row],[Rank 2]]</f>
        <v>7</v>
      </c>
      <c r="AC192" s="1" t="str">
        <f>IF(AND(Table13[[#This Row],[Average score]]&gt;75,Table13[[#This Row],[Total rank]]&gt;6.5),"Yes","No")</f>
        <v>Yes</v>
      </c>
      <c r="AD192" s="1" t="str">
        <f>IF(AND(Table13[[#This Row],[Average score]]&gt;80,Table13[[#This Row],[Total rank]]&gt;7.5),"Yes","No")</f>
        <v>No</v>
      </c>
      <c r="AF192" s="8">
        <v>45663</v>
      </c>
      <c r="AG192" s="1">
        <v>2</v>
      </c>
      <c r="AH192" s="27">
        <v>29600</v>
      </c>
      <c r="AI192" s="27">
        <v>29600</v>
      </c>
      <c r="AJ192" s="27">
        <v>29600</v>
      </c>
      <c r="AK192" s="27">
        <f>Table13[[#This Row],[Year 1]]</f>
        <v>29600</v>
      </c>
      <c r="AL192" s="27">
        <f>Table13[[#This Row],[Year 2]]</f>
        <v>29600</v>
      </c>
      <c r="AM192" s="27">
        <f>Table13[[#This Row],[Year 3]]</f>
        <v>29600</v>
      </c>
      <c r="AN192" s="1">
        <v>3</v>
      </c>
    </row>
    <row r="193" spans="1:40" ht="13.8" hidden="1" customHeight="1" x14ac:dyDescent="0.25">
      <c r="A193" s="1" t="s">
        <v>48</v>
      </c>
      <c r="B193" s="1" t="s">
        <v>2023</v>
      </c>
      <c r="C193" s="1" t="s">
        <v>50</v>
      </c>
      <c r="D193" s="1" t="s">
        <v>2024</v>
      </c>
      <c r="E193" s="1" t="s">
        <v>2025</v>
      </c>
      <c r="F193" s="22" t="s">
        <v>3</v>
      </c>
      <c r="G193" s="1" t="s">
        <v>6085</v>
      </c>
      <c r="H193" s="1" t="s">
        <v>6</v>
      </c>
      <c r="I193" s="1" t="s">
        <v>20</v>
      </c>
      <c r="J193" s="1" t="s">
        <v>25</v>
      </c>
      <c r="K193" s="1" t="s">
        <v>9</v>
      </c>
      <c r="L193" s="1" t="s">
        <v>78</v>
      </c>
      <c r="M193" s="11" t="s">
        <v>188</v>
      </c>
      <c r="N193" s="1" t="s">
        <v>6037</v>
      </c>
      <c r="O193" s="1" t="s">
        <v>11</v>
      </c>
      <c r="P193" s="1" t="s">
        <v>60</v>
      </c>
      <c r="Q193" s="1" t="s">
        <v>5592</v>
      </c>
      <c r="R193" s="1" t="s">
        <v>3880</v>
      </c>
      <c r="S193" s="1" t="s">
        <v>6055</v>
      </c>
      <c r="T193" s="1" t="s">
        <v>6056</v>
      </c>
      <c r="U193" s="1" t="s">
        <v>6105</v>
      </c>
      <c r="V193" s="1" t="s">
        <v>6199</v>
      </c>
      <c r="W193" s="27">
        <v>82.142857142857139</v>
      </c>
      <c r="X193" s="27">
        <v>75</v>
      </c>
      <c r="Y193" s="33">
        <f>AVERAGE(Table13[[#This Row],[Score 1]],Table13[[#This Row],[Score 2]])</f>
        <v>78.571428571428569</v>
      </c>
      <c r="Z193" s="1">
        <v>4</v>
      </c>
      <c r="AA193" s="1">
        <v>4</v>
      </c>
      <c r="AB193" s="22">
        <f>Table13[[#This Row],[Rank 1]]+Table13[[#This Row],[Rank 2]]</f>
        <v>8</v>
      </c>
      <c r="AC193" s="1" t="str">
        <f>IF(AND(Table13[[#This Row],[Average score]]&gt;75,Table13[[#This Row],[Total rank]]&gt;6.5),"Yes","No")</f>
        <v>Yes</v>
      </c>
      <c r="AD193" s="1" t="str">
        <f>IF(AND(Table13[[#This Row],[Average score]]&gt;80,Table13[[#This Row],[Total rank]]&gt;7.5),"Yes","No")</f>
        <v>No</v>
      </c>
      <c r="AF193" s="8">
        <v>46048</v>
      </c>
      <c r="AG193" s="1">
        <v>2</v>
      </c>
      <c r="AH193" s="27">
        <v>110768</v>
      </c>
      <c r="AI193" s="27">
        <v>110768</v>
      </c>
      <c r="AJ193" s="30">
        <v>0</v>
      </c>
      <c r="AK193" s="30">
        <f>Table13[[#This Row],[Year 1]]</f>
        <v>110768</v>
      </c>
      <c r="AL193" s="30">
        <f>Table13[[#This Row],[Year 2]]</f>
        <v>110768</v>
      </c>
      <c r="AM193" s="30">
        <f>Table13[[#This Row],[Year 3]]</f>
        <v>0</v>
      </c>
      <c r="AN193" s="1">
        <v>3</v>
      </c>
    </row>
    <row r="194" spans="1:40" hidden="1" x14ac:dyDescent="0.25">
      <c r="A194" s="1" t="s">
        <v>48</v>
      </c>
      <c r="B194" s="10" t="s">
        <v>2026</v>
      </c>
      <c r="C194" s="1" t="s">
        <v>50</v>
      </c>
      <c r="D194" s="1" t="s">
        <v>2027</v>
      </c>
      <c r="E194" s="1" t="s">
        <v>2028</v>
      </c>
      <c r="F194" s="22" t="s">
        <v>3</v>
      </c>
      <c r="G194" s="1" t="s">
        <v>6085</v>
      </c>
      <c r="H194" s="1" t="s">
        <v>6</v>
      </c>
      <c r="I194" s="1" t="s">
        <v>24</v>
      </c>
      <c r="J194" s="1" t="s">
        <v>26</v>
      </c>
      <c r="K194" s="1" t="s">
        <v>9</v>
      </c>
      <c r="L194" s="1" t="s">
        <v>78</v>
      </c>
      <c r="M194" s="11" t="s">
        <v>188</v>
      </c>
      <c r="N194" s="1" t="s">
        <v>6037</v>
      </c>
      <c r="O194" s="1" t="s">
        <v>11</v>
      </c>
      <c r="P194" s="1" t="s">
        <v>126</v>
      </c>
      <c r="Q194" s="1" t="s">
        <v>5593</v>
      </c>
      <c r="R194" s="1" t="s">
        <v>3881</v>
      </c>
      <c r="S194" s="1" t="s">
        <v>6055</v>
      </c>
      <c r="T194" s="1" t="s">
        <v>6056</v>
      </c>
      <c r="U194" s="1" t="s">
        <v>6105</v>
      </c>
      <c r="V194" s="1" t="s">
        <v>6199</v>
      </c>
      <c r="W194" s="27">
        <v>85.714285714285708</v>
      </c>
      <c r="X194" s="27">
        <v>82.142857142857139</v>
      </c>
      <c r="Y194" s="33">
        <f>AVERAGE(Table13[[#This Row],[Score 1]],Table13[[#This Row],[Score 2]])</f>
        <v>83.928571428571416</v>
      </c>
      <c r="Z194" s="1">
        <v>4</v>
      </c>
      <c r="AA194" s="1">
        <v>4</v>
      </c>
      <c r="AB194" s="22">
        <f>Table13[[#This Row],[Rank 1]]+Table13[[#This Row],[Rank 2]]</f>
        <v>8</v>
      </c>
      <c r="AC194" s="1" t="str">
        <f>IF(AND(Table13[[#This Row],[Average score]]&gt;75,Table13[[#This Row],[Total rank]]&gt;6.5),"Yes","No")</f>
        <v>Yes</v>
      </c>
      <c r="AD194" s="1" t="str">
        <f>IF(AND(Table13[[#This Row],[Average score]]&gt;80,Table13[[#This Row],[Total rank]]&gt;7.5),"Yes","No")</f>
        <v>Yes</v>
      </c>
      <c r="AF194" s="8">
        <v>46041</v>
      </c>
      <c r="AG194" s="1">
        <v>1</v>
      </c>
      <c r="AH194" s="27">
        <v>230000</v>
      </c>
      <c r="AI194" s="30">
        <v>0</v>
      </c>
      <c r="AJ194" s="30">
        <v>0</v>
      </c>
      <c r="AK194" s="30">
        <f>Table13[[#This Row],[Year 1]]</f>
        <v>230000</v>
      </c>
      <c r="AL194" s="30">
        <f>Table13[[#This Row],[Year 2]]</f>
        <v>0</v>
      </c>
      <c r="AM194" s="30">
        <f>Table13[[#This Row],[Year 3]]</f>
        <v>0</v>
      </c>
      <c r="AN194" s="1">
        <v>4</v>
      </c>
    </row>
    <row r="195" spans="1:40" hidden="1" x14ac:dyDescent="0.25">
      <c r="A195" s="1" t="s">
        <v>48</v>
      </c>
      <c r="B195" s="1" t="s">
        <v>2032</v>
      </c>
      <c r="C195" s="1" t="s">
        <v>50</v>
      </c>
      <c r="D195" s="1" t="s">
        <v>2033</v>
      </c>
      <c r="E195" s="1" t="s">
        <v>2034</v>
      </c>
      <c r="F195" s="22" t="s">
        <v>3</v>
      </c>
      <c r="G195" s="1" t="s">
        <v>6085</v>
      </c>
      <c r="H195" s="1" t="s">
        <v>7</v>
      </c>
      <c r="I195" s="1" t="s">
        <v>22</v>
      </c>
      <c r="J195" s="1" t="s">
        <v>26</v>
      </c>
      <c r="K195" s="1" t="s">
        <v>9</v>
      </c>
      <c r="L195" s="1" t="s">
        <v>78</v>
      </c>
      <c r="M195" s="11" t="s">
        <v>188</v>
      </c>
      <c r="N195" s="1" t="s">
        <v>6037</v>
      </c>
      <c r="O195" s="1" t="s">
        <v>12</v>
      </c>
      <c r="P195" s="1" t="s">
        <v>247</v>
      </c>
      <c r="Q195" s="1" t="s">
        <v>5595</v>
      </c>
      <c r="R195" s="1" t="s">
        <v>3883</v>
      </c>
      <c r="S195" s="1" t="s">
        <v>6155</v>
      </c>
      <c r="T195" s="1" t="s">
        <v>6154</v>
      </c>
      <c r="U195" s="1" t="s">
        <v>6164</v>
      </c>
      <c r="V195" s="1" t="s">
        <v>6167</v>
      </c>
      <c r="W195" s="27">
        <v>69.444444444444443</v>
      </c>
      <c r="X195" s="27">
        <v>72.222222222222214</v>
      </c>
      <c r="Y195" s="33">
        <f>AVERAGE(Table13[[#This Row],[Score 1]],Table13[[#This Row],[Score 2]])</f>
        <v>70.833333333333329</v>
      </c>
      <c r="Z195" s="1">
        <v>4</v>
      </c>
      <c r="AA195" s="1">
        <v>3</v>
      </c>
      <c r="AB195" s="22">
        <f>Table13[[#This Row],[Rank 1]]+Table13[[#This Row],[Rank 2]]</f>
        <v>7</v>
      </c>
      <c r="AC195" s="1" t="str">
        <f>IF(AND(Table13[[#This Row],[Average score]]&gt;75,Table13[[#This Row],[Total rank]]&gt;6.5),"Yes","No")</f>
        <v>No</v>
      </c>
      <c r="AD195" s="1" t="str">
        <f>IF(AND(Table13[[#This Row],[Average score]]&gt;80,Table13[[#This Row],[Total rank]]&gt;7.5),"Yes","No")</f>
        <v>No</v>
      </c>
      <c r="AF195" s="8">
        <v>46023</v>
      </c>
      <c r="AG195" s="1">
        <v>2</v>
      </c>
      <c r="AH195" s="27">
        <v>500000</v>
      </c>
      <c r="AI195" s="27">
        <v>495000</v>
      </c>
      <c r="AJ195" s="30">
        <v>0</v>
      </c>
      <c r="AK195" s="30">
        <f>Table13[[#This Row],[Year 1]]</f>
        <v>500000</v>
      </c>
      <c r="AL195" s="30">
        <f>Table13[[#This Row],[Year 2]]</f>
        <v>495000</v>
      </c>
      <c r="AM195" s="30">
        <f>Table13[[#This Row],[Year 3]]</f>
        <v>0</v>
      </c>
      <c r="AN195" s="1">
        <v>3</v>
      </c>
    </row>
    <row r="196" spans="1:40" hidden="1" x14ac:dyDescent="0.25">
      <c r="A196" s="1" t="s">
        <v>48</v>
      </c>
      <c r="B196" s="1" t="s">
        <v>2047</v>
      </c>
      <c r="C196" s="1" t="s">
        <v>50</v>
      </c>
      <c r="D196" s="1" t="s">
        <v>2048</v>
      </c>
      <c r="E196" s="1" t="s">
        <v>2049</v>
      </c>
      <c r="F196" s="22" t="s">
        <v>3</v>
      </c>
      <c r="G196" s="1" t="s">
        <v>6085</v>
      </c>
      <c r="H196" s="1" t="s">
        <v>1383</v>
      </c>
      <c r="I196" s="1" t="s">
        <v>24</v>
      </c>
      <c r="J196" s="1" t="s">
        <v>25</v>
      </c>
      <c r="K196" s="1" t="s">
        <v>9</v>
      </c>
      <c r="L196" s="1" t="s">
        <v>78</v>
      </c>
      <c r="M196" s="1" t="s">
        <v>6039</v>
      </c>
      <c r="N196" s="1" t="s">
        <v>6037</v>
      </c>
      <c r="O196" s="1" t="s">
        <v>13</v>
      </c>
      <c r="P196" s="1" t="s">
        <v>3896</v>
      </c>
      <c r="Q196" s="1" t="s">
        <v>5599</v>
      </c>
      <c r="R196" s="1" t="s">
        <v>3897</v>
      </c>
      <c r="S196" s="1" t="s">
        <v>6070</v>
      </c>
      <c r="T196" s="2" t="s">
        <v>6075</v>
      </c>
      <c r="U196" s="1" t="s">
        <v>6093</v>
      </c>
      <c r="V196" s="1" t="s">
        <v>6088</v>
      </c>
      <c r="W196" s="27">
        <v>83.333333333333343</v>
      </c>
      <c r="X196" s="27">
        <v>80.555555555555557</v>
      </c>
      <c r="Y196" s="33">
        <f>AVERAGE(Table13[[#This Row],[Score 1]],Table13[[#This Row],[Score 2]])</f>
        <v>81.944444444444457</v>
      </c>
      <c r="Z196" s="1">
        <v>4</v>
      </c>
      <c r="AA196" s="1">
        <v>3</v>
      </c>
      <c r="AB196" s="22">
        <f>Table13[[#This Row],[Rank 1]]+Table13[[#This Row],[Rank 2]]</f>
        <v>7</v>
      </c>
      <c r="AC196" s="1" t="str">
        <f>IF(AND(Table13[[#This Row],[Average score]]&gt;75,Table13[[#This Row],[Total rank]]&gt;6.5),"Yes","No")</f>
        <v>Yes</v>
      </c>
      <c r="AD196" s="1" t="str">
        <f>IF(AND(Table13[[#This Row],[Average score]]&gt;80,Table13[[#This Row],[Total rank]]&gt;7.5),"Yes","No")</f>
        <v>No</v>
      </c>
      <c r="AF196" s="8">
        <v>45658</v>
      </c>
      <c r="AG196" s="1">
        <v>1</v>
      </c>
      <c r="AH196" s="27">
        <v>1656656.4</v>
      </c>
      <c r="AI196" s="30">
        <v>0</v>
      </c>
      <c r="AJ196" s="30">
        <v>0</v>
      </c>
      <c r="AK196" s="30">
        <f>Table13[[#This Row],[Year 1]]</f>
        <v>1656656.4</v>
      </c>
      <c r="AL196" s="30">
        <f>Table13[[#This Row],[Year 2]]</f>
        <v>0</v>
      </c>
      <c r="AM196" s="30">
        <f>Table13[[#This Row],[Year 3]]</f>
        <v>0</v>
      </c>
      <c r="AN196" s="1">
        <v>3</v>
      </c>
    </row>
    <row r="197" spans="1:40" hidden="1" x14ac:dyDescent="0.25">
      <c r="A197" s="1" t="s">
        <v>48</v>
      </c>
      <c r="B197" s="1" t="s">
        <v>2050</v>
      </c>
      <c r="C197" s="1" t="s">
        <v>50</v>
      </c>
      <c r="D197" s="1" t="s">
        <v>2051</v>
      </c>
      <c r="E197" s="1" t="s">
        <v>2052</v>
      </c>
      <c r="F197" s="22" t="s">
        <v>3</v>
      </c>
      <c r="G197" s="1" t="s">
        <v>6085</v>
      </c>
      <c r="H197" s="1" t="s">
        <v>7</v>
      </c>
      <c r="I197" s="1" t="s">
        <v>24</v>
      </c>
      <c r="J197" s="1" t="s">
        <v>25</v>
      </c>
      <c r="K197" s="1" t="s">
        <v>9</v>
      </c>
      <c r="L197" s="1" t="s">
        <v>78</v>
      </c>
      <c r="M197" s="11" t="s">
        <v>188</v>
      </c>
      <c r="N197" s="1" t="s">
        <v>6037</v>
      </c>
      <c r="O197" s="1" t="s">
        <v>14</v>
      </c>
      <c r="P197" s="1" t="s">
        <v>60</v>
      </c>
      <c r="Q197" s="1" t="s">
        <v>5600</v>
      </c>
      <c r="R197" s="1" t="s">
        <v>3899</v>
      </c>
      <c r="S197" s="1" t="s">
        <v>6141</v>
      </c>
      <c r="T197" s="11" t="s">
        <v>6140</v>
      </c>
      <c r="U197" s="1" t="s">
        <v>6165</v>
      </c>
      <c r="V197" s="1" t="s">
        <v>6187</v>
      </c>
      <c r="W197" s="27">
        <v>63.888888888888886</v>
      </c>
      <c r="X197" s="27">
        <v>66.666666666666657</v>
      </c>
      <c r="Y197" s="33">
        <f>AVERAGE(Table13[[#This Row],[Score 1]],Table13[[#This Row],[Score 2]])</f>
        <v>65.277777777777771</v>
      </c>
      <c r="Z197" s="1">
        <v>3</v>
      </c>
      <c r="AA197" s="1">
        <v>3</v>
      </c>
      <c r="AB197" s="22">
        <f>Table13[[#This Row],[Rank 1]]+Table13[[#This Row],[Rank 2]]</f>
        <v>6</v>
      </c>
      <c r="AC197" s="1" t="str">
        <f>IF(AND(Table13[[#This Row],[Average score]]&gt;75,Table13[[#This Row],[Total rank]]&gt;6.5),"Yes","No")</f>
        <v>No</v>
      </c>
      <c r="AD197" s="1" t="str">
        <f>IF(AND(Table13[[#This Row],[Average score]]&gt;80,Table13[[#This Row],[Total rank]]&gt;7.5),"Yes","No")</f>
        <v>No</v>
      </c>
      <c r="AF197" s="8">
        <v>46023</v>
      </c>
      <c r="AG197" s="1">
        <v>2</v>
      </c>
      <c r="AH197" s="27">
        <v>316400</v>
      </c>
      <c r="AI197" s="27">
        <v>358160</v>
      </c>
      <c r="AJ197" s="30">
        <v>0</v>
      </c>
      <c r="AK197" s="30">
        <f>Table13[[#This Row],[Year 1]]</f>
        <v>316400</v>
      </c>
      <c r="AL197" s="30">
        <f>Table13[[#This Row],[Year 2]]</f>
        <v>358160</v>
      </c>
      <c r="AM197" s="30">
        <f>Table13[[#This Row],[Year 3]]</f>
        <v>0</v>
      </c>
      <c r="AN197" s="1">
        <v>3</v>
      </c>
    </row>
    <row r="198" spans="1:40" hidden="1" x14ac:dyDescent="0.25">
      <c r="A198" s="1" t="s">
        <v>48</v>
      </c>
      <c r="B198" s="1" t="s">
        <v>2053</v>
      </c>
      <c r="C198" s="1" t="s">
        <v>50</v>
      </c>
      <c r="D198" s="1" t="s">
        <v>2054</v>
      </c>
      <c r="E198" s="1" t="s">
        <v>2055</v>
      </c>
      <c r="F198" s="22" t="s">
        <v>3</v>
      </c>
      <c r="G198" s="1" t="s">
        <v>6085</v>
      </c>
      <c r="H198" s="1" t="s">
        <v>7</v>
      </c>
      <c r="I198" s="1" t="s">
        <v>20</v>
      </c>
      <c r="J198" s="1" t="s">
        <v>26</v>
      </c>
      <c r="K198" s="1" t="s">
        <v>9</v>
      </c>
      <c r="L198" s="1" t="s">
        <v>78</v>
      </c>
      <c r="M198" s="11" t="s">
        <v>188</v>
      </c>
      <c r="N198" s="1" t="s">
        <v>6037</v>
      </c>
      <c r="O198" s="1" t="s">
        <v>13</v>
      </c>
      <c r="P198" s="1" t="s">
        <v>3902</v>
      </c>
      <c r="Q198" s="1" t="s">
        <v>5601</v>
      </c>
      <c r="R198" s="1" t="s">
        <v>3903</v>
      </c>
      <c r="S198" s="1" t="s">
        <v>6081</v>
      </c>
      <c r="T198" s="1" t="s">
        <v>6082</v>
      </c>
      <c r="U198" s="1" t="s">
        <v>6097</v>
      </c>
      <c r="V198" s="1" t="s">
        <v>6188</v>
      </c>
      <c r="W198" s="27">
        <v>80.555555555555557</v>
      </c>
      <c r="X198" s="27">
        <v>86.111111111111114</v>
      </c>
      <c r="Y198" s="33">
        <f>AVERAGE(Table13[[#This Row],[Score 1]],Table13[[#This Row],[Score 2]])</f>
        <v>83.333333333333343</v>
      </c>
      <c r="Z198" s="1">
        <v>4</v>
      </c>
      <c r="AA198" s="1">
        <v>5</v>
      </c>
      <c r="AB198" s="22">
        <f>Table13[[#This Row],[Rank 1]]+Table13[[#This Row],[Rank 2]]</f>
        <v>9</v>
      </c>
      <c r="AC198" s="1" t="str">
        <f>IF(AND(Table13[[#This Row],[Average score]]&gt;75,Table13[[#This Row],[Total rank]]&gt;6.5),"Yes","No")</f>
        <v>Yes</v>
      </c>
      <c r="AD198" s="1" t="str">
        <f>IF(AND(Table13[[#This Row],[Average score]]&gt;80,Table13[[#This Row],[Total rank]]&gt;7.5),"Yes","No")</f>
        <v>Yes</v>
      </c>
      <c r="AF198" s="8">
        <v>46082</v>
      </c>
      <c r="AG198" s="1">
        <v>2</v>
      </c>
      <c r="AH198" s="27">
        <v>750000</v>
      </c>
      <c r="AI198" s="27">
        <v>750000</v>
      </c>
      <c r="AJ198" s="30">
        <v>0</v>
      </c>
      <c r="AK198" s="30">
        <v>500000</v>
      </c>
      <c r="AL198" s="30">
        <v>500000</v>
      </c>
      <c r="AM198" s="30">
        <f>Table13[[#This Row],[Year 3]]</f>
        <v>0</v>
      </c>
      <c r="AN198" s="1">
        <v>3</v>
      </c>
    </row>
    <row r="199" spans="1:40" hidden="1" x14ac:dyDescent="0.25">
      <c r="A199" s="1" t="s">
        <v>48</v>
      </c>
      <c r="B199" s="1" t="s">
        <v>2058</v>
      </c>
      <c r="C199" s="1" t="s">
        <v>50</v>
      </c>
      <c r="D199" s="1" t="s">
        <v>2059</v>
      </c>
      <c r="E199" s="1" t="s">
        <v>2060</v>
      </c>
      <c r="F199" s="22" t="s">
        <v>3</v>
      </c>
      <c r="G199" s="1" t="s">
        <v>6085</v>
      </c>
      <c r="H199" s="1" t="s">
        <v>6</v>
      </c>
      <c r="I199" s="1" t="s">
        <v>20</v>
      </c>
      <c r="J199" s="1" t="s">
        <v>25</v>
      </c>
      <c r="K199" s="1" t="s">
        <v>9</v>
      </c>
      <c r="L199" s="1" t="s">
        <v>78</v>
      </c>
      <c r="M199" s="11" t="s">
        <v>188</v>
      </c>
      <c r="N199" s="1" t="s">
        <v>6037</v>
      </c>
      <c r="O199" s="1" t="s">
        <v>16</v>
      </c>
      <c r="P199" s="1" t="s">
        <v>3905</v>
      </c>
      <c r="Q199" s="1" t="s">
        <v>5602</v>
      </c>
      <c r="R199" s="1" t="s">
        <v>3906</v>
      </c>
      <c r="S199" s="1" t="s">
        <v>6119</v>
      </c>
      <c r="T199" s="1" t="s">
        <v>6120</v>
      </c>
      <c r="U199" s="1" t="s">
        <v>6129</v>
      </c>
      <c r="V199" s="1" t="s">
        <v>6189</v>
      </c>
      <c r="W199" s="27">
        <v>57.142857142857139</v>
      </c>
      <c r="X199" s="27">
        <v>53.571428571428569</v>
      </c>
      <c r="Y199" s="33">
        <f>AVERAGE(Table13[[#This Row],[Score 1]],Table13[[#This Row],[Score 2]])</f>
        <v>55.357142857142854</v>
      </c>
      <c r="Z199" s="1">
        <v>2</v>
      </c>
      <c r="AA199" s="1">
        <v>2</v>
      </c>
      <c r="AB199" s="22">
        <f>Table13[[#This Row],[Rank 1]]+Table13[[#This Row],[Rank 2]]</f>
        <v>4</v>
      </c>
      <c r="AC199" s="1" t="str">
        <f>IF(AND(Table13[[#This Row],[Average score]]&gt;75,Table13[[#This Row],[Total rank]]&gt;6.5),"Yes","No")</f>
        <v>No</v>
      </c>
      <c r="AD199" s="1" t="str">
        <f>IF(AND(Table13[[#This Row],[Average score]]&gt;80,Table13[[#This Row],[Total rank]]&gt;7.5),"Yes","No")</f>
        <v>No</v>
      </c>
      <c r="AF199" s="8">
        <v>45818</v>
      </c>
      <c r="AG199" s="1">
        <v>1</v>
      </c>
      <c r="AH199" s="27">
        <v>130000</v>
      </c>
      <c r="AI199" s="30">
        <v>0</v>
      </c>
      <c r="AJ199" s="30">
        <v>0</v>
      </c>
      <c r="AK199" s="30">
        <f>Table13[[#This Row],[Year 1]]</f>
        <v>130000</v>
      </c>
      <c r="AL199" s="30">
        <f>Table13[[#This Row],[Year 2]]</f>
        <v>0</v>
      </c>
      <c r="AM199" s="30">
        <f>Table13[[#This Row],[Year 3]]</f>
        <v>0</v>
      </c>
      <c r="AN199" s="1">
        <v>3</v>
      </c>
    </row>
    <row r="200" spans="1:40" hidden="1" x14ac:dyDescent="0.25">
      <c r="A200" s="1" t="s">
        <v>48</v>
      </c>
      <c r="B200" s="1" t="s">
        <v>2061</v>
      </c>
      <c r="C200" s="1" t="s">
        <v>50</v>
      </c>
      <c r="D200" s="1" t="s">
        <v>2062</v>
      </c>
      <c r="E200" s="1" t="s">
        <v>2063</v>
      </c>
      <c r="F200" s="22" t="s">
        <v>3</v>
      </c>
      <c r="G200" s="1" t="s">
        <v>6085</v>
      </c>
      <c r="H200" s="1" t="s">
        <v>7</v>
      </c>
      <c r="I200" s="1" t="s">
        <v>24</v>
      </c>
      <c r="J200" s="1" t="s">
        <v>26</v>
      </c>
      <c r="K200" s="1" t="s">
        <v>9</v>
      </c>
      <c r="L200" s="1" t="s">
        <v>78</v>
      </c>
      <c r="M200" s="11" t="s">
        <v>188</v>
      </c>
      <c r="N200" s="1" t="s">
        <v>6037</v>
      </c>
      <c r="O200" s="1" t="s">
        <v>14</v>
      </c>
      <c r="P200" s="1" t="s">
        <v>1456</v>
      </c>
      <c r="Q200" s="1" t="s">
        <v>5603</v>
      </c>
      <c r="R200" s="1" t="s">
        <v>3907</v>
      </c>
      <c r="S200" s="1" t="s">
        <v>6141</v>
      </c>
      <c r="T200" s="11" t="s">
        <v>6145</v>
      </c>
      <c r="U200" s="1" t="s">
        <v>6165</v>
      </c>
      <c r="V200" s="1" t="s">
        <v>6156</v>
      </c>
      <c r="W200" s="27">
        <v>69.444444444444443</v>
      </c>
      <c r="X200" s="27">
        <v>58.333333333333336</v>
      </c>
      <c r="Y200" s="33">
        <f>AVERAGE(Table13[[#This Row],[Score 1]],Table13[[#This Row],[Score 2]])</f>
        <v>63.888888888888886</v>
      </c>
      <c r="Z200" s="1">
        <v>4</v>
      </c>
      <c r="AA200" s="1">
        <v>3</v>
      </c>
      <c r="AB200" s="22">
        <f>Table13[[#This Row],[Rank 1]]+Table13[[#This Row],[Rank 2]]</f>
        <v>7</v>
      </c>
      <c r="AC200" s="1" t="str">
        <f>IF(AND(Table13[[#This Row],[Average score]]&gt;75,Table13[[#This Row],[Total rank]]&gt;6.5),"Yes","No")</f>
        <v>No</v>
      </c>
      <c r="AD200" s="1" t="str">
        <f>IF(AND(Table13[[#This Row],[Average score]]&gt;80,Table13[[#This Row],[Total rank]]&gt;7.5),"Yes","No")</f>
        <v>No</v>
      </c>
      <c r="AF200" s="8">
        <v>45870</v>
      </c>
      <c r="AG200" s="1">
        <v>1</v>
      </c>
      <c r="AH200" s="27">
        <v>223200</v>
      </c>
      <c r="AI200" s="30">
        <v>0</v>
      </c>
      <c r="AJ200" s="30">
        <v>0</v>
      </c>
      <c r="AK200" s="30">
        <f>Table13[[#This Row],[Year 1]]</f>
        <v>223200</v>
      </c>
      <c r="AL200" s="30">
        <f>Table13[[#This Row],[Year 2]]</f>
        <v>0</v>
      </c>
      <c r="AM200" s="30">
        <f>Table13[[#This Row],[Year 3]]</f>
        <v>0</v>
      </c>
      <c r="AN200" s="1">
        <v>3</v>
      </c>
    </row>
    <row r="201" spans="1:40" hidden="1" x14ac:dyDescent="0.25">
      <c r="A201" s="1" t="s">
        <v>48</v>
      </c>
      <c r="B201" s="10" t="s">
        <v>2064</v>
      </c>
      <c r="C201" s="1" t="s">
        <v>50</v>
      </c>
      <c r="D201" s="1" t="s">
        <v>2065</v>
      </c>
      <c r="E201" s="1" t="s">
        <v>2066</v>
      </c>
      <c r="F201" s="22" t="s">
        <v>3</v>
      </c>
      <c r="G201" s="1" t="s">
        <v>6085</v>
      </c>
      <c r="H201" s="1" t="s">
        <v>6</v>
      </c>
      <c r="I201" s="1" t="s">
        <v>20</v>
      </c>
      <c r="J201" s="1" t="s">
        <v>25</v>
      </c>
      <c r="K201" s="1" t="s">
        <v>9</v>
      </c>
      <c r="L201" s="1" t="s">
        <v>78</v>
      </c>
      <c r="M201" s="11" t="s">
        <v>188</v>
      </c>
      <c r="N201" s="1" t="s">
        <v>6037</v>
      </c>
      <c r="O201" s="1" t="s">
        <v>11</v>
      </c>
      <c r="P201" s="1" t="s">
        <v>247</v>
      </c>
      <c r="Q201" s="1" t="s">
        <v>5604</v>
      </c>
      <c r="R201" s="1" t="s">
        <v>3909</v>
      </c>
      <c r="S201" s="1" t="s">
        <v>6055</v>
      </c>
      <c r="T201" s="1" t="s">
        <v>6056</v>
      </c>
      <c r="U201" s="1" t="s">
        <v>6105</v>
      </c>
      <c r="V201" s="1" t="s">
        <v>6199</v>
      </c>
      <c r="W201" s="27">
        <v>67.857142857142861</v>
      </c>
      <c r="X201" s="27">
        <v>67.857142857142861</v>
      </c>
      <c r="Y201" s="33">
        <f>AVERAGE(Table13[[#This Row],[Score 1]],Table13[[#This Row],[Score 2]])</f>
        <v>67.857142857142861</v>
      </c>
      <c r="Z201" s="1">
        <v>3</v>
      </c>
      <c r="AA201" s="1">
        <v>3</v>
      </c>
      <c r="AB201" s="22">
        <f>Table13[[#This Row],[Rank 1]]+Table13[[#This Row],[Rank 2]]</f>
        <v>6</v>
      </c>
      <c r="AC201" s="1" t="str">
        <f>IF(AND(Table13[[#This Row],[Average score]]&gt;75,Table13[[#This Row],[Total rank]]&gt;6.5),"Yes","No")</f>
        <v>No</v>
      </c>
      <c r="AD201" s="1" t="str">
        <f>IF(AND(Table13[[#This Row],[Average score]]&gt;80,Table13[[#This Row],[Total rank]]&gt;7.5),"Yes","No")</f>
        <v>No</v>
      </c>
      <c r="AF201" s="8">
        <v>46062</v>
      </c>
      <c r="AG201" s="1">
        <v>1</v>
      </c>
      <c r="AH201" s="27">
        <v>181466</v>
      </c>
      <c r="AI201" s="30">
        <v>0</v>
      </c>
      <c r="AJ201" s="30">
        <v>0</v>
      </c>
      <c r="AK201" s="30">
        <f>Table13[[#This Row],[Year 1]]</f>
        <v>181466</v>
      </c>
      <c r="AL201" s="30">
        <f>Table13[[#This Row],[Year 2]]</f>
        <v>0</v>
      </c>
      <c r="AM201" s="30">
        <f>Table13[[#This Row],[Year 3]]</f>
        <v>0</v>
      </c>
      <c r="AN201" s="1">
        <v>3</v>
      </c>
    </row>
    <row r="202" spans="1:40" hidden="1" x14ac:dyDescent="0.25">
      <c r="A202" s="1" t="s">
        <v>48</v>
      </c>
      <c r="B202" s="1" t="s">
        <v>2073</v>
      </c>
      <c r="C202" s="1" t="s">
        <v>50</v>
      </c>
      <c r="D202" s="1" t="s">
        <v>2074</v>
      </c>
      <c r="E202" s="1" t="s">
        <v>2075</v>
      </c>
      <c r="F202" s="22" t="s">
        <v>3</v>
      </c>
      <c r="G202" s="1" t="s">
        <v>6085</v>
      </c>
      <c r="H202" s="1" t="s">
        <v>5</v>
      </c>
      <c r="I202" s="1" t="s">
        <v>20</v>
      </c>
      <c r="J202" s="1" t="s">
        <v>25</v>
      </c>
      <c r="K202" s="1" t="s">
        <v>9</v>
      </c>
      <c r="L202" s="1" t="s">
        <v>78</v>
      </c>
      <c r="M202" s="11" t="s">
        <v>188</v>
      </c>
      <c r="N202" s="1" t="s">
        <v>6037</v>
      </c>
      <c r="O202" s="1" t="s">
        <v>13</v>
      </c>
      <c r="P202" s="1" t="s">
        <v>126</v>
      </c>
      <c r="Q202" s="1" t="s">
        <v>5384</v>
      </c>
      <c r="R202" s="1" t="s">
        <v>3915</v>
      </c>
      <c r="S202" s="1" t="s">
        <v>6081</v>
      </c>
      <c r="T202" s="1" t="s">
        <v>6082</v>
      </c>
      <c r="U202" s="1" t="s">
        <v>6097</v>
      </c>
      <c r="V202" s="1" t="s">
        <v>6188</v>
      </c>
      <c r="W202" s="27">
        <v>85.714285714285708</v>
      </c>
      <c r="X202" s="27">
        <v>96.428571428571431</v>
      </c>
      <c r="Y202" s="33">
        <f>AVERAGE(Table13[[#This Row],[Score 1]],Table13[[#This Row],[Score 2]])</f>
        <v>91.071428571428569</v>
      </c>
      <c r="Z202" s="1">
        <v>4</v>
      </c>
      <c r="AA202" s="1">
        <v>5</v>
      </c>
      <c r="AB202" s="22">
        <f>Table13[[#This Row],[Rank 1]]+Table13[[#This Row],[Rank 2]]</f>
        <v>9</v>
      </c>
      <c r="AC202" s="1" t="str">
        <f>IF(AND(Table13[[#This Row],[Average score]]&gt;75,Table13[[#This Row],[Total rank]]&gt;6.5),"Yes","No")</f>
        <v>Yes</v>
      </c>
      <c r="AD202" s="1" t="str">
        <f>IF(AND(Table13[[#This Row],[Average score]]&gt;80,Table13[[#This Row],[Total rank]]&gt;7.5),"Yes","No")</f>
        <v>Yes</v>
      </c>
      <c r="AF202" s="8">
        <v>46035</v>
      </c>
      <c r="AG202" s="1">
        <v>2</v>
      </c>
      <c r="AH202" s="27">
        <v>224049.92000000001</v>
      </c>
      <c r="AI202" s="27">
        <v>212461.73</v>
      </c>
      <c r="AJ202" s="27">
        <v>28000</v>
      </c>
      <c r="AK202" s="27">
        <f>Table13[[#This Row],[Year 1]]</f>
        <v>224049.92000000001</v>
      </c>
      <c r="AL202" s="27">
        <f>Table13[[#This Row],[Year 2]]</f>
        <v>212461.73</v>
      </c>
      <c r="AM202" s="27">
        <f>Table13[[#This Row],[Year 3]]</f>
        <v>28000</v>
      </c>
      <c r="AN202" s="1">
        <v>3</v>
      </c>
    </row>
    <row r="203" spans="1:40" hidden="1" x14ac:dyDescent="0.25">
      <c r="A203" s="1" t="s">
        <v>48</v>
      </c>
      <c r="B203" s="1" t="s">
        <v>2076</v>
      </c>
      <c r="C203" s="1" t="s">
        <v>50</v>
      </c>
      <c r="D203" s="1" t="s">
        <v>2077</v>
      </c>
      <c r="E203" s="1" t="s">
        <v>2078</v>
      </c>
      <c r="F203" s="22" t="s">
        <v>3</v>
      </c>
      <c r="G203" s="1" t="s">
        <v>6085</v>
      </c>
      <c r="H203" s="1" t="s">
        <v>5</v>
      </c>
      <c r="I203" s="1" t="s">
        <v>24</v>
      </c>
      <c r="J203" s="1" t="s">
        <v>26</v>
      </c>
      <c r="K203" s="1" t="s">
        <v>9</v>
      </c>
      <c r="L203" s="1" t="s">
        <v>78</v>
      </c>
      <c r="M203" s="11" t="s">
        <v>188</v>
      </c>
      <c r="N203" s="1" t="s">
        <v>6037</v>
      </c>
      <c r="O203" s="1" t="s">
        <v>16</v>
      </c>
      <c r="P203" s="1" t="s">
        <v>1456</v>
      </c>
      <c r="Q203" s="1" t="s">
        <v>5606</v>
      </c>
      <c r="R203" s="1" t="s">
        <v>3919</v>
      </c>
      <c r="S203" s="1" t="s">
        <v>6109</v>
      </c>
      <c r="T203" s="1" t="s">
        <v>6124</v>
      </c>
      <c r="U203" s="1" t="s">
        <v>6125</v>
      </c>
      <c r="V203" s="1" t="s">
        <v>6132</v>
      </c>
      <c r="W203" s="27">
        <v>53.571428571428569</v>
      </c>
      <c r="X203" s="27">
        <v>82.142857142857139</v>
      </c>
      <c r="Y203" s="33">
        <f>AVERAGE(Table13[[#This Row],[Score 1]],Table13[[#This Row],[Score 2]])</f>
        <v>67.857142857142861</v>
      </c>
      <c r="Z203" s="1">
        <v>2</v>
      </c>
      <c r="AA203" s="1">
        <v>5</v>
      </c>
      <c r="AB203" s="22">
        <f>Table13[[#This Row],[Rank 1]]+Table13[[#This Row],[Rank 2]]</f>
        <v>7</v>
      </c>
      <c r="AC203" s="1" t="str">
        <f>IF(AND(Table13[[#This Row],[Average score]]&gt;75,Table13[[#This Row],[Total rank]]&gt;6.5),"Yes","No")</f>
        <v>No</v>
      </c>
      <c r="AD203" s="1" t="str">
        <f>IF(AND(Table13[[#This Row],[Average score]]&gt;80,Table13[[#This Row],[Total rank]]&gt;7.5),"Yes","No")</f>
        <v>No</v>
      </c>
      <c r="AF203" s="8">
        <v>45689</v>
      </c>
      <c r="AG203" s="1">
        <v>2</v>
      </c>
      <c r="AH203" s="27">
        <v>103720</v>
      </c>
      <c r="AI203" s="27">
        <v>65170</v>
      </c>
      <c r="AJ203" s="30">
        <v>0</v>
      </c>
      <c r="AK203" s="30">
        <f>Table13[[#This Row],[Year 1]]</f>
        <v>103720</v>
      </c>
      <c r="AL203" s="30">
        <f>Table13[[#This Row],[Year 2]]</f>
        <v>65170</v>
      </c>
      <c r="AM203" s="30">
        <f>Table13[[#This Row],[Year 3]]</f>
        <v>0</v>
      </c>
      <c r="AN203" s="1">
        <v>3</v>
      </c>
    </row>
    <row r="204" spans="1:40" hidden="1" x14ac:dyDescent="0.25">
      <c r="A204" s="1" t="s">
        <v>48</v>
      </c>
      <c r="B204" s="1" t="s">
        <v>2079</v>
      </c>
      <c r="C204" s="1" t="s">
        <v>50</v>
      </c>
      <c r="D204" s="1" t="s">
        <v>2080</v>
      </c>
      <c r="E204" s="1" t="s">
        <v>2081</v>
      </c>
      <c r="F204" s="22" t="s">
        <v>3</v>
      </c>
      <c r="G204" s="1" t="s">
        <v>6085</v>
      </c>
      <c r="H204" s="1" t="s">
        <v>7</v>
      </c>
      <c r="I204" s="1" t="s">
        <v>24</v>
      </c>
      <c r="J204" s="1" t="s">
        <v>25</v>
      </c>
      <c r="K204" s="1" t="s">
        <v>9</v>
      </c>
      <c r="L204" s="1" t="s">
        <v>78</v>
      </c>
      <c r="M204" s="11" t="s">
        <v>188</v>
      </c>
      <c r="N204" s="1" t="s">
        <v>6037</v>
      </c>
      <c r="O204" s="1" t="s">
        <v>13</v>
      </c>
      <c r="P204" s="1" t="s">
        <v>1456</v>
      </c>
      <c r="Q204" s="1" t="s">
        <v>5607</v>
      </c>
      <c r="R204" s="1" t="s">
        <v>3922</v>
      </c>
      <c r="S204" s="1" t="s">
        <v>6072</v>
      </c>
      <c r="T204" s="1" t="s">
        <v>6073</v>
      </c>
      <c r="U204" s="1" t="s">
        <v>6092</v>
      </c>
      <c r="V204" s="1" t="s">
        <v>6176</v>
      </c>
      <c r="W204" s="27">
        <v>83.333333333333343</v>
      </c>
      <c r="X204" s="27">
        <v>97.222222222222214</v>
      </c>
      <c r="Y204" s="33">
        <f>AVERAGE(Table13[[#This Row],[Score 1]],Table13[[#This Row],[Score 2]])</f>
        <v>90.277777777777771</v>
      </c>
      <c r="Z204" s="1">
        <v>3</v>
      </c>
      <c r="AA204" s="1">
        <v>5</v>
      </c>
      <c r="AB204" s="22">
        <f>Table13[[#This Row],[Rank 1]]+Table13[[#This Row],[Rank 2]]</f>
        <v>8</v>
      </c>
      <c r="AC204" s="1" t="str">
        <f>IF(AND(Table13[[#This Row],[Average score]]&gt;75,Table13[[#This Row],[Total rank]]&gt;6.5),"Yes","No")</f>
        <v>Yes</v>
      </c>
      <c r="AD204" s="1" t="str">
        <f>IF(AND(Table13[[#This Row],[Average score]]&gt;80,Table13[[#This Row],[Total rank]]&gt;7.5),"Yes","No")</f>
        <v>Yes</v>
      </c>
      <c r="AE204" s="1" t="s">
        <v>6223</v>
      </c>
      <c r="AF204" s="8">
        <v>46023</v>
      </c>
      <c r="AG204" s="1">
        <v>2</v>
      </c>
      <c r="AH204" s="27">
        <v>466000</v>
      </c>
      <c r="AI204" s="27">
        <v>495000</v>
      </c>
      <c r="AJ204" s="30">
        <v>0</v>
      </c>
      <c r="AK204" s="30">
        <f>Table13[[#This Row],[Year 1]]</f>
        <v>466000</v>
      </c>
      <c r="AL204" s="30">
        <f>Table13[[#This Row],[Year 2]]</f>
        <v>495000</v>
      </c>
      <c r="AM204" s="30">
        <f>Table13[[#This Row],[Year 3]]</f>
        <v>0</v>
      </c>
      <c r="AN204" s="1">
        <v>3</v>
      </c>
    </row>
    <row r="205" spans="1:40" hidden="1" x14ac:dyDescent="0.25">
      <c r="A205" s="1" t="s">
        <v>48</v>
      </c>
      <c r="B205" s="1" t="s">
        <v>2082</v>
      </c>
      <c r="C205" s="1" t="s">
        <v>50</v>
      </c>
      <c r="D205" s="1" t="s">
        <v>2083</v>
      </c>
      <c r="E205" s="1" t="s">
        <v>2084</v>
      </c>
      <c r="F205" s="22" t="s">
        <v>3</v>
      </c>
      <c r="G205" s="1" t="s">
        <v>6085</v>
      </c>
      <c r="H205" s="1" t="s">
        <v>6</v>
      </c>
      <c r="I205" s="1" t="s">
        <v>20</v>
      </c>
      <c r="J205" s="1" t="s">
        <v>25</v>
      </c>
      <c r="K205" s="1" t="s">
        <v>9</v>
      </c>
      <c r="L205" s="1" t="s">
        <v>78</v>
      </c>
      <c r="M205" s="11" t="s">
        <v>188</v>
      </c>
      <c r="N205" s="1" t="s">
        <v>6037</v>
      </c>
      <c r="O205" s="1" t="s">
        <v>13</v>
      </c>
      <c r="P205" s="1" t="s">
        <v>213</v>
      </c>
      <c r="Q205" s="1" t="s">
        <v>5608</v>
      </c>
      <c r="R205" s="1" t="s">
        <v>3924</v>
      </c>
      <c r="S205" s="1" t="s">
        <v>6072</v>
      </c>
      <c r="T205" s="1" t="s">
        <v>6073</v>
      </c>
      <c r="U205" s="1" t="s">
        <v>6092</v>
      </c>
      <c r="V205" s="1" t="s">
        <v>6176</v>
      </c>
      <c r="W205" s="27">
        <v>50</v>
      </c>
      <c r="X205" s="27">
        <v>60.714285714285708</v>
      </c>
      <c r="Y205" s="33">
        <f>AVERAGE(Table13[[#This Row],[Score 1]],Table13[[#This Row],[Score 2]])</f>
        <v>55.357142857142854</v>
      </c>
      <c r="Z205" s="1">
        <v>1</v>
      </c>
      <c r="AA205" s="1">
        <v>2</v>
      </c>
      <c r="AB205" s="22">
        <f>Table13[[#This Row],[Rank 1]]+Table13[[#This Row],[Rank 2]]</f>
        <v>3</v>
      </c>
      <c r="AC205" s="1" t="str">
        <f>IF(AND(Table13[[#This Row],[Average score]]&gt;75,Table13[[#This Row],[Total rank]]&gt;6.5),"Yes","No")</f>
        <v>No</v>
      </c>
      <c r="AD205" s="1" t="str">
        <f>IF(AND(Table13[[#This Row],[Average score]]&gt;80,Table13[[#This Row],[Total rank]]&gt;7.5),"Yes","No")</f>
        <v>No</v>
      </c>
      <c r="AF205" s="8">
        <v>45692</v>
      </c>
      <c r="AG205" s="1">
        <v>1</v>
      </c>
      <c r="AH205" s="27">
        <v>188045</v>
      </c>
      <c r="AI205" s="30">
        <v>0</v>
      </c>
      <c r="AJ205" s="30">
        <v>0</v>
      </c>
      <c r="AK205" s="30">
        <f>Table13[[#This Row],[Year 1]]</f>
        <v>188045</v>
      </c>
      <c r="AL205" s="30">
        <f>Table13[[#This Row],[Year 2]]</f>
        <v>0</v>
      </c>
      <c r="AM205" s="30">
        <f>Table13[[#This Row],[Year 3]]</f>
        <v>0</v>
      </c>
      <c r="AN205" s="1">
        <v>3</v>
      </c>
    </row>
    <row r="206" spans="1:40" hidden="1" x14ac:dyDescent="0.25">
      <c r="A206" s="11" t="s">
        <v>48</v>
      </c>
      <c r="B206" s="1" t="s">
        <v>2085</v>
      </c>
      <c r="C206" s="11" t="s">
        <v>50</v>
      </c>
      <c r="D206" s="1" t="s">
        <v>2086</v>
      </c>
      <c r="E206" s="11" t="s">
        <v>2087</v>
      </c>
      <c r="F206" s="22" t="s">
        <v>3</v>
      </c>
      <c r="G206" s="1" t="s">
        <v>6085</v>
      </c>
      <c r="H206" s="1" t="s">
        <v>6</v>
      </c>
      <c r="I206" s="11" t="s">
        <v>20</v>
      </c>
      <c r="J206" s="11" t="s">
        <v>25</v>
      </c>
      <c r="K206" s="11" t="s">
        <v>9</v>
      </c>
      <c r="L206" s="11" t="s">
        <v>78</v>
      </c>
      <c r="M206" s="11" t="s">
        <v>188</v>
      </c>
      <c r="N206" s="1" t="s">
        <v>6037</v>
      </c>
      <c r="O206" s="1" t="s">
        <v>19</v>
      </c>
      <c r="P206" s="1" t="s">
        <v>175</v>
      </c>
      <c r="Q206" s="1" t="s">
        <v>5306</v>
      </c>
      <c r="R206" s="1" t="s">
        <v>3926</v>
      </c>
      <c r="S206" s="1" t="s">
        <v>6133</v>
      </c>
      <c r="T206" s="1" t="s">
        <v>6150</v>
      </c>
      <c r="U206" s="1" t="s">
        <v>6158</v>
      </c>
      <c r="V206" s="1" t="s">
        <v>6094</v>
      </c>
      <c r="W206" s="27">
        <v>78.571428571428569</v>
      </c>
      <c r="X206" s="27">
        <v>85.714285714285708</v>
      </c>
      <c r="Y206" s="33">
        <f>AVERAGE(Table13[[#This Row],[Score 1]],Table13[[#This Row],[Score 2]])</f>
        <v>82.142857142857139</v>
      </c>
      <c r="Z206" s="1">
        <v>2</v>
      </c>
      <c r="AA206" s="1">
        <v>2</v>
      </c>
      <c r="AB206" s="22">
        <f>Table13[[#This Row],[Rank 1]]+Table13[[#This Row],[Rank 2]]</f>
        <v>4</v>
      </c>
      <c r="AC206" s="1" t="str">
        <f>IF(AND(Table13[[#This Row],[Average score]]&gt;75,Table13[[#This Row],[Total rank]]&gt;6.5),"Yes","No")</f>
        <v>No</v>
      </c>
      <c r="AD206" s="1" t="str">
        <f>IF(AND(Table13[[#This Row],[Average score]]&gt;80,Table13[[#This Row],[Total rank]]&gt;7.5),"Yes","No")</f>
        <v>No</v>
      </c>
      <c r="AF206" s="8">
        <v>42783</v>
      </c>
      <c r="AG206" s="1">
        <v>1</v>
      </c>
      <c r="AH206" s="27">
        <v>-18713</v>
      </c>
      <c r="AI206" s="30">
        <v>0</v>
      </c>
      <c r="AJ206" s="30">
        <v>0</v>
      </c>
      <c r="AK206" s="30">
        <f>Table13[[#This Row],[Year 1]]</f>
        <v>-18713</v>
      </c>
      <c r="AL206" s="30">
        <f>Table13[[#This Row],[Year 2]]</f>
        <v>0</v>
      </c>
      <c r="AM206" s="30">
        <f>Table13[[#This Row],[Year 3]]</f>
        <v>0</v>
      </c>
      <c r="AN206" s="1">
        <v>3</v>
      </c>
    </row>
    <row r="207" spans="1:40" x14ac:dyDescent="0.25">
      <c r="A207" s="1" t="s">
        <v>48</v>
      </c>
      <c r="B207" s="2" t="s">
        <v>2092</v>
      </c>
      <c r="C207" s="1" t="s">
        <v>50</v>
      </c>
      <c r="D207" s="1" t="s">
        <v>2636</v>
      </c>
      <c r="E207" s="1" t="s">
        <v>2637</v>
      </c>
      <c r="F207" s="22" t="s">
        <v>3</v>
      </c>
      <c r="G207" s="1" t="s">
        <v>6085</v>
      </c>
      <c r="H207" s="1" t="s">
        <v>7</v>
      </c>
      <c r="I207" s="1" t="s">
        <v>20</v>
      </c>
      <c r="J207" s="1" t="s">
        <v>26</v>
      </c>
      <c r="K207" s="1" t="s">
        <v>9</v>
      </c>
      <c r="L207" s="1" t="s">
        <v>53</v>
      </c>
      <c r="M207" s="11" t="s">
        <v>188</v>
      </c>
      <c r="N207" s="1" t="s">
        <v>6037</v>
      </c>
      <c r="O207" s="1" t="s">
        <v>13</v>
      </c>
      <c r="P207" s="1" t="s">
        <v>66</v>
      </c>
      <c r="Q207" s="1" t="s">
        <v>7</v>
      </c>
      <c r="R207" s="1" t="s">
        <v>3942</v>
      </c>
      <c r="S207" s="1" t="s">
        <v>6066</v>
      </c>
      <c r="T207" s="1" t="s">
        <v>6067</v>
      </c>
      <c r="U207" s="1" t="s">
        <v>6103</v>
      </c>
      <c r="V207" s="1" t="s">
        <v>6198</v>
      </c>
      <c r="W207" s="27">
        <v>91.666666666666657</v>
      </c>
      <c r="X207" s="29">
        <f>Table13[[#This Row],[Score 1]]</f>
        <v>91.666666666666657</v>
      </c>
      <c r="Y207" s="33">
        <f>AVERAGE(Table13[[#This Row],[Score 1]],Table13[[#This Row],[Score 2]])</f>
        <v>91.666666666666657</v>
      </c>
      <c r="Z207" s="1">
        <v>5</v>
      </c>
      <c r="AA207" s="2">
        <f>Table13[[#This Row],[Rank 1]]</f>
        <v>5</v>
      </c>
      <c r="AB207" s="22">
        <f>Table13[[#This Row],[Rank 1]]+Table13[[#This Row],[Rank 2]]</f>
        <v>10</v>
      </c>
      <c r="AC207" s="1" t="str">
        <f>IF(AND(Table13[[#This Row],[Average score]]&gt;75,Table13[[#This Row],[Total rank]]&gt;6.5),"Yes","No")</f>
        <v>Yes</v>
      </c>
      <c r="AD207" s="1" t="str">
        <f>IF(AND(Table13[[#This Row],[Average score]]&gt;80,Table13[[#This Row],[Total rank]]&gt;7.5),"Yes","No")</f>
        <v>Yes</v>
      </c>
      <c r="AE207" s="1" t="s">
        <v>6221</v>
      </c>
      <c r="AF207" s="8">
        <v>46023</v>
      </c>
      <c r="AG207" s="1">
        <v>2</v>
      </c>
      <c r="AH207" s="30">
        <v>444000</v>
      </c>
      <c r="AI207" s="27">
        <v>444000</v>
      </c>
      <c r="AJ207" s="30">
        <v>0</v>
      </c>
      <c r="AK207" s="30">
        <f>Table13[[#This Row],[Year 1]]</f>
        <v>444000</v>
      </c>
      <c r="AL207" s="30">
        <f>Table13[[#This Row],[Year 2]]</f>
        <v>444000</v>
      </c>
      <c r="AM207" s="30">
        <f>Table13[[#This Row],[Year 3]]</f>
        <v>0</v>
      </c>
      <c r="AN207" s="1">
        <v>3</v>
      </c>
    </row>
    <row r="208" spans="1:40" hidden="1" x14ac:dyDescent="0.25">
      <c r="A208" s="1" t="s">
        <v>48</v>
      </c>
      <c r="B208" s="1" t="s">
        <v>2093</v>
      </c>
      <c r="C208" s="1" t="s">
        <v>50</v>
      </c>
      <c r="D208" s="1" t="s">
        <v>2638</v>
      </c>
      <c r="E208" s="1" t="s">
        <v>2639</v>
      </c>
      <c r="F208" s="22" t="s">
        <v>3</v>
      </c>
      <c r="G208" s="1" t="s">
        <v>6085</v>
      </c>
      <c r="H208" s="1" t="s">
        <v>5</v>
      </c>
      <c r="I208" s="1" t="s">
        <v>20</v>
      </c>
      <c r="J208" s="1" t="s">
        <v>26</v>
      </c>
      <c r="K208" s="1" t="s">
        <v>9</v>
      </c>
      <c r="L208" s="1" t="s">
        <v>53</v>
      </c>
      <c r="M208" s="11" t="s">
        <v>188</v>
      </c>
      <c r="N208" s="1" t="s">
        <v>6037</v>
      </c>
      <c r="O208" s="1" t="s">
        <v>13</v>
      </c>
      <c r="P208" s="1" t="s">
        <v>3944</v>
      </c>
      <c r="Q208" s="1" t="s">
        <v>5609</v>
      </c>
      <c r="R208" s="1" t="s">
        <v>3945</v>
      </c>
      <c r="S208" s="1" t="s">
        <v>6072</v>
      </c>
      <c r="T208" s="1" t="s">
        <v>6073</v>
      </c>
      <c r="U208" s="1" t="s">
        <v>6092</v>
      </c>
      <c r="V208" s="1" t="s">
        <v>6176</v>
      </c>
      <c r="W208" s="27">
        <v>64.285714285714292</v>
      </c>
      <c r="X208" s="27">
        <v>75</v>
      </c>
      <c r="Y208" s="33">
        <f>AVERAGE(Table13[[#This Row],[Score 1]],Table13[[#This Row],[Score 2]])</f>
        <v>69.642857142857139</v>
      </c>
      <c r="Z208" s="1">
        <v>1</v>
      </c>
      <c r="AA208" s="1">
        <v>3</v>
      </c>
      <c r="AB208" s="22">
        <f>Table13[[#This Row],[Rank 1]]+Table13[[#This Row],[Rank 2]]</f>
        <v>4</v>
      </c>
      <c r="AC208" s="1" t="str">
        <f>IF(AND(Table13[[#This Row],[Average score]]&gt;75,Table13[[#This Row],[Total rank]]&gt;6.5),"Yes","No")</f>
        <v>No</v>
      </c>
      <c r="AD208" s="1" t="str">
        <f>IF(AND(Table13[[#This Row],[Average score]]&gt;80,Table13[[#This Row],[Total rank]]&gt;7.5),"Yes","No")</f>
        <v>No</v>
      </c>
      <c r="AF208" s="8">
        <v>45658</v>
      </c>
      <c r="AG208" s="1">
        <v>3</v>
      </c>
      <c r="AH208" s="27">
        <v>99370</v>
      </c>
      <c r="AI208" s="27">
        <v>50370</v>
      </c>
      <c r="AJ208" s="27">
        <v>36670</v>
      </c>
      <c r="AK208" s="27">
        <f>Table13[[#This Row],[Year 1]]</f>
        <v>99370</v>
      </c>
      <c r="AL208" s="27">
        <f>Table13[[#This Row],[Year 2]]</f>
        <v>50370</v>
      </c>
      <c r="AM208" s="27">
        <f>Table13[[#This Row],[Year 3]]</f>
        <v>36670</v>
      </c>
      <c r="AN208" s="1">
        <v>3</v>
      </c>
    </row>
    <row r="209" spans="1:40" hidden="1" x14ac:dyDescent="0.25">
      <c r="A209" s="1" t="s">
        <v>48</v>
      </c>
      <c r="B209" s="1" t="s">
        <v>2095</v>
      </c>
      <c r="C209" s="1" t="s">
        <v>50</v>
      </c>
      <c r="D209" s="1" t="s">
        <v>2642</v>
      </c>
      <c r="E209" s="1" t="s">
        <v>2643</v>
      </c>
      <c r="F209" s="22" t="s">
        <v>3</v>
      </c>
      <c r="G209" s="1" t="s">
        <v>6085</v>
      </c>
      <c r="H209" s="1" t="s">
        <v>6</v>
      </c>
      <c r="I209" s="1" t="s">
        <v>20</v>
      </c>
      <c r="J209" s="1" t="s">
        <v>26</v>
      </c>
      <c r="K209" s="1" t="s">
        <v>9</v>
      </c>
      <c r="L209" s="1" t="s">
        <v>53</v>
      </c>
      <c r="M209" s="11" t="s">
        <v>188</v>
      </c>
      <c r="N209" s="1" t="s">
        <v>6037</v>
      </c>
      <c r="O209" s="1" t="s">
        <v>13</v>
      </c>
      <c r="P209" s="1" t="s">
        <v>247</v>
      </c>
      <c r="Q209" s="1" t="s">
        <v>5610</v>
      </c>
      <c r="R209" s="1" t="s">
        <v>3950</v>
      </c>
      <c r="S209" s="1" t="s">
        <v>6081</v>
      </c>
      <c r="T209" s="1" t="s">
        <v>6082</v>
      </c>
      <c r="U209" s="1" t="s">
        <v>6097</v>
      </c>
      <c r="V209" s="1" t="s">
        <v>6188</v>
      </c>
      <c r="W209" s="27">
        <v>57.142857142857139</v>
      </c>
      <c r="X209" s="27">
        <v>42.857142857142854</v>
      </c>
      <c r="Y209" s="33">
        <f>AVERAGE(Table13[[#This Row],[Score 1]],Table13[[#This Row],[Score 2]])</f>
        <v>50</v>
      </c>
      <c r="Z209" s="1">
        <v>2</v>
      </c>
      <c r="AA209" s="1">
        <v>1</v>
      </c>
      <c r="AB209" s="22">
        <f>Table13[[#This Row],[Rank 1]]+Table13[[#This Row],[Rank 2]]</f>
        <v>3</v>
      </c>
      <c r="AC209" s="1" t="str">
        <f>IF(AND(Table13[[#This Row],[Average score]]&gt;75,Table13[[#This Row],[Total rank]]&gt;6.5),"Yes","No")</f>
        <v>No</v>
      </c>
      <c r="AD209" s="1" t="str">
        <f>IF(AND(Table13[[#This Row],[Average score]]&gt;80,Table13[[#This Row],[Total rank]]&gt;7.5),"Yes","No")</f>
        <v>No</v>
      </c>
      <c r="AF209" s="8">
        <v>45672</v>
      </c>
      <c r="AG209" s="1">
        <v>2</v>
      </c>
      <c r="AH209" s="27">
        <v>170000</v>
      </c>
      <c r="AI209" s="27">
        <v>170000</v>
      </c>
      <c r="AJ209" s="30">
        <v>0</v>
      </c>
      <c r="AK209" s="30">
        <f>Table13[[#This Row],[Year 1]]</f>
        <v>170000</v>
      </c>
      <c r="AL209" s="30">
        <f>Table13[[#This Row],[Year 2]]</f>
        <v>170000</v>
      </c>
      <c r="AM209" s="30">
        <f>Table13[[#This Row],[Year 3]]</f>
        <v>0</v>
      </c>
      <c r="AN209" s="1">
        <v>3</v>
      </c>
    </row>
    <row r="210" spans="1:40" hidden="1" x14ac:dyDescent="0.25">
      <c r="A210" s="1" t="s">
        <v>48</v>
      </c>
      <c r="B210" s="1" t="s">
        <v>2096</v>
      </c>
      <c r="C210" s="1" t="s">
        <v>50</v>
      </c>
      <c r="D210" s="1" t="s">
        <v>2644</v>
      </c>
      <c r="E210" s="1" t="s">
        <v>2645</v>
      </c>
      <c r="F210" s="22" t="s">
        <v>2</v>
      </c>
      <c r="G210" s="1" t="s">
        <v>6085</v>
      </c>
      <c r="H210" s="1" t="s">
        <v>6</v>
      </c>
      <c r="I210" s="1" t="s">
        <v>20</v>
      </c>
      <c r="J210" s="1" t="s">
        <v>25</v>
      </c>
      <c r="K210" s="1" t="s">
        <v>9</v>
      </c>
      <c r="L210" s="1" t="s">
        <v>53</v>
      </c>
      <c r="M210" s="11" t="s">
        <v>188</v>
      </c>
      <c r="N210" s="1" t="s">
        <v>6037</v>
      </c>
      <c r="O210" s="1" t="s">
        <v>19</v>
      </c>
      <c r="P210" s="1" t="s">
        <v>761</v>
      </c>
      <c r="Q210" s="18" t="s">
        <v>5611</v>
      </c>
      <c r="R210" s="1" t="s">
        <v>3951</v>
      </c>
      <c r="S210" s="1" t="s">
        <v>6133</v>
      </c>
      <c r="T210" s="1" t="s">
        <v>6134</v>
      </c>
      <c r="U210" s="1" t="s">
        <v>6094</v>
      </c>
      <c r="V210" s="1" t="s">
        <v>6184</v>
      </c>
      <c r="W210" s="27">
        <v>71.428571428571431</v>
      </c>
      <c r="X210" s="27">
        <v>53.571428571428569</v>
      </c>
      <c r="Y210" s="33">
        <f>AVERAGE(Table13[[#This Row],[Score 1]],Table13[[#This Row],[Score 2]])</f>
        <v>62.5</v>
      </c>
      <c r="Z210" s="1">
        <v>3</v>
      </c>
      <c r="AA210" s="1">
        <v>2</v>
      </c>
      <c r="AB210" s="22">
        <f>Table13[[#This Row],[Rank 1]]+Table13[[#This Row],[Rank 2]]</f>
        <v>5</v>
      </c>
      <c r="AC210" s="1" t="str">
        <f>IF(AND(Table13[[#This Row],[Average score]]&gt;75,Table13[[#This Row],[Total rank]]&gt;6.5),"Yes","No")</f>
        <v>No</v>
      </c>
      <c r="AD210" s="1" t="str">
        <f>IF(AND(Table13[[#This Row],[Average score]]&gt;80,Table13[[#This Row],[Total rank]]&gt;7.5),"Yes","No")</f>
        <v>No</v>
      </c>
      <c r="AF210" s="8">
        <v>46023</v>
      </c>
      <c r="AG210" s="1">
        <v>1</v>
      </c>
      <c r="AH210" s="27">
        <v>51000</v>
      </c>
      <c r="AI210" s="30">
        <v>0</v>
      </c>
      <c r="AJ210" s="30">
        <v>0</v>
      </c>
      <c r="AK210" s="30">
        <f>Table13[[#This Row],[Year 1]]</f>
        <v>51000</v>
      </c>
      <c r="AL210" s="30">
        <f>Table13[[#This Row],[Year 2]]</f>
        <v>0</v>
      </c>
      <c r="AM210" s="30">
        <f>Table13[[#This Row],[Year 3]]</f>
        <v>0</v>
      </c>
      <c r="AN210" s="1">
        <v>3</v>
      </c>
    </row>
    <row r="211" spans="1:40" hidden="1" x14ac:dyDescent="0.25">
      <c r="A211" s="1" t="s">
        <v>48</v>
      </c>
      <c r="B211" s="1" t="s">
        <v>2097</v>
      </c>
      <c r="C211" s="1" t="s">
        <v>50</v>
      </c>
      <c r="D211" s="1" t="s">
        <v>2646</v>
      </c>
      <c r="E211" s="1" t="s">
        <v>2647</v>
      </c>
      <c r="F211" s="22" t="s">
        <v>3</v>
      </c>
      <c r="G211" s="1" t="s">
        <v>6085</v>
      </c>
      <c r="H211" s="1" t="s">
        <v>6</v>
      </c>
      <c r="I211" s="1" t="s">
        <v>21</v>
      </c>
      <c r="J211" s="1" t="s">
        <v>25</v>
      </c>
      <c r="K211" s="1" t="s">
        <v>9</v>
      </c>
      <c r="L211" s="1" t="s">
        <v>53</v>
      </c>
      <c r="M211" s="1" t="s">
        <v>1190</v>
      </c>
      <c r="N211" s="1" t="s">
        <v>6037</v>
      </c>
      <c r="O211" s="1" t="s">
        <v>14</v>
      </c>
      <c r="P211" s="1" t="s">
        <v>421</v>
      </c>
      <c r="Q211" s="1" t="s">
        <v>5284</v>
      </c>
      <c r="R211" s="1" t="s">
        <v>3953</v>
      </c>
      <c r="S211" s="1" t="s">
        <v>6145</v>
      </c>
      <c r="T211" s="1" t="s">
        <v>6146</v>
      </c>
      <c r="U211" s="1" t="s">
        <v>6156</v>
      </c>
      <c r="V211" s="1" t="s">
        <v>6169</v>
      </c>
      <c r="W211" s="27">
        <v>71.428571428571431</v>
      </c>
      <c r="X211" s="27">
        <v>75</v>
      </c>
      <c r="Y211" s="33">
        <f>AVERAGE(Table13[[#This Row],[Score 1]],Table13[[#This Row],[Score 2]])</f>
        <v>73.214285714285722</v>
      </c>
      <c r="Z211" s="1">
        <v>4</v>
      </c>
      <c r="AA211" s="1">
        <v>4</v>
      </c>
      <c r="AB211" s="22">
        <f>Table13[[#This Row],[Rank 1]]+Table13[[#This Row],[Rank 2]]</f>
        <v>8</v>
      </c>
      <c r="AC211" s="1" t="str">
        <f>IF(AND(Table13[[#This Row],[Average score]]&gt;75,Table13[[#This Row],[Total rank]]&gt;6.5),"Yes","No")</f>
        <v>No</v>
      </c>
      <c r="AD211" s="1" t="str">
        <f>IF(AND(Table13[[#This Row],[Average score]]&gt;80,Table13[[#This Row],[Total rank]]&gt;7.5),"Yes","No")</f>
        <v>No</v>
      </c>
      <c r="AF211" s="8">
        <v>45701</v>
      </c>
      <c r="AG211" s="1">
        <v>1</v>
      </c>
      <c r="AH211" s="27">
        <v>48000</v>
      </c>
      <c r="AI211" s="30">
        <v>0</v>
      </c>
      <c r="AJ211" s="30">
        <v>0</v>
      </c>
      <c r="AK211" s="30">
        <f>Table13[[#This Row],[Year 1]]</f>
        <v>48000</v>
      </c>
      <c r="AL211" s="30">
        <f>Table13[[#This Row],[Year 2]]</f>
        <v>0</v>
      </c>
      <c r="AM211" s="30">
        <f>Table13[[#This Row],[Year 3]]</f>
        <v>0</v>
      </c>
      <c r="AN211" s="1">
        <v>3</v>
      </c>
    </row>
    <row r="212" spans="1:40" hidden="1" x14ac:dyDescent="0.25">
      <c r="A212" s="1" t="s">
        <v>48</v>
      </c>
      <c r="B212" s="1" t="s">
        <v>2098</v>
      </c>
      <c r="C212" s="1" t="s">
        <v>50</v>
      </c>
      <c r="D212" s="1" t="s">
        <v>2648</v>
      </c>
      <c r="E212" s="1" t="s">
        <v>2649</v>
      </c>
      <c r="F212" s="22" t="s">
        <v>3</v>
      </c>
      <c r="G212" s="1" t="s">
        <v>6085</v>
      </c>
      <c r="H212" s="1" t="s">
        <v>6</v>
      </c>
      <c r="I212" s="1" t="s">
        <v>20</v>
      </c>
      <c r="J212" s="1" t="s">
        <v>25</v>
      </c>
      <c r="K212" s="1" t="s">
        <v>9</v>
      </c>
      <c r="L212" s="1" t="s">
        <v>53</v>
      </c>
      <c r="M212" s="11" t="s">
        <v>188</v>
      </c>
      <c r="N212" s="1" t="s">
        <v>6037</v>
      </c>
      <c r="O212" s="1" t="s">
        <v>12</v>
      </c>
      <c r="P212" s="1" t="s">
        <v>126</v>
      </c>
      <c r="Q212" s="1" t="s">
        <v>5612</v>
      </c>
      <c r="R212" s="1" t="s">
        <v>3954</v>
      </c>
      <c r="S212" s="1" t="s">
        <v>6155</v>
      </c>
      <c r="T212" s="1" t="s">
        <v>6154</v>
      </c>
      <c r="U212" s="1" t="s">
        <v>6164</v>
      </c>
      <c r="V212" s="1" t="s">
        <v>6167</v>
      </c>
      <c r="W212" s="27">
        <v>67.857142857142861</v>
      </c>
      <c r="X212" s="27">
        <v>42.857142857142854</v>
      </c>
      <c r="Y212" s="33">
        <f>AVERAGE(Table13[[#This Row],[Score 1]],Table13[[#This Row],[Score 2]])</f>
        <v>55.357142857142861</v>
      </c>
      <c r="Z212" s="1">
        <v>3</v>
      </c>
      <c r="AA212" s="1">
        <v>2</v>
      </c>
      <c r="AB212" s="22">
        <f>Table13[[#This Row],[Rank 1]]+Table13[[#This Row],[Rank 2]]</f>
        <v>5</v>
      </c>
      <c r="AC212" s="1" t="str">
        <f>IF(AND(Table13[[#This Row],[Average score]]&gt;75,Table13[[#This Row],[Total rank]]&gt;6.5),"Yes","No")</f>
        <v>No</v>
      </c>
      <c r="AD212" s="1" t="str">
        <f>IF(AND(Table13[[#This Row],[Average score]]&gt;80,Table13[[#This Row],[Total rank]]&gt;7.5),"Yes","No")</f>
        <v>No</v>
      </c>
      <c r="AF212" s="8">
        <v>45691</v>
      </c>
      <c r="AG212" s="1">
        <v>1</v>
      </c>
      <c r="AH212" s="30">
        <v>1108000</v>
      </c>
      <c r="AI212" s="30">
        <v>0</v>
      </c>
      <c r="AJ212" s="30">
        <v>0</v>
      </c>
      <c r="AK212" s="30">
        <f>Table13[[#This Row],[Year 1]]</f>
        <v>1108000</v>
      </c>
      <c r="AL212" s="30">
        <f>Table13[[#This Row],[Year 2]]</f>
        <v>0</v>
      </c>
      <c r="AM212" s="30">
        <f>Table13[[#This Row],[Year 3]]</f>
        <v>0</v>
      </c>
      <c r="AN212" s="1">
        <v>3</v>
      </c>
    </row>
    <row r="213" spans="1:40" hidden="1" x14ac:dyDescent="0.25">
      <c r="A213" s="1" t="s">
        <v>48</v>
      </c>
      <c r="B213" s="1" t="s">
        <v>2099</v>
      </c>
      <c r="C213" s="1" t="s">
        <v>50</v>
      </c>
      <c r="D213" s="1" t="s">
        <v>2650</v>
      </c>
      <c r="E213" s="1" t="s">
        <v>2651</v>
      </c>
      <c r="F213" s="22" t="s">
        <v>3</v>
      </c>
      <c r="G213" s="1" t="s">
        <v>6085</v>
      </c>
      <c r="H213" s="1" t="s">
        <v>7</v>
      </c>
      <c r="I213" s="1" t="s">
        <v>20</v>
      </c>
      <c r="J213" s="1" t="s">
        <v>26</v>
      </c>
      <c r="K213" s="1" t="s">
        <v>9</v>
      </c>
      <c r="L213" s="1" t="s">
        <v>53</v>
      </c>
      <c r="M213" s="11" t="s">
        <v>188</v>
      </c>
      <c r="N213" s="1" t="s">
        <v>6037</v>
      </c>
      <c r="O213" s="1" t="s">
        <v>13</v>
      </c>
      <c r="P213" s="1" t="s">
        <v>126</v>
      </c>
      <c r="Q213" s="1" t="s">
        <v>5613</v>
      </c>
      <c r="R213" s="1" t="s">
        <v>3956</v>
      </c>
      <c r="S213" s="1" t="s">
        <v>6064</v>
      </c>
      <c r="T213" s="1" t="s">
        <v>6065</v>
      </c>
      <c r="U213" s="1" t="s">
        <v>6102</v>
      </c>
      <c r="V213" s="1" t="s">
        <v>6197</v>
      </c>
      <c r="W213" s="27">
        <v>80.555555555555557</v>
      </c>
      <c r="X213" s="27">
        <v>88.888888888888886</v>
      </c>
      <c r="Y213" s="33">
        <f>AVERAGE(Table13[[#This Row],[Score 1]],Table13[[#This Row],[Score 2]])</f>
        <v>84.722222222222229</v>
      </c>
      <c r="Z213" s="1">
        <v>3</v>
      </c>
      <c r="AA213" s="1">
        <v>3</v>
      </c>
      <c r="AB213" s="22">
        <f>Table13[[#This Row],[Rank 1]]+Table13[[#This Row],[Rank 2]]</f>
        <v>6</v>
      </c>
      <c r="AC213" s="1" t="str">
        <f>IF(AND(Table13[[#This Row],[Average score]]&gt;75,Table13[[#This Row],[Total rank]]&gt;6.5),"Yes","No")</f>
        <v>No</v>
      </c>
      <c r="AD213" s="1" t="str">
        <f>IF(AND(Table13[[#This Row],[Average score]]&gt;80,Table13[[#This Row],[Total rank]]&gt;7.5),"Yes","No")</f>
        <v>No</v>
      </c>
      <c r="AF213" s="8">
        <v>46048</v>
      </c>
      <c r="AG213" s="1">
        <v>2</v>
      </c>
      <c r="AH213" s="27">
        <v>445500</v>
      </c>
      <c r="AI213" s="27">
        <v>457000</v>
      </c>
      <c r="AJ213" s="30">
        <v>0</v>
      </c>
      <c r="AK213" s="30">
        <f>Table13[[#This Row],[Year 1]]</f>
        <v>445500</v>
      </c>
      <c r="AL213" s="30">
        <f>Table13[[#This Row],[Year 2]]</f>
        <v>457000</v>
      </c>
      <c r="AM213" s="30">
        <f>Table13[[#This Row],[Year 3]]</f>
        <v>0</v>
      </c>
      <c r="AN213" s="1">
        <v>3</v>
      </c>
    </row>
    <row r="214" spans="1:40" hidden="1" x14ac:dyDescent="0.25">
      <c r="A214" s="1" t="s">
        <v>48</v>
      </c>
      <c r="B214" s="2" t="s">
        <v>2101</v>
      </c>
      <c r="C214" s="1" t="s">
        <v>50</v>
      </c>
      <c r="D214" s="1" t="s">
        <v>2654</v>
      </c>
      <c r="E214" s="1" t="s">
        <v>2655</v>
      </c>
      <c r="F214" s="22" t="s">
        <v>3</v>
      </c>
      <c r="G214" s="1" t="s">
        <v>6085</v>
      </c>
      <c r="H214" s="1" t="s">
        <v>6</v>
      </c>
      <c r="I214" s="1" t="s">
        <v>20</v>
      </c>
      <c r="J214" s="1" t="s">
        <v>25</v>
      </c>
      <c r="K214" s="1" t="s">
        <v>9</v>
      </c>
      <c r="L214" s="1" t="s">
        <v>53</v>
      </c>
      <c r="M214" s="11" t="s">
        <v>188</v>
      </c>
      <c r="N214" s="1" t="s">
        <v>6037</v>
      </c>
      <c r="O214" s="1" t="s">
        <v>18</v>
      </c>
      <c r="P214" s="1" t="s">
        <v>126</v>
      </c>
      <c r="Q214" s="1" t="s">
        <v>5614</v>
      </c>
      <c r="R214" s="20" t="s">
        <v>3960</v>
      </c>
      <c r="S214" s="1" t="s">
        <v>6059</v>
      </c>
      <c r="T214" s="1" t="s">
        <v>6060</v>
      </c>
      <c r="U214" s="1" t="s">
        <v>6096</v>
      </c>
      <c r="V214" s="1" t="s">
        <v>6214</v>
      </c>
      <c r="W214" s="27">
        <v>71.428571428571431</v>
      </c>
      <c r="X214" s="29">
        <f>Table13[[#This Row],[Score 1]]</f>
        <v>71.428571428571431</v>
      </c>
      <c r="Y214" s="33">
        <f>AVERAGE(Table13[[#This Row],[Score 1]],Table13[[#This Row],[Score 2]])</f>
        <v>71.428571428571431</v>
      </c>
      <c r="Z214" s="1">
        <v>4</v>
      </c>
      <c r="AA214" s="2">
        <f>Table13[[#This Row],[Rank 1]]</f>
        <v>4</v>
      </c>
      <c r="AB214" s="22">
        <f>Table13[[#This Row],[Rank 1]]+Table13[[#This Row],[Rank 2]]</f>
        <v>8</v>
      </c>
      <c r="AC214" s="1" t="str">
        <f>IF(AND(Table13[[#This Row],[Average score]]&gt;75,Table13[[#This Row],[Total rank]]&gt;6.5),"Yes","No")</f>
        <v>No</v>
      </c>
      <c r="AD214" s="1" t="str">
        <f>IF(AND(Table13[[#This Row],[Average score]]&gt;80,Table13[[#This Row],[Total rank]]&gt;7.5),"Yes","No")</f>
        <v>No</v>
      </c>
      <c r="AF214" s="8">
        <v>42416</v>
      </c>
      <c r="AG214" s="1">
        <v>1</v>
      </c>
      <c r="AH214" s="27">
        <v>122140</v>
      </c>
      <c r="AI214" s="30">
        <v>0</v>
      </c>
      <c r="AJ214" s="30">
        <v>0</v>
      </c>
      <c r="AK214" s="30">
        <f>Table13[[#This Row],[Year 1]]</f>
        <v>122140</v>
      </c>
      <c r="AL214" s="30">
        <f>Table13[[#This Row],[Year 2]]</f>
        <v>0</v>
      </c>
      <c r="AM214" s="30">
        <f>Table13[[#This Row],[Year 3]]</f>
        <v>0</v>
      </c>
      <c r="AN214" s="1">
        <v>3</v>
      </c>
    </row>
    <row r="215" spans="1:40" hidden="1" x14ac:dyDescent="0.25">
      <c r="A215" s="1" t="s">
        <v>48</v>
      </c>
      <c r="B215" s="1" t="s">
        <v>2103</v>
      </c>
      <c r="C215" s="1" t="s">
        <v>50</v>
      </c>
      <c r="D215" s="1" t="s">
        <v>2658</v>
      </c>
      <c r="E215" s="1" t="s">
        <v>2659</v>
      </c>
      <c r="F215" s="22" t="s">
        <v>3</v>
      </c>
      <c r="G215" s="1" t="s">
        <v>6085</v>
      </c>
      <c r="H215" s="1" t="s">
        <v>6</v>
      </c>
      <c r="I215" s="1" t="s">
        <v>20</v>
      </c>
      <c r="J215" s="1" t="s">
        <v>25</v>
      </c>
      <c r="K215" s="1" t="s">
        <v>9</v>
      </c>
      <c r="L215" s="1" t="s">
        <v>53</v>
      </c>
      <c r="M215" s="11" t="s">
        <v>188</v>
      </c>
      <c r="N215" s="1" t="s">
        <v>6037</v>
      </c>
      <c r="O215" s="1" t="s">
        <v>16</v>
      </c>
      <c r="P215" s="1" t="s">
        <v>60</v>
      </c>
      <c r="Q215" s="1" t="s">
        <v>4621</v>
      </c>
      <c r="R215" s="1" t="s">
        <v>3965</v>
      </c>
      <c r="S215" s="1" t="s">
        <v>6115</v>
      </c>
      <c r="T215" s="1" t="s">
        <v>6116</v>
      </c>
      <c r="U215" s="1" t="s">
        <v>6130</v>
      </c>
      <c r="V215" s="1" t="s">
        <v>6191</v>
      </c>
      <c r="W215" s="27">
        <v>78.571428571428569</v>
      </c>
      <c r="X215" s="27">
        <v>82.142857142857139</v>
      </c>
      <c r="Y215" s="33">
        <f>AVERAGE(Table13[[#This Row],[Score 1]],Table13[[#This Row],[Score 2]])</f>
        <v>80.357142857142861</v>
      </c>
      <c r="Z215" s="1">
        <v>4</v>
      </c>
      <c r="AA215" s="1">
        <v>4</v>
      </c>
      <c r="AB215" s="22">
        <f>Table13[[#This Row],[Rank 1]]+Table13[[#This Row],[Rank 2]]</f>
        <v>8</v>
      </c>
      <c r="AC215" s="1" t="str">
        <f>IF(AND(Table13[[#This Row],[Average score]]&gt;75,Table13[[#This Row],[Total rank]]&gt;6.5),"Yes","No")</f>
        <v>Yes</v>
      </c>
      <c r="AD215" s="1" t="str">
        <f>IF(AND(Table13[[#This Row],[Average score]]&gt;80,Table13[[#This Row],[Total rank]]&gt;7.5),"Yes","No")</f>
        <v>Yes</v>
      </c>
      <c r="AF215" s="8">
        <v>46037</v>
      </c>
      <c r="AG215" s="1">
        <v>2</v>
      </c>
      <c r="AH215" s="27">
        <v>273000</v>
      </c>
      <c r="AI215" s="27">
        <v>166000</v>
      </c>
      <c r="AJ215" s="30">
        <v>0</v>
      </c>
      <c r="AK215" s="30">
        <v>250000</v>
      </c>
      <c r="AL215" s="30">
        <f>Table13[[#This Row],[Year 2]]</f>
        <v>166000</v>
      </c>
      <c r="AM215" s="30">
        <f>Table13[[#This Row],[Year 3]]</f>
        <v>0</v>
      </c>
      <c r="AN215" s="1">
        <v>3</v>
      </c>
    </row>
    <row r="216" spans="1:40" hidden="1" x14ac:dyDescent="0.25">
      <c r="A216" s="1" t="s">
        <v>48</v>
      </c>
      <c r="B216" s="1" t="s">
        <v>2104</v>
      </c>
      <c r="C216" s="1" t="s">
        <v>50</v>
      </c>
      <c r="D216" s="1" t="s">
        <v>2660</v>
      </c>
      <c r="E216" s="1" t="s">
        <v>2661</v>
      </c>
      <c r="F216" s="22" t="s">
        <v>3</v>
      </c>
      <c r="G216" s="1" t="s">
        <v>6085</v>
      </c>
      <c r="H216" s="1" t="s">
        <v>5</v>
      </c>
      <c r="I216" s="1" t="s">
        <v>24</v>
      </c>
      <c r="J216" s="1" t="s">
        <v>26</v>
      </c>
      <c r="K216" s="1" t="s">
        <v>9</v>
      </c>
      <c r="L216" s="1" t="s">
        <v>53</v>
      </c>
      <c r="M216" s="11" t="s">
        <v>188</v>
      </c>
      <c r="N216" s="1" t="s">
        <v>6037</v>
      </c>
      <c r="O216" s="1" t="s">
        <v>13</v>
      </c>
      <c r="P216" s="1" t="s">
        <v>247</v>
      </c>
      <c r="Q216" s="1" t="s">
        <v>5616</v>
      </c>
      <c r="R216" s="1" t="s">
        <v>3967</v>
      </c>
      <c r="S216" s="1" t="s">
        <v>6081</v>
      </c>
      <c r="T216" s="1" t="s">
        <v>6082</v>
      </c>
      <c r="U216" s="1" t="s">
        <v>6097</v>
      </c>
      <c r="V216" s="1" t="s">
        <v>6188</v>
      </c>
      <c r="W216" s="27">
        <v>96.428571428571431</v>
      </c>
      <c r="X216" s="27">
        <v>82.142857142857139</v>
      </c>
      <c r="Y216" s="33">
        <f>AVERAGE(Table13[[#This Row],[Score 1]],Table13[[#This Row],[Score 2]])</f>
        <v>89.285714285714278</v>
      </c>
      <c r="Z216" s="1">
        <v>4</v>
      </c>
      <c r="AA216" s="1">
        <v>4</v>
      </c>
      <c r="AB216" s="22">
        <f>Table13[[#This Row],[Rank 1]]+Table13[[#This Row],[Rank 2]]</f>
        <v>8</v>
      </c>
      <c r="AC216" s="1" t="str">
        <f>IF(AND(Table13[[#This Row],[Average score]]&gt;75,Table13[[#This Row],[Total rank]]&gt;6.5),"Yes","No")</f>
        <v>Yes</v>
      </c>
      <c r="AD216" s="1" t="str">
        <f>IF(AND(Table13[[#This Row],[Average score]]&gt;80,Table13[[#This Row],[Total rank]]&gt;7.5),"Yes","No")</f>
        <v>Yes</v>
      </c>
      <c r="AF216" s="8">
        <v>46054</v>
      </c>
      <c r="AG216" s="1">
        <v>3</v>
      </c>
      <c r="AH216" s="27">
        <v>234000</v>
      </c>
      <c r="AI216" s="27">
        <v>234000</v>
      </c>
      <c r="AJ216" s="27">
        <v>234000.4</v>
      </c>
      <c r="AK216" s="27">
        <f>Table13[[#This Row],[Year 1]]</f>
        <v>234000</v>
      </c>
      <c r="AL216" s="27">
        <f>Table13[[#This Row],[Year 2]]</f>
        <v>234000</v>
      </c>
      <c r="AM216" s="27">
        <f>Table13[[#This Row],[Year 3]]</f>
        <v>234000.4</v>
      </c>
      <c r="AN216" s="1">
        <v>3</v>
      </c>
    </row>
    <row r="217" spans="1:40" hidden="1" x14ac:dyDescent="0.25">
      <c r="A217" s="1" t="s">
        <v>48</v>
      </c>
      <c r="B217" s="1" t="s">
        <v>2105</v>
      </c>
      <c r="C217" s="1" t="s">
        <v>50</v>
      </c>
      <c r="D217" s="1" t="s">
        <v>2662</v>
      </c>
      <c r="E217" s="1" t="s">
        <v>2663</v>
      </c>
      <c r="F217" s="22" t="s">
        <v>3</v>
      </c>
      <c r="G217" s="1" t="s">
        <v>6085</v>
      </c>
      <c r="H217" s="1" t="s">
        <v>1383</v>
      </c>
      <c r="I217" s="1" t="s">
        <v>20</v>
      </c>
      <c r="J217" s="1" t="s">
        <v>26</v>
      </c>
      <c r="K217" s="1" t="s">
        <v>8</v>
      </c>
      <c r="L217" s="1" t="s">
        <v>53</v>
      </c>
      <c r="M217" s="11" t="s">
        <v>188</v>
      </c>
      <c r="N217" s="1" t="s">
        <v>6037</v>
      </c>
      <c r="O217" s="1" t="s">
        <v>12</v>
      </c>
      <c r="P217" s="1" t="s">
        <v>3970</v>
      </c>
      <c r="Q217" s="1" t="s">
        <v>5617</v>
      </c>
      <c r="R217" s="1" t="s">
        <v>3971</v>
      </c>
      <c r="S217" s="1" t="s">
        <v>6153</v>
      </c>
      <c r="T217" s="1" t="s">
        <v>6154</v>
      </c>
      <c r="U217" s="1" t="s">
        <v>6157</v>
      </c>
      <c r="V217" s="1" t="s">
        <v>6167</v>
      </c>
      <c r="W217" s="27">
        <v>75</v>
      </c>
      <c r="X217" s="27">
        <v>60</v>
      </c>
      <c r="Y217" s="33">
        <f>AVERAGE(Table13[[#This Row],[Score 1]],Table13[[#This Row],[Score 2]])</f>
        <v>67.5</v>
      </c>
      <c r="Z217" s="1">
        <v>3</v>
      </c>
      <c r="AA217" s="1">
        <v>3</v>
      </c>
      <c r="AB217" s="22">
        <f>Table13[[#This Row],[Rank 1]]+Table13[[#This Row],[Rank 2]]</f>
        <v>6</v>
      </c>
      <c r="AC217" s="1" t="str">
        <f>IF(AND(Table13[[#This Row],[Average score]]&gt;75,Table13[[#This Row],[Total rank]]&gt;6.5),"Yes","No")</f>
        <v>No</v>
      </c>
      <c r="AD217" s="1" t="str">
        <f>IF(AND(Table13[[#This Row],[Average score]]&gt;80,Table13[[#This Row],[Total rank]]&gt;7.5),"Yes","No")</f>
        <v>No</v>
      </c>
      <c r="AF217" s="8">
        <v>46023</v>
      </c>
      <c r="AG217" s="1">
        <v>1</v>
      </c>
      <c r="AH217" s="27">
        <v>945936</v>
      </c>
      <c r="AI217" s="30">
        <v>0</v>
      </c>
      <c r="AJ217" s="30">
        <v>0</v>
      </c>
      <c r="AK217" s="30">
        <f>Table13[[#This Row],[Year 1]]</f>
        <v>945936</v>
      </c>
      <c r="AL217" s="30">
        <f>Table13[[#This Row],[Year 2]]</f>
        <v>0</v>
      </c>
      <c r="AM217" s="30">
        <f>Table13[[#This Row],[Year 3]]</f>
        <v>0</v>
      </c>
      <c r="AN217" s="1">
        <v>3</v>
      </c>
    </row>
    <row r="218" spans="1:40" hidden="1" x14ac:dyDescent="0.25">
      <c r="A218" s="1" t="s">
        <v>48</v>
      </c>
      <c r="B218" s="1" t="s">
        <v>2106</v>
      </c>
      <c r="C218" s="1" t="s">
        <v>50</v>
      </c>
      <c r="D218" s="1" t="s">
        <v>2664</v>
      </c>
      <c r="E218" s="1" t="s">
        <v>2665</v>
      </c>
      <c r="F218" s="22" t="s">
        <v>3</v>
      </c>
      <c r="G218" s="1" t="s">
        <v>6085</v>
      </c>
      <c r="H218" s="1" t="s">
        <v>6</v>
      </c>
      <c r="I218" s="1" t="s">
        <v>20</v>
      </c>
      <c r="J218" s="1" t="s">
        <v>26</v>
      </c>
      <c r="K218" s="1" t="s">
        <v>9</v>
      </c>
      <c r="L218" s="1" t="s">
        <v>53</v>
      </c>
      <c r="M218" s="1" t="s">
        <v>1828</v>
      </c>
      <c r="N218" s="1" t="s">
        <v>6037</v>
      </c>
      <c r="O218" s="1" t="s">
        <v>15</v>
      </c>
      <c r="P218" s="1" t="s">
        <v>3973</v>
      </c>
      <c r="Q218" s="1" t="s">
        <v>5618</v>
      </c>
      <c r="R218" s="1" t="s">
        <v>3974</v>
      </c>
      <c r="S218" s="1" t="s">
        <v>6057</v>
      </c>
      <c r="T218" s="1" t="s">
        <v>6058</v>
      </c>
      <c r="U218" s="1" t="s">
        <v>6095</v>
      </c>
      <c r="V218" s="1" t="s">
        <v>6186</v>
      </c>
      <c r="W218" s="27">
        <v>67.857142857142861</v>
      </c>
      <c r="X218" s="27">
        <v>50</v>
      </c>
      <c r="Y218" s="33">
        <f>AVERAGE(Table13[[#This Row],[Score 1]],Table13[[#This Row],[Score 2]])</f>
        <v>58.928571428571431</v>
      </c>
      <c r="Z218" s="1">
        <v>4</v>
      </c>
      <c r="AA218" s="1">
        <v>1</v>
      </c>
      <c r="AB218" s="22">
        <f>Table13[[#This Row],[Rank 1]]+Table13[[#This Row],[Rank 2]]</f>
        <v>5</v>
      </c>
      <c r="AC218" s="1" t="str">
        <f>IF(AND(Table13[[#This Row],[Average score]]&gt;75,Table13[[#This Row],[Total rank]]&gt;6.5),"Yes","No")</f>
        <v>No</v>
      </c>
      <c r="AD218" s="1" t="str">
        <f>IF(AND(Table13[[#This Row],[Average score]]&gt;80,Table13[[#This Row],[Total rank]]&gt;7.5),"Yes","No")</f>
        <v>No</v>
      </c>
      <c r="AF218" s="8">
        <v>46053</v>
      </c>
      <c r="AG218" s="1">
        <v>2</v>
      </c>
      <c r="AH218" s="27">
        <v>152000</v>
      </c>
      <c r="AI218" s="27">
        <v>132000</v>
      </c>
      <c r="AJ218" s="30">
        <v>0</v>
      </c>
      <c r="AK218" s="30">
        <f>Table13[[#This Row],[Year 1]]</f>
        <v>152000</v>
      </c>
      <c r="AL218" s="30">
        <f>Table13[[#This Row],[Year 2]]</f>
        <v>132000</v>
      </c>
      <c r="AM218" s="30">
        <f>Table13[[#This Row],[Year 3]]</f>
        <v>0</v>
      </c>
      <c r="AN218" s="1">
        <v>3</v>
      </c>
    </row>
    <row r="219" spans="1:40" x14ac:dyDescent="0.25">
      <c r="A219" s="1" t="s">
        <v>48</v>
      </c>
      <c r="B219" s="1" t="s">
        <v>2107</v>
      </c>
      <c r="C219" s="1" t="s">
        <v>50</v>
      </c>
      <c r="D219" s="1" t="s">
        <v>2666</v>
      </c>
      <c r="E219" s="1" t="s">
        <v>2667</v>
      </c>
      <c r="F219" s="22" t="s">
        <v>3</v>
      </c>
      <c r="G219" s="1" t="s">
        <v>6085</v>
      </c>
      <c r="H219" s="1" t="s">
        <v>7</v>
      </c>
      <c r="I219" s="1" t="s">
        <v>20</v>
      </c>
      <c r="J219" s="1" t="s">
        <v>26</v>
      </c>
      <c r="K219" s="1" t="s">
        <v>9</v>
      </c>
      <c r="L219" s="1" t="s">
        <v>53</v>
      </c>
      <c r="M219" s="11" t="s">
        <v>188</v>
      </c>
      <c r="N219" s="1" t="s">
        <v>6037</v>
      </c>
      <c r="O219" s="1" t="s">
        <v>16</v>
      </c>
      <c r="P219" s="1" t="s">
        <v>60</v>
      </c>
      <c r="Q219" s="1" t="s">
        <v>5591</v>
      </c>
      <c r="R219" s="1" t="s">
        <v>3977</v>
      </c>
      <c r="S219" s="1" t="s">
        <v>6117</v>
      </c>
      <c r="T219" s="1" t="s">
        <v>6118</v>
      </c>
      <c r="U219" s="1" t="s">
        <v>6126</v>
      </c>
      <c r="V219" s="1" t="s">
        <v>6177</v>
      </c>
      <c r="W219" s="27">
        <v>91.666666666666657</v>
      </c>
      <c r="X219" s="27">
        <v>94.444444444444443</v>
      </c>
      <c r="Y219" s="33">
        <f>AVERAGE(Table13[[#This Row],[Score 1]],Table13[[#This Row],[Score 2]])</f>
        <v>93.055555555555543</v>
      </c>
      <c r="Z219" s="1">
        <v>5</v>
      </c>
      <c r="AA219" s="1">
        <v>4</v>
      </c>
      <c r="AB219" s="22">
        <f>Table13[[#This Row],[Rank 1]]+Table13[[#This Row],[Rank 2]]</f>
        <v>9</v>
      </c>
      <c r="AC219" s="1" t="str">
        <f>IF(AND(Table13[[#This Row],[Average score]]&gt;75,Table13[[#This Row],[Total rank]]&gt;6.5),"Yes","No")</f>
        <v>Yes</v>
      </c>
      <c r="AD219" s="1" t="str">
        <f>IF(AND(Table13[[#This Row],[Average score]]&gt;80,Table13[[#This Row],[Total rank]]&gt;7.5),"Yes","No")</f>
        <v>Yes</v>
      </c>
      <c r="AE219" s="1" t="s">
        <v>6221</v>
      </c>
      <c r="AF219" s="8">
        <v>46023</v>
      </c>
      <c r="AG219" s="1">
        <v>2</v>
      </c>
      <c r="AH219" s="27">
        <v>132000</v>
      </c>
      <c r="AI219" s="27">
        <v>132000</v>
      </c>
      <c r="AJ219" s="30">
        <v>0</v>
      </c>
      <c r="AK219" s="30">
        <f>Table13[[#This Row],[Year 1]]</f>
        <v>132000</v>
      </c>
      <c r="AL219" s="30">
        <f>Table13[[#This Row],[Year 2]]</f>
        <v>132000</v>
      </c>
      <c r="AM219" s="30">
        <f>Table13[[#This Row],[Year 3]]</f>
        <v>0</v>
      </c>
      <c r="AN219" s="1">
        <v>3</v>
      </c>
    </row>
    <row r="220" spans="1:40" x14ac:dyDescent="0.25">
      <c r="A220" s="1" t="s">
        <v>48</v>
      </c>
      <c r="B220" s="1" t="s">
        <v>2108</v>
      </c>
      <c r="C220" s="1" t="s">
        <v>50</v>
      </c>
      <c r="D220" s="1" t="s">
        <v>2668</v>
      </c>
      <c r="E220" s="1" t="s">
        <v>2669</v>
      </c>
      <c r="F220" s="22" t="s">
        <v>3</v>
      </c>
      <c r="G220" s="1" t="s">
        <v>6085</v>
      </c>
      <c r="H220" s="1" t="s">
        <v>6</v>
      </c>
      <c r="I220" s="1" t="s">
        <v>24</v>
      </c>
      <c r="J220" s="1" t="s">
        <v>26</v>
      </c>
      <c r="K220" s="1" t="s">
        <v>9</v>
      </c>
      <c r="L220" s="1" t="s">
        <v>53</v>
      </c>
      <c r="M220" s="11" t="s">
        <v>188</v>
      </c>
      <c r="N220" s="1" t="s">
        <v>6037</v>
      </c>
      <c r="O220" s="1" t="s">
        <v>14</v>
      </c>
      <c r="P220" s="1" t="s">
        <v>66</v>
      </c>
      <c r="Q220" s="1" t="s">
        <v>5619</v>
      </c>
      <c r="R220" s="1" t="s">
        <v>3978</v>
      </c>
      <c r="S220" s="1" t="s">
        <v>6151</v>
      </c>
      <c r="T220" s="1" t="s">
        <v>6147</v>
      </c>
      <c r="U220" s="1" t="s">
        <v>6151</v>
      </c>
      <c r="V220" s="1" t="s">
        <v>6185</v>
      </c>
      <c r="W220" s="27">
        <v>100</v>
      </c>
      <c r="X220" s="27">
        <v>92.857142857142861</v>
      </c>
      <c r="Y220" s="33">
        <f>AVERAGE(Table13[[#This Row],[Score 1]],Table13[[#This Row],[Score 2]])</f>
        <v>96.428571428571431</v>
      </c>
      <c r="Z220" s="1">
        <v>5</v>
      </c>
      <c r="AA220" s="1">
        <v>5</v>
      </c>
      <c r="AB220" s="22">
        <f>Table13[[#This Row],[Rank 1]]+Table13[[#This Row],[Rank 2]]</f>
        <v>10</v>
      </c>
      <c r="AC220" s="1" t="str">
        <f>IF(AND(Table13[[#This Row],[Average score]]&gt;75,Table13[[#This Row],[Total rank]]&gt;6.5),"Yes","No")</f>
        <v>Yes</v>
      </c>
      <c r="AD220" s="1" t="str">
        <f>IF(AND(Table13[[#This Row],[Average score]]&gt;80,Table13[[#This Row],[Total rank]]&gt;7.5),"Yes","No")</f>
        <v>Yes</v>
      </c>
      <c r="AE220" s="1" t="s">
        <v>6221</v>
      </c>
      <c r="AF220" s="8">
        <v>46023</v>
      </c>
      <c r="AG220" s="1">
        <v>2</v>
      </c>
      <c r="AH220" s="27">
        <v>102261.17</v>
      </c>
      <c r="AI220" s="27">
        <v>110850</v>
      </c>
      <c r="AJ220" s="30">
        <v>0</v>
      </c>
      <c r="AK220" s="30">
        <v>103000</v>
      </c>
      <c r="AL220" s="30">
        <v>111000</v>
      </c>
      <c r="AM220" s="30">
        <f>Table13[[#This Row],[Year 3]]</f>
        <v>0</v>
      </c>
      <c r="AN220" s="1">
        <v>3</v>
      </c>
    </row>
    <row r="221" spans="1:40" hidden="1" x14ac:dyDescent="0.25">
      <c r="A221" s="1" t="s">
        <v>48</v>
      </c>
      <c r="B221" s="1" t="s">
        <v>2110</v>
      </c>
      <c r="C221" s="1" t="s">
        <v>50</v>
      </c>
      <c r="D221" s="1" t="s">
        <v>2672</v>
      </c>
      <c r="E221" s="1" t="s">
        <v>2673</v>
      </c>
      <c r="F221" s="22" t="s">
        <v>3</v>
      </c>
      <c r="G221" s="1" t="s">
        <v>6085</v>
      </c>
      <c r="H221" s="1" t="s">
        <v>7</v>
      </c>
      <c r="I221" s="1" t="s">
        <v>20</v>
      </c>
      <c r="J221" s="1" t="s">
        <v>26</v>
      </c>
      <c r="K221" s="1" t="s">
        <v>9</v>
      </c>
      <c r="L221" s="1" t="s">
        <v>53</v>
      </c>
      <c r="M221" s="11" t="s">
        <v>188</v>
      </c>
      <c r="N221" s="1" t="s">
        <v>6037</v>
      </c>
      <c r="O221" s="1" t="s">
        <v>13</v>
      </c>
      <c r="P221" s="1" t="s">
        <v>126</v>
      </c>
      <c r="Q221" s="1" t="s">
        <v>5621</v>
      </c>
      <c r="R221" s="1" t="s">
        <v>3984</v>
      </c>
      <c r="S221" s="1" t="s">
        <v>6063</v>
      </c>
      <c r="T221" s="1" t="s">
        <v>6076</v>
      </c>
      <c r="U221" s="1" t="s">
        <v>6100</v>
      </c>
      <c r="V221" s="1" t="s">
        <v>6195</v>
      </c>
      <c r="W221" s="27">
        <v>88.888888888888886</v>
      </c>
      <c r="X221" s="27">
        <v>63.888888888888886</v>
      </c>
      <c r="Y221" s="33">
        <f>AVERAGE(Table13[[#This Row],[Score 1]],Table13[[#This Row],[Score 2]])</f>
        <v>76.388888888888886</v>
      </c>
      <c r="Z221" s="1">
        <v>5</v>
      </c>
      <c r="AA221" s="1">
        <v>3</v>
      </c>
      <c r="AB221" s="22">
        <f>Table13[[#This Row],[Rank 1]]+Table13[[#This Row],[Rank 2]]</f>
        <v>8</v>
      </c>
      <c r="AC221" s="1" t="str">
        <f>IF(AND(Table13[[#This Row],[Average score]]&gt;75,Table13[[#This Row],[Total rank]]&gt;6.5),"Yes","No")</f>
        <v>Yes</v>
      </c>
      <c r="AD221" s="1" t="str">
        <f>IF(AND(Table13[[#This Row],[Average score]]&gt;80,Table13[[#This Row],[Total rank]]&gt;7.5),"Yes","No")</f>
        <v>No</v>
      </c>
      <c r="AF221" s="8">
        <v>46113</v>
      </c>
      <c r="AG221" s="1">
        <v>2</v>
      </c>
      <c r="AH221" s="27">
        <v>460000</v>
      </c>
      <c r="AI221" s="27">
        <v>460000</v>
      </c>
      <c r="AJ221" s="30">
        <v>0</v>
      </c>
      <c r="AK221" s="30">
        <f>Table13[[#This Row],[Year 1]]</f>
        <v>460000</v>
      </c>
      <c r="AL221" s="30">
        <f>Table13[[#This Row],[Year 2]]</f>
        <v>460000</v>
      </c>
      <c r="AM221" s="30">
        <f>Table13[[#This Row],[Year 3]]</f>
        <v>0</v>
      </c>
      <c r="AN221" s="1">
        <v>3</v>
      </c>
    </row>
    <row r="222" spans="1:40" x14ac:dyDescent="0.25">
      <c r="A222" s="1" t="s">
        <v>48</v>
      </c>
      <c r="B222" s="1" t="s">
        <v>2111</v>
      </c>
      <c r="C222" s="1" t="s">
        <v>50</v>
      </c>
      <c r="D222" s="1" t="s">
        <v>2674</v>
      </c>
      <c r="E222" s="1" t="s">
        <v>2675</v>
      </c>
      <c r="F222" s="22" t="s">
        <v>3</v>
      </c>
      <c r="G222" s="1" t="s">
        <v>6085</v>
      </c>
      <c r="H222" s="1" t="s">
        <v>5</v>
      </c>
      <c r="I222" s="1" t="s">
        <v>20</v>
      </c>
      <c r="J222" s="1" t="s">
        <v>25</v>
      </c>
      <c r="K222" s="1" t="s">
        <v>9</v>
      </c>
      <c r="L222" s="1" t="s">
        <v>53</v>
      </c>
      <c r="M222" s="11" t="s">
        <v>188</v>
      </c>
      <c r="N222" s="1" t="s">
        <v>6037</v>
      </c>
      <c r="O222" s="1" t="s">
        <v>19</v>
      </c>
      <c r="P222" s="1" t="s">
        <v>3986</v>
      </c>
      <c r="Q222" s="1" t="s">
        <v>5622</v>
      </c>
      <c r="R222" s="1" t="s">
        <v>3987</v>
      </c>
      <c r="S222" s="1" t="s">
        <v>6145</v>
      </c>
      <c r="T222" s="1" t="s">
        <v>6146</v>
      </c>
      <c r="U222" s="1" t="s">
        <v>6156</v>
      </c>
      <c r="V222" s="1" t="s">
        <v>6169</v>
      </c>
      <c r="W222" s="27">
        <v>100</v>
      </c>
      <c r="X222" s="27">
        <v>96.428571428571431</v>
      </c>
      <c r="Y222" s="33">
        <f>AVERAGE(Table13[[#This Row],[Score 1]],Table13[[#This Row],[Score 2]])</f>
        <v>98.214285714285722</v>
      </c>
      <c r="Z222" s="1">
        <v>5</v>
      </c>
      <c r="AA222" s="1">
        <v>5</v>
      </c>
      <c r="AB222" s="22">
        <f>Table13[[#This Row],[Rank 1]]+Table13[[#This Row],[Rank 2]]</f>
        <v>10</v>
      </c>
      <c r="AC222" s="1" t="str">
        <f>IF(AND(Table13[[#This Row],[Average score]]&gt;75,Table13[[#This Row],[Total rank]]&gt;6.5),"Yes","No")</f>
        <v>Yes</v>
      </c>
      <c r="AD222" s="1" t="str">
        <f>IF(AND(Table13[[#This Row],[Average score]]&gt;80,Table13[[#This Row],[Total rank]]&gt;7.5),"Yes","No")</f>
        <v>Yes</v>
      </c>
      <c r="AE222" s="1" t="s">
        <v>6221</v>
      </c>
      <c r="AF222" s="8">
        <v>46041</v>
      </c>
      <c r="AG222" s="1">
        <v>3</v>
      </c>
      <c r="AH222" s="27">
        <v>255342</v>
      </c>
      <c r="AI222" s="27">
        <v>251735</v>
      </c>
      <c r="AJ222" s="27">
        <v>193735</v>
      </c>
      <c r="AK222" s="27">
        <v>256000</v>
      </c>
      <c r="AL222" s="27">
        <v>252000</v>
      </c>
      <c r="AM222" s="27">
        <v>194000</v>
      </c>
      <c r="AN222" s="1">
        <v>3</v>
      </c>
    </row>
    <row r="223" spans="1:40" hidden="1" x14ac:dyDescent="0.25">
      <c r="A223" s="1" t="s">
        <v>48</v>
      </c>
      <c r="B223" s="10" t="s">
        <v>2113</v>
      </c>
      <c r="C223" s="1" t="s">
        <v>50</v>
      </c>
      <c r="D223" s="1" t="s">
        <v>2678</v>
      </c>
      <c r="E223" s="1" t="s">
        <v>2679</v>
      </c>
      <c r="F223" s="22" t="s">
        <v>3</v>
      </c>
      <c r="G223" s="1" t="s">
        <v>6085</v>
      </c>
      <c r="H223" s="1" t="s">
        <v>6</v>
      </c>
      <c r="I223" s="1" t="s">
        <v>24</v>
      </c>
      <c r="J223" s="1" t="s">
        <v>25</v>
      </c>
      <c r="K223" s="1" t="s">
        <v>9</v>
      </c>
      <c r="L223" s="1" t="s">
        <v>53</v>
      </c>
      <c r="M223" s="11" t="s">
        <v>188</v>
      </c>
      <c r="N223" s="1" t="s">
        <v>6037</v>
      </c>
      <c r="O223" s="1" t="s">
        <v>11</v>
      </c>
      <c r="P223" s="1" t="s">
        <v>126</v>
      </c>
      <c r="Q223" s="1" t="s">
        <v>5624</v>
      </c>
      <c r="R223" s="1" t="s">
        <v>3992</v>
      </c>
      <c r="S223" s="1" t="s">
        <v>6055</v>
      </c>
      <c r="T223" s="1" t="s">
        <v>6056</v>
      </c>
      <c r="U223" s="1" t="s">
        <v>6105</v>
      </c>
      <c r="V223" s="1" t="s">
        <v>6199</v>
      </c>
      <c r="W223" s="27">
        <v>82.142857142857139</v>
      </c>
      <c r="X223" s="27">
        <v>67.857142857142861</v>
      </c>
      <c r="Y223" s="33">
        <f>AVERAGE(Table13[[#This Row],[Score 1]],Table13[[#This Row],[Score 2]])</f>
        <v>75</v>
      </c>
      <c r="Z223" s="1">
        <v>4</v>
      </c>
      <c r="AA223" s="1">
        <v>2</v>
      </c>
      <c r="AB223" s="22">
        <f>Table13[[#This Row],[Rank 1]]+Table13[[#This Row],[Rank 2]]</f>
        <v>6</v>
      </c>
      <c r="AC223" s="1" t="str">
        <f>IF(AND(Table13[[#This Row],[Average score]]&gt;75,Table13[[#This Row],[Total rank]]&gt;6.5),"Yes","No")</f>
        <v>No</v>
      </c>
      <c r="AD223" s="1" t="str">
        <f>IF(AND(Table13[[#This Row],[Average score]]&gt;80,Table13[[#This Row],[Total rank]]&gt;7.5),"Yes","No")</f>
        <v>No</v>
      </c>
      <c r="AF223" s="8">
        <v>46037</v>
      </c>
      <c r="AG223" s="1">
        <v>1</v>
      </c>
      <c r="AH223" s="27">
        <v>53000</v>
      </c>
      <c r="AI223" s="30">
        <v>0</v>
      </c>
      <c r="AJ223" s="30">
        <v>0</v>
      </c>
      <c r="AK223" s="30">
        <f>Table13[[#This Row],[Year 1]]</f>
        <v>53000</v>
      </c>
      <c r="AL223" s="30">
        <f>Table13[[#This Row],[Year 2]]</f>
        <v>0</v>
      </c>
      <c r="AM223" s="30">
        <f>Table13[[#This Row],[Year 3]]</f>
        <v>0</v>
      </c>
      <c r="AN223" s="1">
        <v>3</v>
      </c>
    </row>
    <row r="224" spans="1:40" hidden="1" x14ac:dyDescent="0.25">
      <c r="A224" s="1" t="s">
        <v>48</v>
      </c>
      <c r="B224" s="1" t="s">
        <v>2114</v>
      </c>
      <c r="C224" s="1" t="s">
        <v>50</v>
      </c>
      <c r="D224" s="1" t="s">
        <v>2680</v>
      </c>
      <c r="E224" s="1" t="s">
        <v>2681</v>
      </c>
      <c r="F224" s="22" t="s">
        <v>3</v>
      </c>
      <c r="G224" s="1" t="s">
        <v>6085</v>
      </c>
      <c r="H224" s="1" t="s">
        <v>5</v>
      </c>
      <c r="I224" s="1" t="s">
        <v>20</v>
      </c>
      <c r="J224" s="1" t="s">
        <v>25</v>
      </c>
      <c r="K224" s="1" t="s">
        <v>9</v>
      </c>
      <c r="L224" s="1" t="s">
        <v>53</v>
      </c>
      <c r="M224" s="11" t="s">
        <v>2091</v>
      </c>
      <c r="N224" s="1" t="s">
        <v>6037</v>
      </c>
      <c r="O224" s="1" t="s">
        <v>13</v>
      </c>
      <c r="P224" s="1" t="s">
        <v>1456</v>
      </c>
      <c r="Q224" s="1" t="s">
        <v>5384</v>
      </c>
      <c r="R224" s="1" t="s">
        <v>3993</v>
      </c>
      <c r="S224" s="1" t="s">
        <v>6064</v>
      </c>
      <c r="T224" s="1" t="s">
        <v>6065</v>
      </c>
      <c r="U224" s="1" t="s">
        <v>6102</v>
      </c>
      <c r="V224" s="1" t="s">
        <v>6197</v>
      </c>
      <c r="W224" s="27">
        <v>96.428571428571431</v>
      </c>
      <c r="X224" s="27">
        <v>82.142857142857139</v>
      </c>
      <c r="Y224" s="33">
        <f>AVERAGE(Table13[[#This Row],[Score 1]],Table13[[#This Row],[Score 2]])</f>
        <v>89.285714285714278</v>
      </c>
      <c r="Z224" s="1">
        <v>5</v>
      </c>
      <c r="AA224" s="1">
        <v>4</v>
      </c>
      <c r="AB224" s="22">
        <f>Table13[[#This Row],[Rank 1]]+Table13[[#This Row],[Rank 2]]</f>
        <v>9</v>
      </c>
      <c r="AC224" s="1" t="str">
        <f>IF(AND(Table13[[#This Row],[Average score]]&gt;75,Table13[[#This Row],[Total rank]]&gt;6.5),"Yes","No")</f>
        <v>Yes</v>
      </c>
      <c r="AD224" s="1" t="str">
        <f>IF(AND(Table13[[#This Row],[Average score]]&gt;80,Table13[[#This Row],[Total rank]]&gt;7.5),"Yes","No")</f>
        <v>Yes</v>
      </c>
      <c r="AF224" s="8">
        <v>45510</v>
      </c>
      <c r="AG224" s="1">
        <v>2</v>
      </c>
      <c r="AH224" s="27">
        <v>56682</v>
      </c>
      <c r="AI224" s="27">
        <v>119022</v>
      </c>
      <c r="AJ224" s="30">
        <v>0</v>
      </c>
      <c r="AK224" s="30">
        <f>Table13[[#This Row],[Year 1]]</f>
        <v>56682</v>
      </c>
      <c r="AL224" s="30">
        <f>Table13[[#This Row],[Year 2]]</f>
        <v>119022</v>
      </c>
      <c r="AM224" s="30">
        <f>Table13[[#This Row],[Year 3]]</f>
        <v>0</v>
      </c>
      <c r="AN224" s="1">
        <v>3</v>
      </c>
    </row>
    <row r="225" spans="1:40" hidden="1" x14ac:dyDescent="0.25">
      <c r="A225" s="1" t="s">
        <v>48</v>
      </c>
      <c r="B225" s="2" t="s">
        <v>2115</v>
      </c>
      <c r="C225" s="1" t="s">
        <v>50</v>
      </c>
      <c r="D225" s="1" t="s">
        <v>2682</v>
      </c>
      <c r="E225" s="1" t="s">
        <v>2683</v>
      </c>
      <c r="F225" s="22" t="s">
        <v>3</v>
      </c>
      <c r="G225" s="1" t="s">
        <v>6085</v>
      </c>
      <c r="H225" s="1" t="s">
        <v>5</v>
      </c>
      <c r="I225" s="1" t="s">
        <v>21</v>
      </c>
      <c r="J225" s="1" t="s">
        <v>26</v>
      </c>
      <c r="K225" s="1" t="s">
        <v>8</v>
      </c>
      <c r="L225" s="1" t="s">
        <v>53</v>
      </c>
      <c r="M225" s="11" t="s">
        <v>2091</v>
      </c>
      <c r="N225" s="1" t="s">
        <v>6037</v>
      </c>
      <c r="O225" s="1" t="s">
        <v>18</v>
      </c>
      <c r="P225" s="1" t="s">
        <v>3996</v>
      </c>
      <c r="Q225" s="1" t="s">
        <v>5625</v>
      </c>
      <c r="R225" s="20" t="s">
        <v>3997</v>
      </c>
      <c r="S225" s="1" t="s">
        <v>6059</v>
      </c>
      <c r="T225" s="1" t="s">
        <v>6060</v>
      </c>
      <c r="U225" s="1" t="s">
        <v>6096</v>
      </c>
      <c r="V225" s="2" t="s">
        <v>6214</v>
      </c>
      <c r="W225" s="27">
        <v>82.5</v>
      </c>
      <c r="X225" s="29">
        <f>Table13[[#This Row],[Score 1]]</f>
        <v>82.5</v>
      </c>
      <c r="Y225" s="33">
        <f>AVERAGE(Table13[[#This Row],[Score 1]],Table13[[#This Row],[Score 2]])</f>
        <v>82.5</v>
      </c>
      <c r="Z225" s="1">
        <v>4</v>
      </c>
      <c r="AA225" s="2">
        <f>Table13[[#This Row],[Rank 1]]</f>
        <v>4</v>
      </c>
      <c r="AB225" s="22">
        <f>Table13[[#This Row],[Rank 1]]+Table13[[#This Row],[Rank 2]]</f>
        <v>8</v>
      </c>
      <c r="AC225" s="1" t="str">
        <f>IF(AND(Table13[[#This Row],[Average score]]&gt;75,Table13[[#This Row],[Total rank]]&gt;6.5),"Yes","No")</f>
        <v>Yes</v>
      </c>
      <c r="AD225" s="1" t="str">
        <f>IF(AND(Table13[[#This Row],[Average score]]&gt;80,Table13[[#This Row],[Total rank]]&gt;7.5),"Yes","No")</f>
        <v>Yes</v>
      </c>
      <c r="AE225" s="1" t="s">
        <v>6223</v>
      </c>
      <c r="AF225" s="8">
        <v>46043</v>
      </c>
      <c r="AG225" s="1">
        <v>3</v>
      </c>
      <c r="AH225" s="27">
        <v>577198.31999999995</v>
      </c>
      <c r="AI225" s="27">
        <v>577198.31999999995</v>
      </c>
      <c r="AJ225" s="27">
        <v>577198.31999999995</v>
      </c>
      <c r="AK225" s="27">
        <f>Table13[[#This Row],[Year 1]]</f>
        <v>577198.31999999995</v>
      </c>
      <c r="AL225" s="27">
        <f>Table13[[#This Row],[Year 2]]</f>
        <v>577198.31999999995</v>
      </c>
      <c r="AM225" s="27">
        <f>Table13[[#This Row],[Year 3]]</f>
        <v>577198.31999999995</v>
      </c>
      <c r="AN225" s="1">
        <v>3</v>
      </c>
    </row>
    <row r="226" spans="1:40" hidden="1" x14ac:dyDescent="0.25">
      <c r="A226" s="1" t="s">
        <v>48</v>
      </c>
      <c r="B226" s="10" t="s">
        <v>2116</v>
      </c>
      <c r="C226" s="1" t="s">
        <v>50</v>
      </c>
      <c r="D226" s="1" t="s">
        <v>2684</v>
      </c>
      <c r="E226" s="1" t="s">
        <v>2685</v>
      </c>
      <c r="F226" s="22" t="s">
        <v>3</v>
      </c>
      <c r="G226" s="1" t="s">
        <v>6085</v>
      </c>
      <c r="H226" s="1" t="s">
        <v>6</v>
      </c>
      <c r="I226" s="1" t="s">
        <v>24</v>
      </c>
      <c r="J226" s="1" t="s">
        <v>26</v>
      </c>
      <c r="K226" s="1" t="s">
        <v>9</v>
      </c>
      <c r="L226" s="1" t="s">
        <v>53</v>
      </c>
      <c r="M226" s="11" t="s">
        <v>188</v>
      </c>
      <c r="N226" s="1" t="s">
        <v>6037</v>
      </c>
      <c r="O226" s="1" t="s">
        <v>11</v>
      </c>
      <c r="P226" s="1" t="s">
        <v>3999</v>
      </c>
      <c r="Q226" s="1" t="s">
        <v>5626</v>
      </c>
      <c r="R226" s="1" t="s">
        <v>4000</v>
      </c>
      <c r="S226" s="1" t="s">
        <v>6055</v>
      </c>
      <c r="T226" s="1" t="s">
        <v>6056</v>
      </c>
      <c r="U226" s="1" t="s">
        <v>6105</v>
      </c>
      <c r="V226" s="1" t="s">
        <v>6199</v>
      </c>
      <c r="W226" s="27">
        <v>67.857142857142861</v>
      </c>
      <c r="X226" s="27">
        <v>42.857142857142854</v>
      </c>
      <c r="Y226" s="33">
        <f>AVERAGE(Table13[[#This Row],[Score 1]],Table13[[#This Row],[Score 2]])</f>
        <v>55.357142857142861</v>
      </c>
      <c r="Z226" s="1">
        <v>3</v>
      </c>
      <c r="AA226" s="1">
        <v>2</v>
      </c>
      <c r="AB226" s="22">
        <f>Table13[[#This Row],[Rank 1]]+Table13[[#This Row],[Rank 2]]</f>
        <v>5</v>
      </c>
      <c r="AC226" s="1" t="str">
        <f>IF(AND(Table13[[#This Row],[Average score]]&gt;75,Table13[[#This Row],[Total rank]]&gt;6.5),"Yes","No")</f>
        <v>No</v>
      </c>
      <c r="AD226" s="1" t="str">
        <f>IF(AND(Table13[[#This Row],[Average score]]&gt;80,Table13[[#This Row],[Total rank]]&gt;7.5),"Yes","No")</f>
        <v>No</v>
      </c>
      <c r="AF226" s="8">
        <v>46027</v>
      </c>
      <c r="AG226" s="1">
        <v>2</v>
      </c>
      <c r="AH226" s="27">
        <v>224961</v>
      </c>
      <c r="AI226" s="27">
        <v>193585</v>
      </c>
      <c r="AJ226" s="30">
        <v>0</v>
      </c>
      <c r="AK226" s="30">
        <f>Table13[[#This Row],[Year 1]]</f>
        <v>224961</v>
      </c>
      <c r="AL226" s="30">
        <f>Table13[[#This Row],[Year 2]]</f>
        <v>193585</v>
      </c>
      <c r="AM226" s="30">
        <f>Table13[[#This Row],[Year 3]]</f>
        <v>0</v>
      </c>
      <c r="AN226" s="1">
        <v>3</v>
      </c>
    </row>
    <row r="227" spans="1:40" hidden="1" x14ac:dyDescent="0.25">
      <c r="A227" s="1" t="s">
        <v>48</v>
      </c>
      <c r="B227" s="1" t="s">
        <v>2117</v>
      </c>
      <c r="C227" s="1" t="s">
        <v>50</v>
      </c>
      <c r="D227" s="1" t="s">
        <v>2686</v>
      </c>
      <c r="E227" s="1" t="s">
        <v>2687</v>
      </c>
      <c r="F227" s="22" t="s">
        <v>3</v>
      </c>
      <c r="G227" s="1" t="s">
        <v>6085</v>
      </c>
      <c r="H227" s="1" t="s">
        <v>5</v>
      </c>
      <c r="I227" s="1" t="s">
        <v>24</v>
      </c>
      <c r="J227" s="1" t="s">
        <v>25</v>
      </c>
      <c r="K227" s="1" t="s">
        <v>9</v>
      </c>
      <c r="L227" s="1" t="s">
        <v>53</v>
      </c>
      <c r="M227" s="11" t="s">
        <v>188</v>
      </c>
      <c r="N227" s="1" t="s">
        <v>6037</v>
      </c>
      <c r="O227" s="1" t="s">
        <v>19</v>
      </c>
      <c r="P227" s="1" t="s">
        <v>60</v>
      </c>
      <c r="Q227" s="1" t="s">
        <v>5539</v>
      </c>
      <c r="R227" s="1" t="s">
        <v>4003</v>
      </c>
      <c r="S227" s="1" t="s">
        <v>6139</v>
      </c>
      <c r="T227" s="1" t="s">
        <v>6140</v>
      </c>
      <c r="U227" s="1" t="s">
        <v>6162</v>
      </c>
      <c r="V227" s="1" t="s">
        <v>6187</v>
      </c>
      <c r="W227" s="27">
        <v>92.857142857142861</v>
      </c>
      <c r="X227" s="27">
        <v>92.857142857142861</v>
      </c>
      <c r="Y227" s="33">
        <f>AVERAGE(Table13[[#This Row],[Score 1]],Table13[[#This Row],[Score 2]])</f>
        <v>92.857142857142861</v>
      </c>
      <c r="Z227" s="1">
        <v>5</v>
      </c>
      <c r="AA227" s="1">
        <v>5</v>
      </c>
      <c r="AB227" s="22">
        <f>Table13[[#This Row],[Rank 1]]+Table13[[#This Row],[Rank 2]]</f>
        <v>10</v>
      </c>
      <c r="AC227" s="1" t="str">
        <f>IF(AND(Table13[[#This Row],[Average score]]&gt;75,Table13[[#This Row],[Total rank]]&gt;6.5),"Yes","No")</f>
        <v>Yes</v>
      </c>
      <c r="AD227" s="1" t="str">
        <f>IF(AND(Table13[[#This Row],[Average score]]&gt;80,Table13[[#This Row],[Total rank]]&gt;7.5),"Yes","No")</f>
        <v>Yes</v>
      </c>
      <c r="AE227" s="2" t="s">
        <v>6223</v>
      </c>
      <c r="AF227" s="8">
        <v>46032</v>
      </c>
      <c r="AG227" s="1">
        <v>3</v>
      </c>
      <c r="AH227" s="27">
        <v>435000</v>
      </c>
      <c r="AI227" s="27">
        <v>1185000</v>
      </c>
      <c r="AJ227" s="27">
        <v>800000</v>
      </c>
      <c r="AK227" s="27">
        <v>350000</v>
      </c>
      <c r="AL227" s="27">
        <v>350000</v>
      </c>
      <c r="AM227" s="27">
        <v>350000</v>
      </c>
      <c r="AN227" s="1">
        <v>3</v>
      </c>
    </row>
    <row r="228" spans="1:40" hidden="1" x14ac:dyDescent="0.25">
      <c r="A228" s="1" t="s">
        <v>48</v>
      </c>
      <c r="B228" s="1" t="s">
        <v>2118</v>
      </c>
      <c r="C228" s="1" t="s">
        <v>50</v>
      </c>
      <c r="D228" s="1" t="s">
        <v>2688</v>
      </c>
      <c r="E228" s="1" t="s">
        <v>2689</v>
      </c>
      <c r="F228" s="22" t="s">
        <v>3</v>
      </c>
      <c r="G228" s="1" t="s">
        <v>6085</v>
      </c>
      <c r="H228" s="1" t="s">
        <v>6</v>
      </c>
      <c r="I228" s="1" t="s">
        <v>20</v>
      </c>
      <c r="J228" s="1" t="s">
        <v>25</v>
      </c>
      <c r="K228" s="1" t="s">
        <v>9</v>
      </c>
      <c r="L228" s="1" t="s">
        <v>53</v>
      </c>
      <c r="M228" s="11" t="s">
        <v>2091</v>
      </c>
      <c r="N228" s="1" t="s">
        <v>6037</v>
      </c>
      <c r="O228" s="1" t="s">
        <v>10</v>
      </c>
      <c r="P228" s="1" t="s">
        <v>126</v>
      </c>
      <c r="Q228" s="18" t="s">
        <v>4621</v>
      </c>
      <c r="R228" s="1" t="s">
        <v>4007</v>
      </c>
      <c r="S228" s="1" t="s">
        <v>6049</v>
      </c>
      <c r="T228" s="1" t="s">
        <v>6050</v>
      </c>
      <c r="U228" s="1" t="s">
        <v>6104</v>
      </c>
      <c r="V228" s="1" t="s">
        <v>6200</v>
      </c>
      <c r="W228" s="27">
        <v>64.285714285714292</v>
      </c>
      <c r="X228" s="27">
        <v>67.857142857142861</v>
      </c>
      <c r="Y228" s="33">
        <f>AVERAGE(Table13[[#This Row],[Score 1]],Table13[[#This Row],[Score 2]])</f>
        <v>66.071428571428584</v>
      </c>
      <c r="Z228" s="1">
        <v>5</v>
      </c>
      <c r="AA228" s="1">
        <v>2</v>
      </c>
      <c r="AB228" s="22">
        <f>Table13[[#This Row],[Rank 1]]+Table13[[#This Row],[Rank 2]]</f>
        <v>7</v>
      </c>
      <c r="AC228" s="1" t="str">
        <f>IF(AND(Table13[[#This Row],[Average score]]&gt;75,Table13[[#This Row],[Total rank]]&gt;6.5),"Yes","No")</f>
        <v>No</v>
      </c>
      <c r="AD228" s="1" t="str">
        <f>IF(AND(Table13[[#This Row],[Average score]]&gt;80,Table13[[#This Row],[Total rank]]&gt;7.5),"Yes","No")</f>
        <v>No</v>
      </c>
      <c r="AF228" s="8">
        <v>46041</v>
      </c>
      <c r="AG228" s="1">
        <v>1</v>
      </c>
      <c r="AH228" s="27">
        <v>200000</v>
      </c>
      <c r="AI228" s="30">
        <v>0</v>
      </c>
      <c r="AJ228" s="30">
        <v>0</v>
      </c>
      <c r="AK228" s="30">
        <f>Table13[[#This Row],[Year 1]]</f>
        <v>200000</v>
      </c>
      <c r="AL228" s="30">
        <f>Table13[[#This Row],[Year 2]]</f>
        <v>0</v>
      </c>
      <c r="AM228" s="30">
        <f>Table13[[#This Row],[Year 3]]</f>
        <v>0</v>
      </c>
      <c r="AN228" s="1">
        <v>3</v>
      </c>
    </row>
    <row r="229" spans="1:40" hidden="1" x14ac:dyDescent="0.25">
      <c r="A229" s="1" t="s">
        <v>48</v>
      </c>
      <c r="B229" s="1" t="s">
        <v>2119</v>
      </c>
      <c r="C229" s="1" t="s">
        <v>50</v>
      </c>
      <c r="D229" s="1" t="s">
        <v>2690</v>
      </c>
      <c r="E229" s="1" t="s">
        <v>2691</v>
      </c>
      <c r="F229" s="22" t="s">
        <v>3</v>
      </c>
      <c r="G229" s="1" t="s">
        <v>6085</v>
      </c>
      <c r="H229" s="1" t="s">
        <v>5</v>
      </c>
      <c r="I229" s="1" t="s">
        <v>20</v>
      </c>
      <c r="J229" s="1" t="s">
        <v>26</v>
      </c>
      <c r="K229" s="1" t="s">
        <v>9</v>
      </c>
      <c r="L229" s="1" t="s">
        <v>53</v>
      </c>
      <c r="M229" s="11" t="s">
        <v>188</v>
      </c>
      <c r="N229" s="1" t="s">
        <v>6037</v>
      </c>
      <c r="O229" s="1" t="s">
        <v>16</v>
      </c>
      <c r="P229" s="1" t="s">
        <v>60</v>
      </c>
      <c r="Q229" s="1" t="s">
        <v>5380</v>
      </c>
      <c r="R229" s="1" t="s">
        <v>4008</v>
      </c>
      <c r="S229" s="1" t="s">
        <v>6119</v>
      </c>
      <c r="T229" s="1" t="s">
        <v>6120</v>
      </c>
      <c r="U229" s="1" t="s">
        <v>6129</v>
      </c>
      <c r="V229" s="1" t="s">
        <v>6189</v>
      </c>
      <c r="W229" s="27">
        <v>85.714285714285708</v>
      </c>
      <c r="X229" s="27">
        <v>85.714285714285708</v>
      </c>
      <c r="Y229" s="33">
        <f>AVERAGE(Table13[[#This Row],[Score 1]],Table13[[#This Row],[Score 2]])</f>
        <v>85.714285714285708</v>
      </c>
      <c r="Z229" s="1">
        <v>4</v>
      </c>
      <c r="AA229" s="1">
        <v>4</v>
      </c>
      <c r="AB229" s="22">
        <f>Table13[[#This Row],[Rank 1]]+Table13[[#This Row],[Rank 2]]</f>
        <v>8</v>
      </c>
      <c r="AC229" s="1" t="str">
        <f>IF(AND(Table13[[#This Row],[Average score]]&gt;75,Table13[[#This Row],[Total rank]]&gt;6.5),"Yes","No")</f>
        <v>Yes</v>
      </c>
      <c r="AD229" s="1" t="str">
        <f>IF(AND(Table13[[#This Row],[Average score]]&gt;80,Table13[[#This Row],[Total rank]]&gt;7.5),"Yes","No")</f>
        <v>Yes</v>
      </c>
      <c r="AF229" s="8">
        <v>45292</v>
      </c>
      <c r="AG229" s="1">
        <v>1</v>
      </c>
      <c r="AH229" s="27">
        <v>210000</v>
      </c>
      <c r="AI229" s="30">
        <v>0</v>
      </c>
      <c r="AJ229" s="30">
        <v>0</v>
      </c>
      <c r="AK229" s="30">
        <f>Table13[[#This Row],[Year 1]]</f>
        <v>210000</v>
      </c>
      <c r="AL229" s="30">
        <f>Table13[[#This Row],[Year 2]]</f>
        <v>0</v>
      </c>
      <c r="AM229" s="30">
        <f>Table13[[#This Row],[Year 3]]</f>
        <v>0</v>
      </c>
      <c r="AN229" s="1">
        <v>3</v>
      </c>
    </row>
    <row r="230" spans="1:40" hidden="1" x14ac:dyDescent="0.25">
      <c r="A230" s="1" t="s">
        <v>48</v>
      </c>
      <c r="B230" s="1" t="s">
        <v>2120</v>
      </c>
      <c r="C230" s="1" t="s">
        <v>50</v>
      </c>
      <c r="D230" s="1" t="s">
        <v>2692</v>
      </c>
      <c r="E230" s="1" t="s">
        <v>2693</v>
      </c>
      <c r="F230" s="22" t="s">
        <v>3</v>
      </c>
      <c r="G230" s="1" t="s">
        <v>6085</v>
      </c>
      <c r="H230" s="1" t="s">
        <v>7</v>
      </c>
      <c r="I230" s="1" t="s">
        <v>21</v>
      </c>
      <c r="J230" s="1" t="s">
        <v>26</v>
      </c>
      <c r="K230" s="1" t="s">
        <v>9</v>
      </c>
      <c r="L230" s="1" t="s">
        <v>53</v>
      </c>
      <c r="M230" s="11" t="s">
        <v>188</v>
      </c>
      <c r="N230" s="1" t="s">
        <v>6037</v>
      </c>
      <c r="O230" s="1" t="s">
        <v>13</v>
      </c>
      <c r="P230" s="1" t="s">
        <v>126</v>
      </c>
      <c r="Q230" s="1" t="s">
        <v>4621</v>
      </c>
      <c r="R230" s="1" t="s">
        <v>4009</v>
      </c>
      <c r="S230" s="1" t="s">
        <v>6081</v>
      </c>
      <c r="T230" s="1" t="s">
        <v>6082</v>
      </c>
      <c r="U230" s="1" t="s">
        <v>6097</v>
      </c>
      <c r="V230" s="1" t="s">
        <v>6188</v>
      </c>
      <c r="W230" s="27">
        <v>83.333333333333343</v>
      </c>
      <c r="X230" s="27">
        <v>52.777777777777779</v>
      </c>
      <c r="Y230" s="33">
        <f>AVERAGE(Table13[[#This Row],[Score 1]],Table13[[#This Row],[Score 2]])</f>
        <v>68.055555555555557</v>
      </c>
      <c r="Z230" s="1">
        <v>4</v>
      </c>
      <c r="AA230" s="1">
        <v>2</v>
      </c>
      <c r="AB230" s="22">
        <f>Table13[[#This Row],[Rank 1]]+Table13[[#This Row],[Rank 2]]</f>
        <v>6</v>
      </c>
      <c r="AC230" s="1" t="str">
        <f>IF(AND(Table13[[#This Row],[Average score]]&gt;75,Table13[[#This Row],[Total rank]]&gt;6.5),"Yes","No")</f>
        <v>No</v>
      </c>
      <c r="AD230" s="1" t="str">
        <f>IF(AND(Table13[[#This Row],[Average score]]&gt;80,Table13[[#This Row],[Total rank]]&gt;7.5),"Yes","No")</f>
        <v>No</v>
      </c>
      <c r="AF230" s="8">
        <v>46083</v>
      </c>
      <c r="AG230" s="1">
        <v>2</v>
      </c>
      <c r="AH230" s="27">
        <v>335000</v>
      </c>
      <c r="AI230" s="27">
        <v>382000</v>
      </c>
      <c r="AJ230" s="30">
        <v>0</v>
      </c>
      <c r="AK230" s="30">
        <f>Table13[[#This Row],[Year 1]]</f>
        <v>335000</v>
      </c>
      <c r="AL230" s="30">
        <f>Table13[[#This Row],[Year 2]]</f>
        <v>382000</v>
      </c>
      <c r="AM230" s="30">
        <f>Table13[[#This Row],[Year 3]]</f>
        <v>0</v>
      </c>
      <c r="AN230" s="1">
        <v>3</v>
      </c>
    </row>
    <row r="231" spans="1:40" hidden="1" x14ac:dyDescent="0.25">
      <c r="A231" s="1" t="s">
        <v>48</v>
      </c>
      <c r="B231" s="1" t="s">
        <v>2121</v>
      </c>
      <c r="C231" s="1" t="s">
        <v>50</v>
      </c>
      <c r="D231" s="1" t="s">
        <v>2694</v>
      </c>
      <c r="E231" s="1" t="s">
        <v>2695</v>
      </c>
      <c r="F231" s="22" t="s">
        <v>3</v>
      </c>
      <c r="G231" s="1" t="s">
        <v>6085</v>
      </c>
      <c r="H231" s="1" t="s">
        <v>6</v>
      </c>
      <c r="I231" s="1" t="s">
        <v>22</v>
      </c>
      <c r="J231" s="1" t="s">
        <v>25</v>
      </c>
      <c r="K231" s="1" t="s">
        <v>9</v>
      </c>
      <c r="L231" s="1" t="s">
        <v>53</v>
      </c>
      <c r="M231" s="11" t="s">
        <v>188</v>
      </c>
      <c r="N231" s="1" t="s">
        <v>6037</v>
      </c>
      <c r="O231" s="1" t="s">
        <v>16</v>
      </c>
      <c r="P231" s="1" t="s">
        <v>707</v>
      </c>
      <c r="Q231" s="1" t="s">
        <v>5627</v>
      </c>
      <c r="R231" s="1" t="s">
        <v>4012</v>
      </c>
      <c r="S231" s="1" t="s">
        <v>6119</v>
      </c>
      <c r="T231" s="1" t="s">
        <v>6120</v>
      </c>
      <c r="U231" s="1" t="s">
        <v>6129</v>
      </c>
      <c r="V231" s="1" t="s">
        <v>6189</v>
      </c>
      <c r="W231" s="27">
        <v>57.142857142857139</v>
      </c>
      <c r="X231" s="27">
        <v>71.428571428571431</v>
      </c>
      <c r="Y231" s="33">
        <f>AVERAGE(Table13[[#This Row],[Score 1]],Table13[[#This Row],[Score 2]])</f>
        <v>64.285714285714278</v>
      </c>
      <c r="Z231" s="1">
        <v>2</v>
      </c>
      <c r="AA231" s="1">
        <v>3</v>
      </c>
      <c r="AB231" s="22">
        <f>Table13[[#This Row],[Rank 1]]+Table13[[#This Row],[Rank 2]]</f>
        <v>5</v>
      </c>
      <c r="AC231" s="1" t="str">
        <f>IF(AND(Table13[[#This Row],[Average score]]&gt;75,Table13[[#This Row],[Total rank]]&gt;6.5),"Yes","No")</f>
        <v>No</v>
      </c>
      <c r="AD231" s="1" t="str">
        <f>IF(AND(Table13[[#This Row],[Average score]]&gt;80,Table13[[#This Row],[Total rank]]&gt;7.5),"Yes","No")</f>
        <v>No</v>
      </c>
      <c r="AF231" s="8">
        <v>46052</v>
      </c>
      <c r="AG231" s="1">
        <v>1</v>
      </c>
      <c r="AH231" s="27">
        <v>210000</v>
      </c>
      <c r="AI231" s="30">
        <v>0</v>
      </c>
      <c r="AJ231" s="30">
        <v>0</v>
      </c>
      <c r="AK231" s="30">
        <f>Table13[[#This Row],[Year 1]]</f>
        <v>210000</v>
      </c>
      <c r="AL231" s="30">
        <f>Table13[[#This Row],[Year 2]]</f>
        <v>0</v>
      </c>
      <c r="AM231" s="30">
        <f>Table13[[#This Row],[Year 3]]</f>
        <v>0</v>
      </c>
      <c r="AN231" s="1">
        <v>2</v>
      </c>
    </row>
    <row r="232" spans="1:40" hidden="1" x14ac:dyDescent="0.25">
      <c r="A232" s="1" t="s">
        <v>48</v>
      </c>
      <c r="B232" s="1" t="s">
        <v>2122</v>
      </c>
      <c r="C232" s="1" t="s">
        <v>50</v>
      </c>
      <c r="D232" s="1" t="s">
        <v>2696</v>
      </c>
      <c r="E232" s="1" t="s">
        <v>2697</v>
      </c>
      <c r="F232" s="22" t="s">
        <v>3</v>
      </c>
      <c r="G232" s="1" t="s">
        <v>6085</v>
      </c>
      <c r="H232" s="1" t="s">
        <v>6</v>
      </c>
      <c r="I232" s="1" t="s">
        <v>20</v>
      </c>
      <c r="J232" s="1" t="s">
        <v>25</v>
      </c>
      <c r="K232" s="1" t="s">
        <v>9</v>
      </c>
      <c r="L232" s="1" t="s">
        <v>53</v>
      </c>
      <c r="M232" s="11" t="s">
        <v>188</v>
      </c>
      <c r="N232" s="1" t="s">
        <v>6037</v>
      </c>
      <c r="O232" s="1" t="s">
        <v>19</v>
      </c>
      <c r="P232" s="1" t="s">
        <v>60</v>
      </c>
      <c r="Q232" s="1" t="s">
        <v>5628</v>
      </c>
      <c r="R232" s="1" t="s">
        <v>4013</v>
      </c>
      <c r="S232" s="1" t="s">
        <v>6137</v>
      </c>
      <c r="T232" s="1" t="s">
        <v>6138</v>
      </c>
      <c r="U232" s="1" t="s">
        <v>6160</v>
      </c>
      <c r="V232" s="1" t="s">
        <v>6203</v>
      </c>
      <c r="W232" s="27">
        <v>92.857142857142861</v>
      </c>
      <c r="X232" s="27">
        <v>85.714285714285708</v>
      </c>
      <c r="Y232" s="33">
        <f>AVERAGE(Table13[[#This Row],[Score 1]],Table13[[#This Row],[Score 2]])</f>
        <v>89.285714285714278</v>
      </c>
      <c r="Z232" s="1">
        <v>4</v>
      </c>
      <c r="AA232" s="1">
        <v>5</v>
      </c>
      <c r="AB232" s="22">
        <f>Table13[[#This Row],[Rank 1]]+Table13[[#This Row],[Rank 2]]</f>
        <v>9</v>
      </c>
      <c r="AC232" s="1" t="str">
        <f>IF(AND(Table13[[#This Row],[Average score]]&gt;75,Table13[[#This Row],[Total rank]]&gt;6.5),"Yes","No")</f>
        <v>Yes</v>
      </c>
      <c r="AD232" s="1" t="str">
        <f>IF(AND(Table13[[#This Row],[Average score]]&gt;80,Table13[[#This Row],[Total rank]]&gt;7.5),"Yes","No")</f>
        <v>Yes</v>
      </c>
      <c r="AF232" s="8">
        <v>46034</v>
      </c>
      <c r="AG232" s="1">
        <v>2</v>
      </c>
      <c r="AH232" s="27">
        <v>201000</v>
      </c>
      <c r="AI232" s="27">
        <v>209500</v>
      </c>
      <c r="AJ232" s="30">
        <v>0</v>
      </c>
      <c r="AK232" s="30">
        <f>Table13[[#This Row],[Year 1]]</f>
        <v>201000</v>
      </c>
      <c r="AL232" s="30">
        <f>Table13[[#This Row],[Year 2]]</f>
        <v>209500</v>
      </c>
      <c r="AM232" s="30">
        <f>Table13[[#This Row],[Year 3]]</f>
        <v>0</v>
      </c>
      <c r="AN232" s="1">
        <v>3</v>
      </c>
    </row>
    <row r="233" spans="1:40" hidden="1" x14ac:dyDescent="0.25">
      <c r="A233" s="1" t="s">
        <v>48</v>
      </c>
      <c r="B233" s="1" t="s">
        <v>2123</v>
      </c>
      <c r="C233" s="1" t="s">
        <v>50</v>
      </c>
      <c r="D233" s="1" t="s">
        <v>2698</v>
      </c>
      <c r="E233" s="1" t="s">
        <v>2699</v>
      </c>
      <c r="F233" s="22" t="s">
        <v>3</v>
      </c>
      <c r="G233" s="1" t="s">
        <v>6085</v>
      </c>
      <c r="H233" s="1" t="s">
        <v>6</v>
      </c>
      <c r="I233" s="1" t="s">
        <v>22</v>
      </c>
      <c r="J233" s="1" t="s">
        <v>26</v>
      </c>
      <c r="K233" s="1" t="s">
        <v>9</v>
      </c>
      <c r="L233" s="1" t="s">
        <v>53</v>
      </c>
      <c r="M233" s="11" t="s">
        <v>188</v>
      </c>
      <c r="N233" s="1" t="s">
        <v>6037</v>
      </c>
      <c r="O233" s="1" t="s">
        <v>16</v>
      </c>
      <c r="P233" s="1" t="s">
        <v>60</v>
      </c>
      <c r="Q233" s="1" t="s">
        <v>5392</v>
      </c>
      <c r="R233" s="1" t="s">
        <v>4016</v>
      </c>
      <c r="S233" s="1" t="s">
        <v>6107</v>
      </c>
      <c r="T233" s="1" t="s">
        <v>6108</v>
      </c>
      <c r="U233" s="1" t="s">
        <v>6131</v>
      </c>
      <c r="V233" s="1" t="s">
        <v>6192</v>
      </c>
      <c r="W233" s="27">
        <v>64.285714285714292</v>
      </c>
      <c r="X233" s="27">
        <v>32.142857142857146</v>
      </c>
      <c r="Y233" s="33">
        <f>AVERAGE(Table13[[#This Row],[Score 1]],Table13[[#This Row],[Score 2]])</f>
        <v>48.214285714285722</v>
      </c>
      <c r="Z233" s="1">
        <v>3</v>
      </c>
      <c r="AA233" s="1">
        <v>1</v>
      </c>
      <c r="AB233" s="22">
        <f>Table13[[#This Row],[Rank 1]]+Table13[[#This Row],[Rank 2]]</f>
        <v>4</v>
      </c>
      <c r="AC233" s="1" t="str">
        <f>IF(AND(Table13[[#This Row],[Average score]]&gt;75,Table13[[#This Row],[Total rank]]&gt;6.5),"Yes","No")</f>
        <v>No</v>
      </c>
      <c r="AD233" s="1" t="str">
        <f>IF(AND(Table13[[#This Row],[Average score]]&gt;80,Table13[[#This Row],[Total rank]]&gt;7.5),"Yes","No")</f>
        <v>No</v>
      </c>
      <c r="AF233" s="8">
        <v>46023</v>
      </c>
      <c r="AG233" s="1">
        <v>2</v>
      </c>
      <c r="AH233" s="27">
        <v>230000</v>
      </c>
      <c r="AI233" s="27">
        <v>230000</v>
      </c>
      <c r="AJ233" s="30">
        <v>0</v>
      </c>
      <c r="AK233" s="30">
        <f>Table13[[#This Row],[Year 1]]</f>
        <v>230000</v>
      </c>
      <c r="AL233" s="30">
        <f>Table13[[#This Row],[Year 2]]</f>
        <v>230000</v>
      </c>
      <c r="AM233" s="30">
        <f>Table13[[#This Row],[Year 3]]</f>
        <v>0</v>
      </c>
      <c r="AN233" s="1">
        <v>3</v>
      </c>
    </row>
    <row r="234" spans="1:40" hidden="1" x14ac:dyDescent="0.25">
      <c r="A234" s="1" t="s">
        <v>48</v>
      </c>
      <c r="B234" s="1" t="s">
        <v>2124</v>
      </c>
      <c r="C234" s="1" t="s">
        <v>50</v>
      </c>
      <c r="D234" s="1" t="s">
        <v>2700</v>
      </c>
      <c r="E234" s="1" t="s">
        <v>2701</v>
      </c>
      <c r="F234" s="22" t="s">
        <v>2</v>
      </c>
      <c r="G234" s="1" t="s">
        <v>6085</v>
      </c>
      <c r="H234" s="1" t="s">
        <v>5</v>
      </c>
      <c r="I234" s="1" t="s">
        <v>20</v>
      </c>
      <c r="J234" s="1" t="s">
        <v>25</v>
      </c>
      <c r="K234" s="1" t="s">
        <v>9</v>
      </c>
      <c r="L234" s="1" t="s">
        <v>53</v>
      </c>
      <c r="M234" s="1" t="s">
        <v>1190</v>
      </c>
      <c r="N234" s="1" t="s">
        <v>6037</v>
      </c>
      <c r="O234" s="1" t="s">
        <v>14</v>
      </c>
      <c r="P234" s="1" t="s">
        <v>126</v>
      </c>
      <c r="Q234" s="1" t="s">
        <v>5629</v>
      </c>
      <c r="R234" s="1" t="s">
        <v>4017</v>
      </c>
      <c r="S234" s="1" t="s">
        <v>6139</v>
      </c>
      <c r="T234" s="1" t="s">
        <v>6140</v>
      </c>
      <c r="U234" s="1" t="s">
        <v>6162</v>
      </c>
      <c r="V234" s="1" t="s">
        <v>6187</v>
      </c>
      <c r="W234" s="27">
        <v>78.571428571428569</v>
      </c>
      <c r="X234" s="27">
        <v>71.428571428571431</v>
      </c>
      <c r="Y234" s="33">
        <f>AVERAGE(Table13[[#This Row],[Score 1]],Table13[[#This Row],[Score 2]])</f>
        <v>75</v>
      </c>
      <c r="Z234" s="1">
        <v>4</v>
      </c>
      <c r="AA234" s="1">
        <v>3</v>
      </c>
      <c r="AB234" s="22">
        <f>Table13[[#This Row],[Rank 1]]+Table13[[#This Row],[Rank 2]]</f>
        <v>7</v>
      </c>
      <c r="AC234" s="1" t="str">
        <f>IF(AND(Table13[[#This Row],[Average score]]&gt;75,Table13[[#This Row],[Total rank]]&gt;6.5),"Yes","No")</f>
        <v>No</v>
      </c>
      <c r="AD234" s="1" t="str">
        <f>IF(AND(Table13[[#This Row],[Average score]]&gt;80,Table13[[#This Row],[Total rank]]&gt;7.5),"Yes","No")</f>
        <v>No</v>
      </c>
      <c r="AF234" s="8">
        <v>45323</v>
      </c>
      <c r="AG234" s="1">
        <v>2</v>
      </c>
      <c r="AH234" s="27">
        <v>-17148</v>
      </c>
      <c r="AI234" s="27">
        <v>-17148</v>
      </c>
      <c r="AJ234" s="30">
        <v>0</v>
      </c>
      <c r="AK234" s="30">
        <f>Table13[[#This Row],[Year 1]]</f>
        <v>-17148</v>
      </c>
      <c r="AL234" s="30">
        <f>Table13[[#This Row],[Year 2]]</f>
        <v>-17148</v>
      </c>
      <c r="AM234" s="30">
        <f>Table13[[#This Row],[Year 3]]</f>
        <v>0</v>
      </c>
      <c r="AN234" s="1">
        <v>3</v>
      </c>
    </row>
    <row r="235" spans="1:40" hidden="1" x14ac:dyDescent="0.25">
      <c r="A235" s="1" t="s">
        <v>48</v>
      </c>
      <c r="B235" s="1" t="s">
        <v>2125</v>
      </c>
      <c r="C235" s="1" t="s">
        <v>50</v>
      </c>
      <c r="D235" s="1" t="s">
        <v>2702</v>
      </c>
      <c r="E235" s="1" t="s">
        <v>2703</v>
      </c>
      <c r="F235" s="22" t="s">
        <v>3</v>
      </c>
      <c r="G235" s="1" t="s">
        <v>6085</v>
      </c>
      <c r="H235" s="1" t="s">
        <v>7</v>
      </c>
      <c r="I235" s="1" t="s">
        <v>20</v>
      </c>
      <c r="J235" s="1" t="s">
        <v>26</v>
      </c>
      <c r="K235" s="1" t="s">
        <v>9</v>
      </c>
      <c r="L235" s="1" t="s">
        <v>53</v>
      </c>
      <c r="M235" s="11" t="s">
        <v>188</v>
      </c>
      <c r="N235" s="1" t="s">
        <v>6037</v>
      </c>
      <c r="O235" s="1" t="s">
        <v>11</v>
      </c>
      <c r="P235" s="1" t="s">
        <v>4019</v>
      </c>
      <c r="Q235" s="1" t="s">
        <v>5630</v>
      </c>
      <c r="R235" s="1" t="s">
        <v>4020</v>
      </c>
      <c r="S235" s="1" t="s">
        <v>6055</v>
      </c>
      <c r="T235" s="1" t="s">
        <v>6056</v>
      </c>
      <c r="U235" s="1" t="s">
        <v>6105</v>
      </c>
      <c r="V235" s="1" t="s">
        <v>6199</v>
      </c>
      <c r="W235" s="27">
        <v>86.111111111111114</v>
      </c>
      <c r="X235" s="27">
        <v>72.222222222222214</v>
      </c>
      <c r="Y235" s="33">
        <f>AVERAGE(Table13[[#This Row],[Score 1]],Table13[[#This Row],[Score 2]])</f>
        <v>79.166666666666657</v>
      </c>
      <c r="Z235" s="1">
        <v>4</v>
      </c>
      <c r="AA235" s="1">
        <v>3</v>
      </c>
      <c r="AB235" s="22">
        <f>Table13[[#This Row],[Rank 1]]+Table13[[#This Row],[Rank 2]]</f>
        <v>7</v>
      </c>
      <c r="AC235" s="1" t="str">
        <f>IF(AND(Table13[[#This Row],[Average score]]&gt;75,Table13[[#This Row],[Total rank]]&gt;6.5),"Yes","No")</f>
        <v>Yes</v>
      </c>
      <c r="AD235" s="1" t="str">
        <f>IF(AND(Table13[[#This Row],[Average score]]&gt;80,Table13[[#This Row],[Total rank]]&gt;7.5),"Yes","No")</f>
        <v>No</v>
      </c>
      <c r="AF235" s="8">
        <v>46023</v>
      </c>
      <c r="AG235" s="1">
        <v>2</v>
      </c>
      <c r="AH235" s="27">
        <v>665000</v>
      </c>
      <c r="AI235" s="27">
        <v>657100</v>
      </c>
      <c r="AJ235" s="30">
        <v>0</v>
      </c>
      <c r="AK235" s="30">
        <f>Table13[[#This Row],[Year 1]]</f>
        <v>665000</v>
      </c>
      <c r="AL235" s="30">
        <f>Table13[[#This Row],[Year 2]]</f>
        <v>657100</v>
      </c>
      <c r="AM235" s="30">
        <f>Table13[[#This Row],[Year 3]]</f>
        <v>0</v>
      </c>
      <c r="AN235" s="1">
        <v>2</v>
      </c>
    </row>
    <row r="236" spans="1:40" hidden="1" x14ac:dyDescent="0.25">
      <c r="A236" s="1" t="s">
        <v>48</v>
      </c>
      <c r="B236" s="1" t="s">
        <v>2126</v>
      </c>
      <c r="C236" s="1" t="s">
        <v>50</v>
      </c>
      <c r="D236" s="1" t="s">
        <v>2704</v>
      </c>
      <c r="E236" s="1" t="s">
        <v>2705</v>
      </c>
      <c r="F236" s="22" t="s">
        <v>3</v>
      </c>
      <c r="G236" s="1" t="s">
        <v>6085</v>
      </c>
      <c r="H236" s="1" t="s">
        <v>6</v>
      </c>
      <c r="I236" s="1" t="s">
        <v>20</v>
      </c>
      <c r="J236" s="1" t="s">
        <v>25</v>
      </c>
      <c r="K236" s="1" t="s">
        <v>9</v>
      </c>
      <c r="L236" s="1" t="s">
        <v>53</v>
      </c>
      <c r="M236" s="11" t="s">
        <v>188</v>
      </c>
      <c r="N236" s="1" t="s">
        <v>6037</v>
      </c>
      <c r="O236" s="1" t="s">
        <v>14</v>
      </c>
      <c r="P236" s="1" t="s">
        <v>126</v>
      </c>
      <c r="Q236" s="1" t="s">
        <v>5631</v>
      </c>
      <c r="R236" s="1" t="s">
        <v>4023</v>
      </c>
      <c r="S236" s="1" t="s">
        <v>6145</v>
      </c>
      <c r="T236" s="1" t="s">
        <v>6146</v>
      </c>
      <c r="U236" s="1" t="s">
        <v>6156</v>
      </c>
      <c r="V236" s="1" t="s">
        <v>6169</v>
      </c>
      <c r="W236" s="27">
        <v>82.142857142857139</v>
      </c>
      <c r="X236" s="27">
        <v>64.285714285714292</v>
      </c>
      <c r="Y236" s="33">
        <f>AVERAGE(Table13[[#This Row],[Score 1]],Table13[[#This Row],[Score 2]])</f>
        <v>73.214285714285722</v>
      </c>
      <c r="Z236" s="1">
        <v>4</v>
      </c>
      <c r="AA236" s="1">
        <v>2</v>
      </c>
      <c r="AB236" s="22">
        <f>Table13[[#This Row],[Rank 1]]+Table13[[#This Row],[Rank 2]]</f>
        <v>6</v>
      </c>
      <c r="AC236" s="1" t="str">
        <f>IF(AND(Table13[[#This Row],[Average score]]&gt;75,Table13[[#This Row],[Total rank]]&gt;6.5),"Yes","No")</f>
        <v>No</v>
      </c>
      <c r="AD236" s="1" t="str">
        <f>IF(AND(Table13[[#This Row],[Average score]]&gt;80,Table13[[#This Row],[Total rank]]&gt;7.5),"Yes","No")</f>
        <v>No</v>
      </c>
      <c r="AF236" s="8">
        <v>46069</v>
      </c>
      <c r="AG236" s="1">
        <v>1</v>
      </c>
      <c r="AH236" s="27">
        <v>40000</v>
      </c>
      <c r="AI236" s="30">
        <v>0</v>
      </c>
      <c r="AJ236" s="30">
        <v>0</v>
      </c>
      <c r="AK236" s="30">
        <f>Table13[[#This Row],[Year 1]]</f>
        <v>40000</v>
      </c>
      <c r="AL236" s="30">
        <f>Table13[[#This Row],[Year 2]]</f>
        <v>0</v>
      </c>
      <c r="AM236" s="30">
        <f>Table13[[#This Row],[Year 3]]</f>
        <v>0</v>
      </c>
      <c r="AN236" s="1">
        <v>2</v>
      </c>
    </row>
    <row r="237" spans="1:40" hidden="1" x14ac:dyDescent="0.25">
      <c r="A237" s="1" t="s">
        <v>48</v>
      </c>
      <c r="B237" s="1" t="s">
        <v>2127</v>
      </c>
      <c r="C237" s="1" t="s">
        <v>50</v>
      </c>
      <c r="D237" s="1" t="s">
        <v>2706</v>
      </c>
      <c r="E237" s="1" t="s">
        <v>2707</v>
      </c>
      <c r="F237" s="22" t="s">
        <v>3</v>
      </c>
      <c r="G237" s="1" t="s">
        <v>6085</v>
      </c>
      <c r="H237" s="1" t="s">
        <v>7</v>
      </c>
      <c r="I237" s="1" t="s">
        <v>20</v>
      </c>
      <c r="J237" s="1" t="s">
        <v>25</v>
      </c>
      <c r="K237" s="1" t="s">
        <v>9</v>
      </c>
      <c r="L237" s="1" t="s">
        <v>53</v>
      </c>
      <c r="M237" s="11" t="s">
        <v>188</v>
      </c>
      <c r="N237" s="1" t="s">
        <v>6037</v>
      </c>
      <c r="O237" s="1" t="s">
        <v>10</v>
      </c>
      <c r="P237" s="1" t="s">
        <v>247</v>
      </c>
      <c r="Q237" s="18" t="s">
        <v>7</v>
      </c>
      <c r="R237" s="1" t="s">
        <v>4024</v>
      </c>
      <c r="S237" s="1" t="s">
        <v>6049</v>
      </c>
      <c r="T237" s="1" t="s">
        <v>6050</v>
      </c>
      <c r="U237" s="1" t="s">
        <v>6104</v>
      </c>
      <c r="V237" s="1" t="s">
        <v>6200</v>
      </c>
      <c r="W237" s="27">
        <v>75</v>
      </c>
      <c r="X237" s="27">
        <v>63.888888888888886</v>
      </c>
      <c r="Y237" s="33">
        <f>AVERAGE(Table13[[#This Row],[Score 1]],Table13[[#This Row],[Score 2]])</f>
        <v>69.444444444444443</v>
      </c>
      <c r="Z237" s="1">
        <v>4</v>
      </c>
      <c r="AA237" s="1">
        <v>2</v>
      </c>
      <c r="AB237" s="22">
        <f>Table13[[#This Row],[Rank 1]]+Table13[[#This Row],[Rank 2]]</f>
        <v>6</v>
      </c>
      <c r="AC237" s="1" t="str">
        <f>IF(AND(Table13[[#This Row],[Average score]]&gt;75,Table13[[#This Row],[Total rank]]&gt;6.5),"Yes","No")</f>
        <v>No</v>
      </c>
      <c r="AD237" s="1" t="str">
        <f>IF(AND(Table13[[#This Row],[Average score]]&gt;80,Table13[[#This Row],[Total rank]]&gt;7.5),"Yes","No")</f>
        <v>No</v>
      </c>
      <c r="AF237" s="8">
        <v>46027</v>
      </c>
      <c r="AG237" s="1">
        <v>2</v>
      </c>
      <c r="AH237" s="27">
        <v>440000</v>
      </c>
      <c r="AI237" s="27">
        <v>460000</v>
      </c>
      <c r="AJ237" s="30">
        <v>0</v>
      </c>
      <c r="AK237" s="30">
        <f>Table13[[#This Row],[Year 1]]</f>
        <v>440000</v>
      </c>
      <c r="AL237" s="30">
        <f>Table13[[#This Row],[Year 2]]</f>
        <v>460000</v>
      </c>
      <c r="AM237" s="30">
        <f>Table13[[#This Row],[Year 3]]</f>
        <v>0</v>
      </c>
      <c r="AN237" s="1">
        <v>3</v>
      </c>
    </row>
    <row r="238" spans="1:40" hidden="1" x14ac:dyDescent="0.25">
      <c r="A238" s="1" t="s">
        <v>48</v>
      </c>
      <c r="B238" s="1" t="s">
        <v>2128</v>
      </c>
      <c r="C238" s="1" t="s">
        <v>50</v>
      </c>
      <c r="D238" s="1" t="s">
        <v>2708</v>
      </c>
      <c r="E238" s="1" t="s">
        <v>2709</v>
      </c>
      <c r="F238" s="22" t="s">
        <v>3</v>
      </c>
      <c r="G238" s="1" t="s">
        <v>6085</v>
      </c>
      <c r="H238" s="1" t="s">
        <v>7</v>
      </c>
      <c r="I238" s="1" t="s">
        <v>20</v>
      </c>
      <c r="J238" s="1" t="s">
        <v>25</v>
      </c>
      <c r="K238" s="1" t="s">
        <v>9</v>
      </c>
      <c r="L238" s="1" t="s">
        <v>53</v>
      </c>
      <c r="M238" s="11" t="s">
        <v>188</v>
      </c>
      <c r="N238" s="1" t="s">
        <v>6037</v>
      </c>
      <c r="O238" s="1" t="s">
        <v>16</v>
      </c>
      <c r="P238" s="1" t="s">
        <v>60</v>
      </c>
      <c r="Q238" s="1" t="s">
        <v>7</v>
      </c>
      <c r="R238" s="1" t="s">
        <v>4026</v>
      </c>
      <c r="S238" s="1" t="s">
        <v>6111</v>
      </c>
      <c r="T238" s="1" t="s">
        <v>6112</v>
      </c>
      <c r="U238" s="1" t="s">
        <v>6127</v>
      </c>
      <c r="V238" s="1" t="s">
        <v>6179</v>
      </c>
      <c r="W238" s="27">
        <v>75</v>
      </c>
      <c r="X238" s="27">
        <v>88.888888888888886</v>
      </c>
      <c r="Y238" s="33">
        <f>AVERAGE(Table13[[#This Row],[Score 1]],Table13[[#This Row],[Score 2]])</f>
        <v>81.944444444444443</v>
      </c>
      <c r="Z238" s="1">
        <v>3</v>
      </c>
      <c r="AA238" s="1">
        <v>4</v>
      </c>
      <c r="AB238" s="22">
        <f>Table13[[#This Row],[Rank 1]]+Table13[[#This Row],[Rank 2]]</f>
        <v>7</v>
      </c>
      <c r="AC238" s="1" t="str">
        <f>IF(AND(Table13[[#This Row],[Average score]]&gt;75,Table13[[#This Row],[Total rank]]&gt;6.5),"Yes","No")</f>
        <v>Yes</v>
      </c>
      <c r="AD238" s="1" t="str">
        <f>IF(AND(Table13[[#This Row],[Average score]]&gt;80,Table13[[#This Row],[Total rank]]&gt;7.5),"Yes","No")</f>
        <v>No</v>
      </c>
      <c r="AF238" s="8">
        <v>45743</v>
      </c>
      <c r="AG238" s="1">
        <v>2</v>
      </c>
      <c r="AH238" s="27">
        <v>248000</v>
      </c>
      <c r="AI238" s="27">
        <v>201000</v>
      </c>
      <c r="AJ238" s="30">
        <v>0</v>
      </c>
      <c r="AK238" s="30">
        <f>Table13[[#This Row],[Year 1]]</f>
        <v>248000</v>
      </c>
      <c r="AL238" s="30">
        <f>Table13[[#This Row],[Year 2]]</f>
        <v>201000</v>
      </c>
      <c r="AM238" s="30">
        <f>Table13[[#This Row],[Year 3]]</f>
        <v>0</v>
      </c>
      <c r="AN238" s="1">
        <v>3</v>
      </c>
    </row>
    <row r="239" spans="1:40" hidden="1" x14ac:dyDescent="0.25">
      <c r="A239" s="1" t="s">
        <v>48</v>
      </c>
      <c r="B239" s="10" t="s">
        <v>2129</v>
      </c>
      <c r="C239" s="1" t="s">
        <v>50</v>
      </c>
      <c r="D239" s="1" t="s">
        <v>2710</v>
      </c>
      <c r="E239" s="1" t="s">
        <v>2711</v>
      </c>
      <c r="F239" s="22" t="s">
        <v>2</v>
      </c>
      <c r="G239" s="1" t="s">
        <v>6085</v>
      </c>
      <c r="H239" s="1" t="s">
        <v>6</v>
      </c>
      <c r="I239" s="1" t="s">
        <v>20</v>
      </c>
      <c r="J239" s="1" t="s">
        <v>26</v>
      </c>
      <c r="K239" s="1" t="s">
        <v>9</v>
      </c>
      <c r="L239" s="1" t="s">
        <v>53</v>
      </c>
      <c r="M239" s="11" t="s">
        <v>188</v>
      </c>
      <c r="N239" s="1" t="s">
        <v>6037</v>
      </c>
      <c r="O239" s="1" t="s">
        <v>13</v>
      </c>
      <c r="P239" s="1" t="s">
        <v>4028</v>
      </c>
      <c r="Q239" s="1" t="s">
        <v>5632</v>
      </c>
      <c r="R239" s="1" t="s">
        <v>4029</v>
      </c>
      <c r="S239" s="1" t="s">
        <v>6068</v>
      </c>
      <c r="T239" s="1" t="s">
        <v>6069</v>
      </c>
      <c r="U239" s="1" t="s">
        <v>6099</v>
      </c>
      <c r="V239" s="1" t="s">
        <v>6194</v>
      </c>
      <c r="W239" s="27">
        <v>60.714285714285708</v>
      </c>
      <c r="X239" s="27">
        <v>75</v>
      </c>
      <c r="Y239" s="33">
        <f>AVERAGE(Table13[[#This Row],[Score 1]],Table13[[#This Row],[Score 2]])</f>
        <v>67.857142857142861</v>
      </c>
      <c r="Z239" s="1">
        <v>3</v>
      </c>
      <c r="AA239" s="1">
        <v>5</v>
      </c>
      <c r="AB239" s="22">
        <f>Table13[[#This Row],[Rank 1]]+Table13[[#This Row],[Rank 2]]</f>
        <v>8</v>
      </c>
      <c r="AC239" s="1" t="str">
        <f>IF(AND(Table13[[#This Row],[Average score]]&gt;75,Table13[[#This Row],[Total rank]]&gt;6.5),"Yes","No")</f>
        <v>No</v>
      </c>
      <c r="AD239" s="1" t="str">
        <f>IF(AND(Table13[[#This Row],[Average score]]&gt;80,Table13[[#This Row],[Total rank]]&gt;7.5),"Yes","No")</f>
        <v>No</v>
      </c>
      <c r="AF239" s="8">
        <v>46041</v>
      </c>
      <c r="AG239" s="1">
        <v>2</v>
      </c>
      <c r="AH239" s="27">
        <v>196000</v>
      </c>
      <c r="AI239" s="27">
        <v>196000</v>
      </c>
      <c r="AJ239" s="30">
        <v>0</v>
      </c>
      <c r="AK239" s="30">
        <f>Table13[[#This Row],[Year 1]]</f>
        <v>196000</v>
      </c>
      <c r="AL239" s="30">
        <f>Table13[[#This Row],[Year 2]]</f>
        <v>196000</v>
      </c>
      <c r="AM239" s="30">
        <f>Table13[[#This Row],[Year 3]]</f>
        <v>0</v>
      </c>
      <c r="AN239" s="1">
        <v>3</v>
      </c>
    </row>
    <row r="240" spans="1:40" x14ac:dyDescent="0.25">
      <c r="A240" s="1" t="s">
        <v>48</v>
      </c>
      <c r="B240" s="2" t="s">
        <v>2130</v>
      </c>
      <c r="C240" s="1" t="s">
        <v>50</v>
      </c>
      <c r="D240" s="1" t="s">
        <v>2712</v>
      </c>
      <c r="E240" s="1" t="s">
        <v>2713</v>
      </c>
      <c r="F240" s="22" t="s">
        <v>3</v>
      </c>
      <c r="G240" s="1" t="s">
        <v>6085</v>
      </c>
      <c r="H240" s="1" t="s">
        <v>5</v>
      </c>
      <c r="I240" s="1" t="s">
        <v>20</v>
      </c>
      <c r="J240" s="1" t="s">
        <v>26</v>
      </c>
      <c r="K240" s="1" t="s">
        <v>9</v>
      </c>
      <c r="L240" s="1" t="s">
        <v>53</v>
      </c>
      <c r="M240" s="11" t="s">
        <v>188</v>
      </c>
      <c r="N240" s="1" t="s">
        <v>6037</v>
      </c>
      <c r="O240" s="1" t="s">
        <v>13</v>
      </c>
      <c r="P240" s="1" t="s">
        <v>60</v>
      </c>
      <c r="Q240" s="1" t="s">
        <v>5633</v>
      </c>
      <c r="R240" s="1" t="s">
        <v>4031</v>
      </c>
      <c r="S240" s="1" t="s">
        <v>6066</v>
      </c>
      <c r="T240" s="1" t="s">
        <v>6067</v>
      </c>
      <c r="U240" s="1" t="s">
        <v>6103</v>
      </c>
      <c r="V240" s="1" t="s">
        <v>6198</v>
      </c>
      <c r="W240" s="27">
        <v>100</v>
      </c>
      <c r="X240" s="29">
        <f>Table13[[#This Row],[Score 1]]</f>
        <v>100</v>
      </c>
      <c r="Y240" s="33">
        <f>AVERAGE(Table13[[#This Row],[Score 1]],Table13[[#This Row],[Score 2]])</f>
        <v>100</v>
      </c>
      <c r="Z240" s="1">
        <v>5</v>
      </c>
      <c r="AA240" s="2">
        <f>Table13[[#This Row],[Rank 1]]</f>
        <v>5</v>
      </c>
      <c r="AB240" s="22">
        <f>Table13[[#This Row],[Rank 1]]+Table13[[#This Row],[Rank 2]]</f>
        <v>10</v>
      </c>
      <c r="AC240" s="1" t="str">
        <f>IF(AND(Table13[[#This Row],[Average score]]&gt;75,Table13[[#This Row],[Total rank]]&gt;6.5),"Yes","No")</f>
        <v>Yes</v>
      </c>
      <c r="AD240" s="1" t="str">
        <f>IF(AND(Table13[[#This Row],[Average score]]&gt;80,Table13[[#This Row],[Total rank]]&gt;7.5),"Yes","No")</f>
        <v>Yes</v>
      </c>
      <c r="AE240" s="1" t="s">
        <v>6221</v>
      </c>
      <c r="AF240" s="8">
        <v>46055</v>
      </c>
      <c r="AG240" s="1">
        <v>3</v>
      </c>
      <c r="AH240" s="27">
        <v>95000</v>
      </c>
      <c r="AI240" s="27">
        <v>80000</v>
      </c>
      <c r="AJ240" s="27">
        <v>80000</v>
      </c>
      <c r="AK240" s="27">
        <f>Table13[[#This Row],[Year 1]]</f>
        <v>95000</v>
      </c>
      <c r="AL240" s="27">
        <f>Table13[[#This Row],[Year 2]]</f>
        <v>80000</v>
      </c>
      <c r="AM240" s="27">
        <f>Table13[[#This Row],[Year 3]]</f>
        <v>80000</v>
      </c>
      <c r="AN240" s="1">
        <v>3</v>
      </c>
    </row>
    <row r="241" spans="1:40" hidden="1" x14ac:dyDescent="0.25">
      <c r="A241" s="1" t="s">
        <v>48</v>
      </c>
      <c r="B241" s="2" t="s">
        <v>2131</v>
      </c>
      <c r="C241" s="1" t="s">
        <v>50</v>
      </c>
      <c r="D241" s="1" t="s">
        <v>2714</v>
      </c>
      <c r="E241" s="1" t="s">
        <v>2715</v>
      </c>
      <c r="F241" s="22" t="s">
        <v>3</v>
      </c>
      <c r="G241" s="1" t="s">
        <v>6085</v>
      </c>
      <c r="H241" s="1" t="s">
        <v>5</v>
      </c>
      <c r="I241" s="1" t="s">
        <v>20</v>
      </c>
      <c r="J241" s="1" t="s">
        <v>25</v>
      </c>
      <c r="K241" s="1" t="s">
        <v>9</v>
      </c>
      <c r="L241" s="1" t="s">
        <v>53</v>
      </c>
      <c r="M241" s="11" t="s">
        <v>188</v>
      </c>
      <c r="N241" s="1" t="s">
        <v>6037</v>
      </c>
      <c r="O241" s="1" t="s">
        <v>13</v>
      </c>
      <c r="P241" s="1" t="s">
        <v>593</v>
      </c>
      <c r="Q241" s="1" t="s">
        <v>5433</v>
      </c>
      <c r="R241" s="1" t="s">
        <v>4032</v>
      </c>
      <c r="S241" s="1" t="s">
        <v>6066</v>
      </c>
      <c r="T241" s="1" t="s">
        <v>6067</v>
      </c>
      <c r="U241" s="1" t="s">
        <v>6103</v>
      </c>
      <c r="V241" s="1" t="s">
        <v>6198</v>
      </c>
      <c r="W241" s="27">
        <v>75</v>
      </c>
      <c r="X241" s="29">
        <f>Table13[[#This Row],[Score 1]]</f>
        <v>75</v>
      </c>
      <c r="Y241" s="33">
        <f>AVERAGE(Table13[[#This Row],[Score 1]],Table13[[#This Row],[Score 2]])</f>
        <v>75</v>
      </c>
      <c r="Z241" s="1">
        <v>4</v>
      </c>
      <c r="AA241" s="2">
        <f>Table13[[#This Row],[Rank 1]]</f>
        <v>4</v>
      </c>
      <c r="AB241" s="22">
        <f>Table13[[#This Row],[Rank 1]]+Table13[[#This Row],[Rank 2]]</f>
        <v>8</v>
      </c>
      <c r="AC241" s="1" t="str">
        <f>IF(AND(Table13[[#This Row],[Average score]]&gt;75,Table13[[#This Row],[Total rank]]&gt;6.5),"Yes","No")</f>
        <v>No</v>
      </c>
      <c r="AD241" s="1" t="str">
        <f>IF(AND(Table13[[#This Row],[Average score]]&gt;80,Table13[[#This Row],[Total rank]]&gt;7.5),"Yes","No")</f>
        <v>No</v>
      </c>
      <c r="AF241" s="8">
        <v>46055</v>
      </c>
      <c r="AG241" s="1">
        <v>3</v>
      </c>
      <c r="AH241" s="27">
        <v>162500</v>
      </c>
      <c r="AI241" s="27">
        <v>147500</v>
      </c>
      <c r="AJ241" s="27">
        <v>126000</v>
      </c>
      <c r="AK241" s="27">
        <f>Table13[[#This Row],[Year 1]]</f>
        <v>162500</v>
      </c>
      <c r="AL241" s="27">
        <f>Table13[[#This Row],[Year 2]]</f>
        <v>147500</v>
      </c>
      <c r="AM241" s="27">
        <f>Table13[[#This Row],[Year 3]]</f>
        <v>126000</v>
      </c>
      <c r="AN241" s="1">
        <v>3</v>
      </c>
    </row>
    <row r="242" spans="1:40" hidden="1" x14ac:dyDescent="0.25">
      <c r="A242" s="1" t="s">
        <v>48</v>
      </c>
      <c r="B242" s="1" t="s">
        <v>2132</v>
      </c>
      <c r="C242" s="1" t="s">
        <v>50</v>
      </c>
      <c r="D242" s="1" t="s">
        <v>2716</v>
      </c>
      <c r="E242" s="1" t="s">
        <v>2717</v>
      </c>
      <c r="F242" s="22" t="s">
        <v>3</v>
      </c>
      <c r="G242" s="1" t="s">
        <v>6085</v>
      </c>
      <c r="H242" s="1" t="s">
        <v>5</v>
      </c>
      <c r="I242" s="1" t="s">
        <v>21</v>
      </c>
      <c r="J242" s="1" t="s">
        <v>26</v>
      </c>
      <c r="K242" s="1" t="s">
        <v>9</v>
      </c>
      <c r="L242" s="1" t="s">
        <v>53</v>
      </c>
      <c r="M242" s="11" t="s">
        <v>2091</v>
      </c>
      <c r="N242" s="1" t="s">
        <v>6037</v>
      </c>
      <c r="O242" s="1" t="s">
        <v>10</v>
      </c>
      <c r="P242" s="1" t="s">
        <v>107</v>
      </c>
      <c r="Q242" s="18" t="s">
        <v>5634</v>
      </c>
      <c r="R242" s="1" t="s">
        <v>4036</v>
      </c>
      <c r="S242" s="1" t="s">
        <v>6049</v>
      </c>
      <c r="T242" s="1" t="s">
        <v>6050</v>
      </c>
      <c r="U242" s="1" t="s">
        <v>6104</v>
      </c>
      <c r="V242" s="1" t="s">
        <v>6200</v>
      </c>
      <c r="W242" s="27">
        <v>71.428571428571431</v>
      </c>
      <c r="X242" s="27">
        <v>85.714285714285708</v>
      </c>
      <c r="Y242" s="33">
        <f>AVERAGE(Table13[[#This Row],[Score 1]],Table13[[#This Row],[Score 2]])</f>
        <v>78.571428571428569</v>
      </c>
      <c r="Z242" s="1">
        <v>4</v>
      </c>
      <c r="AA242" s="1">
        <v>5</v>
      </c>
      <c r="AB242" s="22">
        <f>Table13[[#This Row],[Rank 1]]+Table13[[#This Row],[Rank 2]]</f>
        <v>9</v>
      </c>
      <c r="AC242" s="1" t="str">
        <f>IF(AND(Table13[[#This Row],[Average score]]&gt;75,Table13[[#This Row],[Total rank]]&gt;6.5),"Yes","No")</f>
        <v>Yes</v>
      </c>
      <c r="AD242" s="1" t="str">
        <f>IF(AND(Table13[[#This Row],[Average score]]&gt;80,Table13[[#This Row],[Total rank]]&gt;7.5),"Yes","No")</f>
        <v>No</v>
      </c>
      <c r="AF242" s="8">
        <v>46034</v>
      </c>
      <c r="AG242" s="1">
        <v>3</v>
      </c>
      <c r="AH242" s="27">
        <v>210000</v>
      </c>
      <c r="AI242" s="27">
        <v>145500</v>
      </c>
      <c r="AJ242" s="27">
        <v>145500</v>
      </c>
      <c r="AK242" s="27">
        <f>Table13[[#This Row],[Year 1]]</f>
        <v>210000</v>
      </c>
      <c r="AL242" s="27">
        <f>Table13[[#This Row],[Year 2]]</f>
        <v>145500</v>
      </c>
      <c r="AM242" s="27">
        <f>Table13[[#This Row],[Year 3]]</f>
        <v>145500</v>
      </c>
      <c r="AN242" s="1">
        <v>3</v>
      </c>
    </row>
    <row r="243" spans="1:40" hidden="1" x14ac:dyDescent="0.25">
      <c r="A243" s="1" t="s">
        <v>48</v>
      </c>
      <c r="B243" s="1" t="s">
        <v>2133</v>
      </c>
      <c r="C243" s="1" t="s">
        <v>50</v>
      </c>
      <c r="D243" s="1" t="s">
        <v>2718</v>
      </c>
      <c r="E243" s="1" t="s">
        <v>2719</v>
      </c>
      <c r="F243" s="22" t="s">
        <v>3</v>
      </c>
      <c r="G243" s="1" t="s">
        <v>6085</v>
      </c>
      <c r="H243" s="1" t="s">
        <v>5</v>
      </c>
      <c r="I243" s="1" t="s">
        <v>20</v>
      </c>
      <c r="J243" s="1" t="s">
        <v>25</v>
      </c>
      <c r="K243" s="1" t="s">
        <v>9</v>
      </c>
      <c r="L243" s="1" t="s">
        <v>53</v>
      </c>
      <c r="M243" s="11" t="s">
        <v>188</v>
      </c>
      <c r="N243" s="1" t="s">
        <v>6037</v>
      </c>
      <c r="O243" s="1" t="s">
        <v>15</v>
      </c>
      <c r="P243" s="1" t="s">
        <v>126</v>
      </c>
      <c r="Q243" s="1" t="s">
        <v>5635</v>
      </c>
      <c r="R243" s="1" t="s">
        <v>4038</v>
      </c>
      <c r="S243" s="1" t="s">
        <v>6057</v>
      </c>
      <c r="T243" s="1" t="s">
        <v>6058</v>
      </c>
      <c r="U243" s="1" t="s">
        <v>6095</v>
      </c>
      <c r="V243" s="1" t="s">
        <v>6186</v>
      </c>
      <c r="W243" s="27">
        <v>78.571428571428569</v>
      </c>
      <c r="X243" s="27">
        <v>92.857142857142861</v>
      </c>
      <c r="Y243" s="33">
        <f>AVERAGE(Table13[[#This Row],[Score 1]],Table13[[#This Row],[Score 2]])</f>
        <v>85.714285714285722</v>
      </c>
      <c r="Z243" s="1">
        <v>4</v>
      </c>
      <c r="AA243" s="1">
        <v>4</v>
      </c>
      <c r="AB243" s="22">
        <f>Table13[[#This Row],[Rank 1]]+Table13[[#This Row],[Rank 2]]</f>
        <v>8</v>
      </c>
      <c r="AC243" s="1" t="str">
        <f>IF(AND(Table13[[#This Row],[Average score]]&gt;75,Table13[[#This Row],[Total rank]]&gt;6.5),"Yes","No")</f>
        <v>Yes</v>
      </c>
      <c r="AD243" s="1" t="str">
        <f>IF(AND(Table13[[#This Row],[Average score]]&gt;80,Table13[[#This Row],[Total rank]]&gt;7.5),"Yes","No")</f>
        <v>Yes</v>
      </c>
      <c r="AF243" s="8">
        <v>46069</v>
      </c>
      <c r="AG243" s="1">
        <v>2</v>
      </c>
      <c r="AH243" s="27">
        <v>158500</v>
      </c>
      <c r="AI243" s="27">
        <v>77000</v>
      </c>
      <c r="AJ243" s="30">
        <v>0</v>
      </c>
      <c r="AK243" s="30">
        <f>Table13[[#This Row],[Year 1]]</f>
        <v>158500</v>
      </c>
      <c r="AL243" s="30">
        <f>Table13[[#This Row],[Year 2]]</f>
        <v>77000</v>
      </c>
      <c r="AM243" s="30">
        <f>Table13[[#This Row],[Year 3]]</f>
        <v>0</v>
      </c>
      <c r="AN243" s="1">
        <v>3</v>
      </c>
    </row>
    <row r="244" spans="1:40" hidden="1" x14ac:dyDescent="0.25">
      <c r="A244" s="1" t="s">
        <v>48</v>
      </c>
      <c r="B244" s="1" t="s">
        <v>2134</v>
      </c>
      <c r="C244" s="1" t="s">
        <v>50</v>
      </c>
      <c r="D244" s="1" t="s">
        <v>2720</v>
      </c>
      <c r="E244" s="1" t="s">
        <v>2721</v>
      </c>
      <c r="F244" s="22" t="s">
        <v>3</v>
      </c>
      <c r="G244" s="1" t="s">
        <v>6085</v>
      </c>
      <c r="H244" s="1" t="s">
        <v>5</v>
      </c>
      <c r="I244" s="1" t="s">
        <v>20</v>
      </c>
      <c r="J244" s="1" t="s">
        <v>25</v>
      </c>
      <c r="K244" s="1" t="s">
        <v>9</v>
      </c>
      <c r="L244" s="1" t="s">
        <v>53</v>
      </c>
      <c r="M244" s="11" t="s">
        <v>188</v>
      </c>
      <c r="N244" s="1" t="s">
        <v>6037</v>
      </c>
      <c r="O244" s="1" t="s">
        <v>13</v>
      </c>
      <c r="P244" s="1" t="s">
        <v>343</v>
      </c>
      <c r="Q244" s="1" t="s">
        <v>5636</v>
      </c>
      <c r="R244" s="1" t="s">
        <v>4040</v>
      </c>
      <c r="S244" s="1" t="s">
        <v>6081</v>
      </c>
      <c r="T244" s="1" t="s">
        <v>6082</v>
      </c>
      <c r="U244" s="1" t="s">
        <v>6097</v>
      </c>
      <c r="V244" s="1" t="s">
        <v>6188</v>
      </c>
      <c r="W244" s="27">
        <v>60.714285714285708</v>
      </c>
      <c r="X244" s="27">
        <v>75</v>
      </c>
      <c r="Y244" s="33">
        <f>AVERAGE(Table13[[#This Row],[Score 1]],Table13[[#This Row],[Score 2]])</f>
        <v>67.857142857142861</v>
      </c>
      <c r="Z244" s="1">
        <v>4</v>
      </c>
      <c r="AA244" s="1">
        <v>3</v>
      </c>
      <c r="AB244" s="22">
        <f>Table13[[#This Row],[Rank 1]]+Table13[[#This Row],[Rank 2]]</f>
        <v>7</v>
      </c>
      <c r="AC244" s="1" t="str">
        <f>IF(AND(Table13[[#This Row],[Average score]]&gt;75,Table13[[#This Row],[Total rank]]&gt;6.5),"Yes","No")</f>
        <v>No</v>
      </c>
      <c r="AD244" s="1" t="str">
        <f>IF(AND(Table13[[#This Row],[Average score]]&gt;80,Table13[[#This Row],[Total rank]]&gt;7.5),"Yes","No")</f>
        <v>No</v>
      </c>
      <c r="AF244" s="8">
        <v>46023</v>
      </c>
      <c r="AG244" s="1">
        <v>3</v>
      </c>
      <c r="AH244" s="27">
        <v>209300</v>
      </c>
      <c r="AI244" s="27">
        <v>209300</v>
      </c>
      <c r="AJ244" s="27">
        <v>209300</v>
      </c>
      <c r="AK244" s="27">
        <f>Table13[[#This Row],[Year 1]]</f>
        <v>209300</v>
      </c>
      <c r="AL244" s="27">
        <f>Table13[[#This Row],[Year 2]]</f>
        <v>209300</v>
      </c>
      <c r="AM244" s="27">
        <f>Table13[[#This Row],[Year 3]]</f>
        <v>209300</v>
      </c>
      <c r="AN244" s="1">
        <v>2</v>
      </c>
    </row>
    <row r="245" spans="1:40" hidden="1" x14ac:dyDescent="0.25">
      <c r="A245" s="1" t="s">
        <v>48</v>
      </c>
      <c r="B245" s="1" t="s">
        <v>2135</v>
      </c>
      <c r="C245" s="1" t="s">
        <v>50</v>
      </c>
      <c r="D245" s="1" t="s">
        <v>2722</v>
      </c>
      <c r="E245" s="1" t="s">
        <v>2723</v>
      </c>
      <c r="F245" s="22" t="s">
        <v>3</v>
      </c>
      <c r="G245" s="1" t="s">
        <v>6085</v>
      </c>
      <c r="H245" s="1" t="s">
        <v>6</v>
      </c>
      <c r="I245" s="1" t="s">
        <v>20</v>
      </c>
      <c r="J245" s="1" t="s">
        <v>25</v>
      </c>
      <c r="K245" s="1" t="s">
        <v>9</v>
      </c>
      <c r="L245" s="1" t="s">
        <v>53</v>
      </c>
      <c r="M245" s="11" t="s">
        <v>188</v>
      </c>
      <c r="N245" s="1" t="s">
        <v>6037</v>
      </c>
      <c r="O245" s="1" t="s">
        <v>14</v>
      </c>
      <c r="P245" s="1" t="s">
        <v>1456</v>
      </c>
      <c r="Q245" s="1" t="s">
        <v>5637</v>
      </c>
      <c r="R245" s="1" t="s">
        <v>4042</v>
      </c>
      <c r="S245" s="1" t="s">
        <v>6151</v>
      </c>
      <c r="T245" s="1" t="s">
        <v>6147</v>
      </c>
      <c r="U245" s="1" t="s">
        <v>6151</v>
      </c>
      <c r="V245" s="1" t="s">
        <v>6185</v>
      </c>
      <c r="W245" s="27">
        <v>78.571428571428569</v>
      </c>
      <c r="X245" s="27">
        <v>82.142857142857139</v>
      </c>
      <c r="Y245" s="33">
        <f>AVERAGE(Table13[[#This Row],[Score 1]],Table13[[#This Row],[Score 2]])</f>
        <v>80.357142857142861</v>
      </c>
      <c r="Z245" s="1">
        <v>4</v>
      </c>
      <c r="AA245" s="1">
        <v>4</v>
      </c>
      <c r="AB245" s="22">
        <f>Table13[[#This Row],[Rank 1]]+Table13[[#This Row],[Rank 2]]</f>
        <v>8</v>
      </c>
      <c r="AC245" s="1" t="str">
        <f>IF(AND(Table13[[#This Row],[Average score]]&gt;75,Table13[[#This Row],[Total rank]]&gt;6.5),"Yes","No")</f>
        <v>Yes</v>
      </c>
      <c r="AD245" s="1" t="str">
        <f>IF(AND(Table13[[#This Row],[Average score]]&gt;80,Table13[[#This Row],[Total rank]]&gt;7.5),"Yes","No")</f>
        <v>Yes</v>
      </c>
      <c r="AF245" s="8">
        <v>46023</v>
      </c>
      <c r="AG245" s="1">
        <v>2</v>
      </c>
      <c r="AH245" s="27">
        <v>170000</v>
      </c>
      <c r="AI245" s="27">
        <v>170000</v>
      </c>
      <c r="AJ245" s="30">
        <v>0</v>
      </c>
      <c r="AK245" s="30">
        <f>Table13[[#This Row],[Year 1]]</f>
        <v>170000</v>
      </c>
      <c r="AL245" s="30">
        <f>Table13[[#This Row],[Year 2]]</f>
        <v>170000</v>
      </c>
      <c r="AM245" s="30">
        <f>Table13[[#This Row],[Year 3]]</f>
        <v>0</v>
      </c>
      <c r="AN245" s="1">
        <v>4</v>
      </c>
    </row>
    <row r="246" spans="1:40" hidden="1" x14ac:dyDescent="0.25">
      <c r="A246" s="1" t="s">
        <v>48</v>
      </c>
      <c r="B246" s="1" t="s">
        <v>2136</v>
      </c>
      <c r="C246" s="1" t="s">
        <v>50</v>
      </c>
      <c r="D246" s="1" t="s">
        <v>2724</v>
      </c>
      <c r="E246" s="1" t="s">
        <v>2725</v>
      </c>
      <c r="F246" s="22" t="s">
        <v>3</v>
      </c>
      <c r="G246" s="1" t="s">
        <v>6085</v>
      </c>
      <c r="H246" s="1" t="s">
        <v>6</v>
      </c>
      <c r="I246" s="1" t="s">
        <v>20</v>
      </c>
      <c r="J246" s="1" t="s">
        <v>27</v>
      </c>
      <c r="K246" s="1" t="s">
        <v>9</v>
      </c>
      <c r="L246" s="1" t="s">
        <v>53</v>
      </c>
      <c r="M246" s="11" t="s">
        <v>188</v>
      </c>
      <c r="N246" s="1" t="s">
        <v>6037</v>
      </c>
      <c r="O246" s="1" t="s">
        <v>19</v>
      </c>
      <c r="P246" s="1" t="s">
        <v>4043</v>
      </c>
      <c r="Q246" s="1" t="s">
        <v>5638</v>
      </c>
      <c r="R246" s="1" t="s">
        <v>4044</v>
      </c>
      <c r="S246" s="1" t="s">
        <v>6141</v>
      </c>
      <c r="T246" s="11" t="s">
        <v>6143</v>
      </c>
      <c r="U246" s="1" t="s">
        <v>6165</v>
      </c>
      <c r="V246" s="1" t="s">
        <v>6183</v>
      </c>
      <c r="W246" s="27">
        <v>75</v>
      </c>
      <c r="X246" s="27">
        <v>92.857142857142861</v>
      </c>
      <c r="Y246" s="33">
        <f>AVERAGE(Table13[[#This Row],[Score 1]],Table13[[#This Row],[Score 2]])</f>
        <v>83.928571428571431</v>
      </c>
      <c r="Z246" s="1">
        <v>4</v>
      </c>
      <c r="AA246" s="1">
        <v>5</v>
      </c>
      <c r="AB246" s="22">
        <f>Table13[[#This Row],[Rank 1]]+Table13[[#This Row],[Rank 2]]</f>
        <v>9</v>
      </c>
      <c r="AC246" s="1" t="str">
        <f>IF(AND(Table13[[#This Row],[Average score]]&gt;75,Table13[[#This Row],[Total rank]]&gt;6.5),"Yes","No")</f>
        <v>Yes</v>
      </c>
      <c r="AD246" s="1" t="str">
        <f>IF(AND(Table13[[#This Row],[Average score]]&gt;80,Table13[[#This Row],[Total rank]]&gt;7.5),"Yes","No")</f>
        <v>Yes</v>
      </c>
      <c r="AF246" s="8">
        <v>46040</v>
      </c>
      <c r="AG246" s="1">
        <v>2</v>
      </c>
      <c r="AH246" s="27">
        <v>259340</v>
      </c>
      <c r="AI246" s="27">
        <v>273754</v>
      </c>
      <c r="AJ246" s="30">
        <v>0</v>
      </c>
      <c r="AK246" s="30">
        <v>250000</v>
      </c>
      <c r="AL246" s="30">
        <v>250000</v>
      </c>
      <c r="AM246" s="30">
        <f>Table13[[#This Row],[Year 3]]</f>
        <v>0</v>
      </c>
      <c r="AN246" s="1">
        <v>3</v>
      </c>
    </row>
    <row r="247" spans="1:40" hidden="1" x14ac:dyDescent="0.25">
      <c r="A247" s="1" t="s">
        <v>48</v>
      </c>
      <c r="B247" s="1" t="s">
        <v>2137</v>
      </c>
      <c r="C247" s="1" t="s">
        <v>50</v>
      </c>
      <c r="D247" s="1" t="s">
        <v>2726</v>
      </c>
      <c r="E247" s="1" t="s">
        <v>2727</v>
      </c>
      <c r="F247" s="22" t="s">
        <v>3</v>
      </c>
      <c r="G247" s="1" t="s">
        <v>6085</v>
      </c>
      <c r="H247" s="1" t="s">
        <v>6</v>
      </c>
      <c r="I247" s="1" t="s">
        <v>24</v>
      </c>
      <c r="J247" s="1" t="s">
        <v>25</v>
      </c>
      <c r="K247" s="1" t="s">
        <v>9</v>
      </c>
      <c r="L247" s="1" t="s">
        <v>53</v>
      </c>
      <c r="M247" s="11" t="s">
        <v>188</v>
      </c>
      <c r="N247" s="1" t="s">
        <v>6037</v>
      </c>
      <c r="O247" s="1" t="s">
        <v>14</v>
      </c>
      <c r="P247" s="1" t="s">
        <v>60</v>
      </c>
      <c r="Q247" s="1" t="s">
        <v>5639</v>
      </c>
      <c r="R247" s="1" t="s">
        <v>4047</v>
      </c>
      <c r="S247" s="1" t="s">
        <v>6139</v>
      </c>
      <c r="T247" s="1" t="s">
        <v>6140</v>
      </c>
      <c r="U247" s="1" t="s">
        <v>6162</v>
      </c>
      <c r="V247" s="1" t="s">
        <v>6187</v>
      </c>
      <c r="W247" s="27">
        <v>75</v>
      </c>
      <c r="X247" s="27">
        <v>78.571428571428569</v>
      </c>
      <c r="Y247" s="33">
        <f>AVERAGE(Table13[[#This Row],[Score 1]],Table13[[#This Row],[Score 2]])</f>
        <v>76.785714285714278</v>
      </c>
      <c r="Z247" s="1">
        <v>4</v>
      </c>
      <c r="AA247" s="1">
        <v>4</v>
      </c>
      <c r="AB247" s="22">
        <f>Table13[[#This Row],[Rank 1]]+Table13[[#This Row],[Rank 2]]</f>
        <v>8</v>
      </c>
      <c r="AC247" s="1" t="str">
        <f>IF(AND(Table13[[#This Row],[Average score]]&gt;75,Table13[[#This Row],[Total rank]]&gt;6.5),"Yes","No")</f>
        <v>Yes</v>
      </c>
      <c r="AD247" s="1" t="str">
        <f>IF(AND(Table13[[#This Row],[Average score]]&gt;80,Table13[[#This Row],[Total rank]]&gt;7.5),"Yes","No")</f>
        <v>No</v>
      </c>
      <c r="AF247" s="8">
        <v>46055</v>
      </c>
      <c r="AG247" s="1">
        <v>2</v>
      </c>
      <c r="AH247" s="27">
        <v>210810</v>
      </c>
      <c r="AI247" s="27">
        <v>210810</v>
      </c>
      <c r="AJ247" s="30">
        <v>0</v>
      </c>
      <c r="AK247" s="30">
        <f>Table13[[#This Row],[Year 1]]</f>
        <v>210810</v>
      </c>
      <c r="AL247" s="30">
        <f>Table13[[#This Row],[Year 2]]</f>
        <v>210810</v>
      </c>
      <c r="AM247" s="30">
        <f>Table13[[#This Row],[Year 3]]</f>
        <v>0</v>
      </c>
      <c r="AN247" s="1">
        <v>3</v>
      </c>
    </row>
    <row r="248" spans="1:40" hidden="1" x14ac:dyDescent="0.25">
      <c r="A248" s="1" t="s">
        <v>48</v>
      </c>
      <c r="B248" s="1" t="s">
        <v>2139</v>
      </c>
      <c r="C248" s="1" t="s">
        <v>50</v>
      </c>
      <c r="D248" s="1" t="s">
        <v>2730</v>
      </c>
      <c r="E248" s="1" t="s">
        <v>2731</v>
      </c>
      <c r="F248" s="22" t="s">
        <v>2</v>
      </c>
      <c r="G248" s="1" t="s">
        <v>6085</v>
      </c>
      <c r="H248" s="1" t="s">
        <v>7</v>
      </c>
      <c r="I248" s="1" t="s">
        <v>20</v>
      </c>
      <c r="J248" s="1" t="s">
        <v>26</v>
      </c>
      <c r="K248" s="1" t="s">
        <v>9</v>
      </c>
      <c r="L248" s="1" t="s">
        <v>53</v>
      </c>
      <c r="M248" s="1" t="s">
        <v>1190</v>
      </c>
      <c r="N248" s="1" t="s">
        <v>6037</v>
      </c>
      <c r="O248" s="1" t="s">
        <v>13</v>
      </c>
      <c r="P248" s="1" t="s">
        <v>60</v>
      </c>
      <c r="Q248" s="1" t="s">
        <v>5641</v>
      </c>
      <c r="R248" s="1" t="s">
        <v>4053</v>
      </c>
      <c r="S248" s="1" t="s">
        <v>6068</v>
      </c>
      <c r="T248" s="1" t="s">
        <v>6069</v>
      </c>
      <c r="U248" s="1" t="s">
        <v>6099</v>
      </c>
      <c r="V248" s="1" t="s">
        <v>6194</v>
      </c>
      <c r="W248" s="27">
        <v>58.333333333333336</v>
      </c>
      <c r="X248" s="27">
        <v>47.222222222222221</v>
      </c>
      <c r="Y248" s="33">
        <f>AVERAGE(Table13[[#This Row],[Score 1]],Table13[[#This Row],[Score 2]])</f>
        <v>52.777777777777779</v>
      </c>
      <c r="Z248" s="1">
        <v>1</v>
      </c>
      <c r="AA248" s="1">
        <v>1</v>
      </c>
      <c r="AB248" s="22">
        <f>Table13[[#This Row],[Rank 1]]+Table13[[#This Row],[Rank 2]]</f>
        <v>2</v>
      </c>
      <c r="AC248" s="1" t="str">
        <f>IF(AND(Table13[[#This Row],[Average score]]&gt;75,Table13[[#This Row],[Total rank]]&gt;6.5),"Yes","No")</f>
        <v>No</v>
      </c>
      <c r="AD248" s="1" t="str">
        <f>IF(AND(Table13[[#This Row],[Average score]]&gt;80,Table13[[#This Row],[Total rank]]&gt;7.5),"Yes","No")</f>
        <v>No</v>
      </c>
      <c r="AF248" s="8">
        <v>45691</v>
      </c>
      <c r="AG248" s="1">
        <v>2</v>
      </c>
      <c r="AH248" s="27">
        <v>-430000</v>
      </c>
      <c r="AI248" s="27">
        <v>-444000</v>
      </c>
      <c r="AJ248" s="30">
        <v>0</v>
      </c>
      <c r="AK248" s="30">
        <f>Table13[[#This Row],[Year 1]]</f>
        <v>-430000</v>
      </c>
      <c r="AL248" s="30">
        <f>Table13[[#This Row],[Year 2]]</f>
        <v>-444000</v>
      </c>
      <c r="AM248" s="30">
        <f>Table13[[#This Row],[Year 3]]</f>
        <v>0</v>
      </c>
      <c r="AN248" s="1">
        <v>3</v>
      </c>
    </row>
    <row r="249" spans="1:40" hidden="1" x14ac:dyDescent="0.25">
      <c r="A249" s="1" t="s">
        <v>48</v>
      </c>
      <c r="B249" s="1" t="s">
        <v>2141</v>
      </c>
      <c r="C249" s="1" t="s">
        <v>50</v>
      </c>
      <c r="D249" s="1" t="s">
        <v>2732</v>
      </c>
      <c r="E249" s="1" t="s">
        <v>2733</v>
      </c>
      <c r="F249" s="22" t="s">
        <v>3</v>
      </c>
      <c r="G249" s="1" t="s">
        <v>6085</v>
      </c>
      <c r="H249" s="1" t="s">
        <v>5</v>
      </c>
      <c r="I249" s="1" t="s">
        <v>20</v>
      </c>
      <c r="J249" s="1" t="s">
        <v>26</v>
      </c>
      <c r="K249" s="1" t="s">
        <v>9</v>
      </c>
      <c r="L249" s="1" t="s">
        <v>53</v>
      </c>
      <c r="M249" s="11" t="s">
        <v>2091</v>
      </c>
      <c r="N249" s="1" t="s">
        <v>6037</v>
      </c>
      <c r="O249" s="1" t="s">
        <v>10</v>
      </c>
      <c r="P249" s="1" t="s">
        <v>306</v>
      </c>
      <c r="Q249" s="18" t="s">
        <v>5642</v>
      </c>
      <c r="R249" s="1" t="s">
        <v>4057</v>
      </c>
      <c r="S249" s="1" t="s">
        <v>6049</v>
      </c>
      <c r="T249" s="1" t="s">
        <v>6050</v>
      </c>
      <c r="U249" s="1" t="s">
        <v>6104</v>
      </c>
      <c r="V249" s="1" t="s">
        <v>6200</v>
      </c>
      <c r="W249" s="27">
        <v>92.857142857142861</v>
      </c>
      <c r="X249" s="27">
        <v>82.142857142857139</v>
      </c>
      <c r="Y249" s="33">
        <f>AVERAGE(Table13[[#This Row],[Score 1]],Table13[[#This Row],[Score 2]])</f>
        <v>87.5</v>
      </c>
      <c r="Z249" s="1">
        <v>4</v>
      </c>
      <c r="AA249" s="1">
        <v>4</v>
      </c>
      <c r="AB249" s="22">
        <f>Table13[[#This Row],[Rank 1]]+Table13[[#This Row],[Rank 2]]</f>
        <v>8</v>
      </c>
      <c r="AC249" s="1" t="str">
        <f>IF(AND(Table13[[#This Row],[Average score]]&gt;75,Table13[[#This Row],[Total rank]]&gt;6.5),"Yes","No")</f>
        <v>Yes</v>
      </c>
      <c r="AD249" s="1" t="str">
        <f>IF(AND(Table13[[#This Row],[Average score]]&gt;80,Table13[[#This Row],[Total rank]]&gt;7.5),"Yes","No")</f>
        <v>Yes</v>
      </c>
      <c r="AF249" s="8">
        <v>45689</v>
      </c>
      <c r="AG249" s="1">
        <v>2</v>
      </c>
      <c r="AH249" s="27">
        <v>111809</v>
      </c>
      <c r="AI249" s="27">
        <v>99260</v>
      </c>
      <c r="AJ249" s="30">
        <v>0</v>
      </c>
      <c r="AK249" s="30">
        <f>Table13[[#This Row],[Year 1]]</f>
        <v>111809</v>
      </c>
      <c r="AL249" s="30">
        <f>Table13[[#This Row],[Year 2]]</f>
        <v>99260</v>
      </c>
      <c r="AM249" s="30">
        <f>Table13[[#This Row],[Year 3]]</f>
        <v>0</v>
      </c>
      <c r="AN249" s="1">
        <v>3</v>
      </c>
    </row>
    <row r="250" spans="1:40" hidden="1" x14ac:dyDescent="0.25">
      <c r="A250" s="1" t="s">
        <v>48</v>
      </c>
      <c r="B250" s="1" t="s">
        <v>2142</v>
      </c>
      <c r="C250" s="1" t="s">
        <v>50</v>
      </c>
      <c r="D250" s="1" t="s">
        <v>2734</v>
      </c>
      <c r="E250" s="1" t="s">
        <v>2735</v>
      </c>
      <c r="F250" s="22" t="s">
        <v>3</v>
      </c>
      <c r="G250" s="1" t="s">
        <v>6085</v>
      </c>
      <c r="H250" s="1" t="s">
        <v>6</v>
      </c>
      <c r="I250" s="1" t="s">
        <v>20</v>
      </c>
      <c r="J250" s="1" t="s">
        <v>25</v>
      </c>
      <c r="K250" s="1" t="s">
        <v>9</v>
      </c>
      <c r="L250" s="1" t="s">
        <v>53</v>
      </c>
      <c r="M250" s="11" t="s">
        <v>2091</v>
      </c>
      <c r="N250" s="1" t="s">
        <v>6037</v>
      </c>
      <c r="O250" s="1" t="s">
        <v>14</v>
      </c>
      <c r="P250" s="1" t="s">
        <v>656</v>
      </c>
      <c r="Q250" s="1" t="s">
        <v>5643</v>
      </c>
      <c r="R250" s="1" t="s">
        <v>4060</v>
      </c>
      <c r="S250" s="1" t="s">
        <v>6145</v>
      </c>
      <c r="T250" s="1" t="s">
        <v>6146</v>
      </c>
      <c r="U250" s="1" t="s">
        <v>6156</v>
      </c>
      <c r="V250" s="1" t="s">
        <v>6169</v>
      </c>
      <c r="W250" s="27">
        <v>67.857142857142861</v>
      </c>
      <c r="X250" s="27">
        <v>85.714285714285708</v>
      </c>
      <c r="Y250" s="33">
        <f>AVERAGE(Table13[[#This Row],[Score 1]],Table13[[#This Row],[Score 2]])</f>
        <v>76.785714285714278</v>
      </c>
      <c r="Z250" s="1">
        <v>4</v>
      </c>
      <c r="AA250" s="1">
        <v>5</v>
      </c>
      <c r="AB250" s="22">
        <f>Table13[[#This Row],[Rank 1]]+Table13[[#This Row],[Rank 2]]</f>
        <v>9</v>
      </c>
      <c r="AC250" s="1" t="str">
        <f>IF(AND(Table13[[#This Row],[Average score]]&gt;75,Table13[[#This Row],[Total rank]]&gt;6.5),"Yes","No")</f>
        <v>Yes</v>
      </c>
      <c r="AD250" s="1" t="str">
        <f>IF(AND(Table13[[#This Row],[Average score]]&gt;80,Table13[[#This Row],[Total rank]]&gt;7.5),"Yes","No")</f>
        <v>No</v>
      </c>
      <c r="AF250" s="8">
        <v>46063</v>
      </c>
      <c r="AG250" s="1">
        <v>1</v>
      </c>
      <c r="AH250" s="27">
        <v>112000</v>
      </c>
      <c r="AI250" s="30">
        <v>0</v>
      </c>
      <c r="AJ250" s="30">
        <v>0</v>
      </c>
      <c r="AK250" s="30">
        <f>Table13[[#This Row],[Year 1]]</f>
        <v>112000</v>
      </c>
      <c r="AL250" s="30">
        <f>Table13[[#This Row],[Year 2]]</f>
        <v>0</v>
      </c>
      <c r="AM250" s="30">
        <f>Table13[[#This Row],[Year 3]]</f>
        <v>0</v>
      </c>
      <c r="AN250" s="1">
        <v>3</v>
      </c>
    </row>
    <row r="251" spans="1:40" hidden="1" x14ac:dyDescent="0.25">
      <c r="A251" s="1" t="s">
        <v>48</v>
      </c>
      <c r="B251" s="1" t="s">
        <v>2143</v>
      </c>
      <c r="C251" s="1" t="s">
        <v>50</v>
      </c>
      <c r="D251" s="1" t="s">
        <v>2736</v>
      </c>
      <c r="E251" s="1" t="s">
        <v>2737</v>
      </c>
      <c r="F251" s="22" t="s">
        <v>3</v>
      </c>
      <c r="G251" s="1" t="s">
        <v>6085</v>
      </c>
      <c r="H251" s="1" t="s">
        <v>6</v>
      </c>
      <c r="I251" s="1" t="s">
        <v>24</v>
      </c>
      <c r="J251" s="1" t="s">
        <v>25</v>
      </c>
      <c r="K251" s="1" t="s">
        <v>9</v>
      </c>
      <c r="L251" s="1" t="s">
        <v>53</v>
      </c>
      <c r="M251" s="11" t="s">
        <v>188</v>
      </c>
      <c r="N251" s="1" t="s">
        <v>6037</v>
      </c>
      <c r="O251" s="1" t="s">
        <v>16</v>
      </c>
      <c r="P251" s="1" t="s">
        <v>1456</v>
      </c>
      <c r="Q251" s="1" t="s">
        <v>5644</v>
      </c>
      <c r="R251" s="1" t="s">
        <v>4062</v>
      </c>
      <c r="S251" s="1" t="s">
        <v>6109</v>
      </c>
      <c r="T251" s="1" t="s">
        <v>6124</v>
      </c>
      <c r="U251" s="1" t="s">
        <v>6125</v>
      </c>
      <c r="V251" s="1" t="s">
        <v>6132</v>
      </c>
      <c r="W251" s="27">
        <v>71.428571428571431</v>
      </c>
      <c r="X251" s="27">
        <v>89.285714285714292</v>
      </c>
      <c r="Y251" s="33">
        <f>AVERAGE(Table13[[#This Row],[Score 1]],Table13[[#This Row],[Score 2]])</f>
        <v>80.357142857142861</v>
      </c>
      <c r="Z251" s="1">
        <v>3</v>
      </c>
      <c r="AA251" s="1">
        <v>5</v>
      </c>
      <c r="AB251" s="22">
        <f>Table13[[#This Row],[Rank 1]]+Table13[[#This Row],[Rank 2]]</f>
        <v>8</v>
      </c>
      <c r="AC251" s="1" t="str">
        <f>IF(AND(Table13[[#This Row],[Average score]]&gt;75,Table13[[#This Row],[Total rank]]&gt;6.5),"Yes","No")</f>
        <v>Yes</v>
      </c>
      <c r="AD251" s="1" t="str">
        <f>IF(AND(Table13[[#This Row],[Average score]]&gt;80,Table13[[#This Row],[Total rank]]&gt;7.5),"Yes","No")</f>
        <v>Yes</v>
      </c>
      <c r="AF251" s="8">
        <v>46023</v>
      </c>
      <c r="AG251" s="1">
        <v>2</v>
      </c>
      <c r="AH251" s="27">
        <v>177000</v>
      </c>
      <c r="AI251" s="27">
        <v>193000</v>
      </c>
      <c r="AJ251" s="30">
        <v>0</v>
      </c>
      <c r="AK251" s="30">
        <f>Table13[[#This Row],[Year 1]]</f>
        <v>177000</v>
      </c>
      <c r="AL251" s="30">
        <f>Table13[[#This Row],[Year 2]]</f>
        <v>193000</v>
      </c>
      <c r="AM251" s="30">
        <f>Table13[[#This Row],[Year 3]]</f>
        <v>0</v>
      </c>
      <c r="AN251" s="1">
        <v>3</v>
      </c>
    </row>
    <row r="252" spans="1:40" hidden="1" x14ac:dyDescent="0.25">
      <c r="A252" s="1" t="s">
        <v>48</v>
      </c>
      <c r="B252" s="10" t="s">
        <v>2144</v>
      </c>
      <c r="C252" s="1" t="s">
        <v>50</v>
      </c>
      <c r="D252" s="1" t="s">
        <v>2738</v>
      </c>
      <c r="E252" s="1" t="s">
        <v>2739</v>
      </c>
      <c r="F252" s="22" t="s">
        <v>3</v>
      </c>
      <c r="G252" s="1" t="s">
        <v>6085</v>
      </c>
      <c r="H252" s="1" t="s">
        <v>6</v>
      </c>
      <c r="I252" s="1" t="s">
        <v>20</v>
      </c>
      <c r="J252" s="1" t="s">
        <v>25</v>
      </c>
      <c r="K252" s="1" t="s">
        <v>9</v>
      </c>
      <c r="L252" s="1" t="s">
        <v>53</v>
      </c>
      <c r="M252" s="11" t="s">
        <v>188</v>
      </c>
      <c r="N252" s="1" t="s">
        <v>6037</v>
      </c>
      <c r="O252" s="1" t="s">
        <v>13</v>
      </c>
      <c r="P252" s="1" t="s">
        <v>1389</v>
      </c>
      <c r="Q252" s="1" t="s">
        <v>5645</v>
      </c>
      <c r="R252" s="1" t="s">
        <v>4064</v>
      </c>
      <c r="S252" s="1" t="s">
        <v>6068</v>
      </c>
      <c r="T252" s="1" t="s">
        <v>6069</v>
      </c>
      <c r="U252" s="1" t="s">
        <v>6099</v>
      </c>
      <c r="V252" s="1" t="s">
        <v>6194</v>
      </c>
      <c r="W252" s="27">
        <v>89.285714285714292</v>
      </c>
      <c r="X252" s="27">
        <v>78.571428571428569</v>
      </c>
      <c r="Y252" s="33">
        <f>AVERAGE(Table13[[#This Row],[Score 1]],Table13[[#This Row],[Score 2]])</f>
        <v>83.928571428571431</v>
      </c>
      <c r="Z252" s="1">
        <v>4</v>
      </c>
      <c r="AA252" s="1">
        <v>4</v>
      </c>
      <c r="AB252" s="22">
        <f>Table13[[#This Row],[Rank 1]]+Table13[[#This Row],[Rank 2]]</f>
        <v>8</v>
      </c>
      <c r="AC252" s="1" t="str">
        <f>IF(AND(Table13[[#This Row],[Average score]]&gt;75,Table13[[#This Row],[Total rank]]&gt;6.5),"Yes","No")</f>
        <v>Yes</v>
      </c>
      <c r="AD252" s="1" t="str">
        <f>IF(AND(Table13[[#This Row],[Average score]]&gt;80,Table13[[#This Row],[Total rank]]&gt;7.5),"Yes","No")</f>
        <v>Yes</v>
      </c>
      <c r="AF252" s="8">
        <v>46023</v>
      </c>
      <c r="AG252" s="1">
        <v>1</v>
      </c>
      <c r="AH252" s="27">
        <v>200000</v>
      </c>
      <c r="AI252" s="30">
        <v>0</v>
      </c>
      <c r="AJ252" s="30">
        <v>0</v>
      </c>
      <c r="AK252" s="30">
        <f>Table13[[#This Row],[Year 1]]</f>
        <v>200000</v>
      </c>
      <c r="AL252" s="30">
        <f>Table13[[#This Row],[Year 2]]</f>
        <v>0</v>
      </c>
      <c r="AM252" s="30">
        <f>Table13[[#This Row],[Year 3]]</f>
        <v>0</v>
      </c>
      <c r="AN252" s="1">
        <v>3</v>
      </c>
    </row>
    <row r="253" spans="1:40" hidden="1" x14ac:dyDescent="0.25">
      <c r="A253" s="1" t="s">
        <v>48</v>
      </c>
      <c r="B253" s="1" t="s">
        <v>2145</v>
      </c>
      <c r="C253" s="1" t="s">
        <v>50</v>
      </c>
      <c r="D253" s="1" t="s">
        <v>2740</v>
      </c>
      <c r="E253" s="1" t="s">
        <v>2741</v>
      </c>
      <c r="F253" s="22" t="s">
        <v>3</v>
      </c>
      <c r="G253" s="1" t="s">
        <v>6085</v>
      </c>
      <c r="H253" s="1" t="s">
        <v>5</v>
      </c>
      <c r="I253" s="1" t="s">
        <v>20</v>
      </c>
      <c r="J253" s="1" t="s">
        <v>25</v>
      </c>
      <c r="K253" s="1" t="s">
        <v>9</v>
      </c>
      <c r="L253" s="1" t="s">
        <v>53</v>
      </c>
      <c r="M253" s="11" t="s">
        <v>188</v>
      </c>
      <c r="N253" s="1" t="s">
        <v>6037</v>
      </c>
      <c r="O253" s="1" t="s">
        <v>16</v>
      </c>
      <c r="P253" s="1" t="s">
        <v>4065</v>
      </c>
      <c r="Q253" s="1" t="s">
        <v>5646</v>
      </c>
      <c r="R253" s="1" t="s">
        <v>4066</v>
      </c>
      <c r="S253" s="1" t="s">
        <v>6111</v>
      </c>
      <c r="T253" s="1" t="s">
        <v>6112</v>
      </c>
      <c r="U253" s="1" t="s">
        <v>6127</v>
      </c>
      <c r="V253" s="1" t="s">
        <v>6179</v>
      </c>
      <c r="W253" s="27">
        <v>64.285714285714292</v>
      </c>
      <c r="X253" s="27">
        <v>71.428571428571431</v>
      </c>
      <c r="Y253" s="33">
        <f>AVERAGE(Table13[[#This Row],[Score 1]],Table13[[#This Row],[Score 2]])</f>
        <v>67.857142857142861</v>
      </c>
      <c r="Z253" s="1">
        <v>2</v>
      </c>
      <c r="AA253" s="1">
        <v>3</v>
      </c>
      <c r="AB253" s="22">
        <f>Table13[[#This Row],[Rank 1]]+Table13[[#This Row],[Rank 2]]</f>
        <v>5</v>
      </c>
      <c r="AC253" s="1" t="str">
        <f>IF(AND(Table13[[#This Row],[Average score]]&gt;75,Table13[[#This Row],[Total rank]]&gt;6.5),"Yes","No")</f>
        <v>No</v>
      </c>
      <c r="AD253" s="1" t="str">
        <f>IF(AND(Table13[[#This Row],[Average score]]&gt;80,Table13[[#This Row],[Total rank]]&gt;7.5),"Yes","No")</f>
        <v>No</v>
      </c>
      <c r="AF253" s="8">
        <v>46062</v>
      </c>
      <c r="AG253" s="1">
        <v>3</v>
      </c>
      <c r="AH253" s="27">
        <v>315000</v>
      </c>
      <c r="AI253" s="27">
        <v>325000</v>
      </c>
      <c r="AJ253" s="27">
        <v>290000</v>
      </c>
      <c r="AK253" s="27">
        <f>Table13[[#This Row],[Year 1]]</f>
        <v>315000</v>
      </c>
      <c r="AL253" s="27">
        <f>Table13[[#This Row],[Year 2]]</f>
        <v>325000</v>
      </c>
      <c r="AM253" s="27">
        <f>Table13[[#This Row],[Year 3]]</f>
        <v>290000</v>
      </c>
      <c r="AN253" s="1">
        <v>3</v>
      </c>
    </row>
    <row r="254" spans="1:40" hidden="1" x14ac:dyDescent="0.25">
      <c r="A254" s="1" t="s">
        <v>48</v>
      </c>
      <c r="B254" s="10" t="s">
        <v>2146</v>
      </c>
      <c r="C254" s="1" t="s">
        <v>50</v>
      </c>
      <c r="D254" s="1" t="s">
        <v>2742</v>
      </c>
      <c r="E254" s="1" t="s">
        <v>2743</v>
      </c>
      <c r="F254" s="22" t="s">
        <v>3</v>
      </c>
      <c r="G254" s="1" t="s">
        <v>6085</v>
      </c>
      <c r="H254" s="1" t="s">
        <v>6</v>
      </c>
      <c r="I254" s="1" t="s">
        <v>20</v>
      </c>
      <c r="J254" s="1" t="s">
        <v>25</v>
      </c>
      <c r="K254" s="1" t="s">
        <v>9</v>
      </c>
      <c r="L254" s="1" t="s">
        <v>53</v>
      </c>
      <c r="M254" s="11" t="s">
        <v>188</v>
      </c>
      <c r="N254" s="1" t="s">
        <v>6037</v>
      </c>
      <c r="O254" s="1" t="s">
        <v>13</v>
      </c>
      <c r="P254" s="1" t="s">
        <v>126</v>
      </c>
      <c r="Q254" s="1" t="s">
        <v>5647</v>
      </c>
      <c r="R254" s="1" t="s">
        <v>4070</v>
      </c>
      <c r="S254" s="1" t="s">
        <v>6068</v>
      </c>
      <c r="T254" s="1" t="s">
        <v>6069</v>
      </c>
      <c r="U254" s="1" t="s">
        <v>6099</v>
      </c>
      <c r="V254" s="1" t="s">
        <v>6194</v>
      </c>
      <c r="W254" s="27">
        <v>67.857142857142861</v>
      </c>
      <c r="X254" s="27">
        <v>60.714285714285708</v>
      </c>
      <c r="Y254" s="33">
        <f>AVERAGE(Table13[[#This Row],[Score 1]],Table13[[#This Row],[Score 2]])</f>
        <v>64.285714285714278</v>
      </c>
      <c r="Z254" s="1">
        <v>3</v>
      </c>
      <c r="AA254" s="1">
        <v>2</v>
      </c>
      <c r="AB254" s="22">
        <f>Table13[[#This Row],[Rank 1]]+Table13[[#This Row],[Rank 2]]</f>
        <v>5</v>
      </c>
      <c r="AC254" s="1" t="str">
        <f>IF(AND(Table13[[#This Row],[Average score]]&gt;75,Table13[[#This Row],[Total rank]]&gt;6.5),"Yes","No")</f>
        <v>No</v>
      </c>
      <c r="AD254" s="1" t="str">
        <f>IF(AND(Table13[[#This Row],[Average score]]&gt;80,Table13[[#This Row],[Total rank]]&gt;7.5),"Yes","No")</f>
        <v>No</v>
      </c>
      <c r="AF254" s="8">
        <v>45691</v>
      </c>
      <c r="AG254" s="1">
        <v>2</v>
      </c>
      <c r="AH254" s="27">
        <v>165000</v>
      </c>
      <c r="AI254" s="27">
        <v>165000</v>
      </c>
      <c r="AJ254" s="30">
        <v>0</v>
      </c>
      <c r="AK254" s="30">
        <f>Table13[[#This Row],[Year 1]]</f>
        <v>165000</v>
      </c>
      <c r="AL254" s="30">
        <f>Table13[[#This Row],[Year 2]]</f>
        <v>165000</v>
      </c>
      <c r="AM254" s="30">
        <f>Table13[[#This Row],[Year 3]]</f>
        <v>0</v>
      </c>
      <c r="AN254" s="1">
        <v>3</v>
      </c>
    </row>
    <row r="255" spans="1:40" hidden="1" x14ac:dyDescent="0.25">
      <c r="A255" s="1" t="s">
        <v>48</v>
      </c>
      <c r="B255" s="1" t="s">
        <v>2147</v>
      </c>
      <c r="C255" s="1" t="s">
        <v>50</v>
      </c>
      <c r="D255" s="1" t="s">
        <v>2744</v>
      </c>
      <c r="E255" s="1" t="s">
        <v>2745</v>
      </c>
      <c r="F255" s="22" t="s">
        <v>3</v>
      </c>
      <c r="G255" s="1" t="s">
        <v>6085</v>
      </c>
      <c r="H255" s="1" t="s">
        <v>5</v>
      </c>
      <c r="I255" s="1" t="s">
        <v>20</v>
      </c>
      <c r="J255" s="1" t="s">
        <v>25</v>
      </c>
      <c r="K255" s="1" t="s">
        <v>8</v>
      </c>
      <c r="L255" s="1" t="s">
        <v>53</v>
      </c>
      <c r="M255" s="11" t="s">
        <v>188</v>
      </c>
      <c r="N255" s="1" t="s">
        <v>6037</v>
      </c>
      <c r="O255" s="1" t="s">
        <v>18</v>
      </c>
      <c r="P255" s="1" t="s">
        <v>4071</v>
      </c>
      <c r="Q255" s="1" t="s">
        <v>5648</v>
      </c>
      <c r="R255" s="18" t="s">
        <v>4072</v>
      </c>
      <c r="S255" s="1" t="s">
        <v>6061</v>
      </c>
      <c r="T255" s="1" t="s">
        <v>6062</v>
      </c>
      <c r="U255" s="1" t="s">
        <v>6101</v>
      </c>
      <c r="V255" s="1" t="s">
        <v>6196</v>
      </c>
      <c r="W255" s="27">
        <v>75</v>
      </c>
      <c r="X255" s="27">
        <v>62.5</v>
      </c>
      <c r="Y255" s="33">
        <f>AVERAGE(Table13[[#This Row],[Score 1]],Table13[[#This Row],[Score 2]])</f>
        <v>68.75</v>
      </c>
      <c r="Z255" s="1">
        <v>3</v>
      </c>
      <c r="AA255" s="1">
        <v>3</v>
      </c>
      <c r="AB255" s="22">
        <f>Table13[[#This Row],[Rank 1]]+Table13[[#This Row],[Rank 2]]</f>
        <v>6</v>
      </c>
      <c r="AC255" s="1" t="str">
        <f>IF(AND(Table13[[#This Row],[Average score]]&gt;75,Table13[[#This Row],[Total rank]]&gt;6.5),"Yes","No")</f>
        <v>No</v>
      </c>
      <c r="AD255" s="1" t="str">
        <f>IF(AND(Table13[[#This Row],[Average score]]&gt;80,Table13[[#This Row],[Total rank]]&gt;7.5),"Yes","No")</f>
        <v>No</v>
      </c>
      <c r="AF255" s="8">
        <v>46055</v>
      </c>
      <c r="AG255" s="1">
        <v>3</v>
      </c>
      <c r="AH255" s="27">
        <v>343614.03</v>
      </c>
      <c r="AI255" s="27">
        <v>343614.03</v>
      </c>
      <c r="AJ255" s="27">
        <v>343614.03</v>
      </c>
      <c r="AK255" s="27">
        <f>Table13[[#This Row],[Year 1]]</f>
        <v>343614.03</v>
      </c>
      <c r="AL255" s="27">
        <f>Table13[[#This Row],[Year 2]]</f>
        <v>343614.03</v>
      </c>
      <c r="AM255" s="27">
        <f>Table13[[#This Row],[Year 3]]</f>
        <v>343614.03</v>
      </c>
      <c r="AN255" s="1">
        <v>3</v>
      </c>
    </row>
    <row r="256" spans="1:40" hidden="1" x14ac:dyDescent="0.25">
      <c r="A256" s="1" t="s">
        <v>48</v>
      </c>
      <c r="B256" s="2" t="s">
        <v>2148</v>
      </c>
      <c r="C256" s="1" t="s">
        <v>50</v>
      </c>
      <c r="D256" s="1" t="s">
        <v>2746</v>
      </c>
      <c r="E256" s="1" t="s">
        <v>2747</v>
      </c>
      <c r="F256" s="22" t="s">
        <v>3</v>
      </c>
      <c r="G256" s="1" t="s">
        <v>6085</v>
      </c>
      <c r="H256" s="1" t="s">
        <v>6</v>
      </c>
      <c r="I256" s="1" t="s">
        <v>20</v>
      </c>
      <c r="J256" s="1" t="s">
        <v>25</v>
      </c>
      <c r="K256" s="1" t="s">
        <v>9</v>
      </c>
      <c r="L256" s="1" t="s">
        <v>53</v>
      </c>
      <c r="M256" s="11" t="s">
        <v>188</v>
      </c>
      <c r="N256" s="1" t="s">
        <v>6037</v>
      </c>
      <c r="O256" s="1" t="s">
        <v>13</v>
      </c>
      <c r="P256" s="1" t="s">
        <v>126</v>
      </c>
      <c r="Q256" s="1" t="s">
        <v>5649</v>
      </c>
      <c r="R256" s="1" t="s">
        <v>4074</v>
      </c>
      <c r="S256" s="1" t="s">
        <v>6066</v>
      </c>
      <c r="T256" s="1" t="s">
        <v>6067</v>
      </c>
      <c r="U256" s="1" t="s">
        <v>6103</v>
      </c>
      <c r="V256" s="1" t="s">
        <v>6198</v>
      </c>
      <c r="W256" s="27">
        <v>78.571428571428569</v>
      </c>
      <c r="X256" s="29">
        <f>Table13[[#This Row],[Score 1]]</f>
        <v>78.571428571428569</v>
      </c>
      <c r="Y256" s="33">
        <f>AVERAGE(Table13[[#This Row],[Score 1]],Table13[[#This Row],[Score 2]])</f>
        <v>78.571428571428569</v>
      </c>
      <c r="Z256" s="1">
        <v>4</v>
      </c>
      <c r="AA256" s="2">
        <f>Table13[[#This Row],[Rank 1]]</f>
        <v>4</v>
      </c>
      <c r="AB256" s="22">
        <f>Table13[[#This Row],[Rank 1]]+Table13[[#This Row],[Rank 2]]</f>
        <v>8</v>
      </c>
      <c r="AC256" s="1" t="str">
        <f>IF(AND(Table13[[#This Row],[Average score]]&gt;75,Table13[[#This Row],[Total rank]]&gt;6.5),"Yes","No")</f>
        <v>Yes</v>
      </c>
      <c r="AD256" s="1" t="str">
        <f>IF(AND(Table13[[#This Row],[Average score]]&gt;80,Table13[[#This Row],[Total rank]]&gt;7.5),"Yes","No")</f>
        <v>No</v>
      </c>
      <c r="AF256" s="8">
        <v>45714</v>
      </c>
      <c r="AG256" s="1">
        <v>1</v>
      </c>
      <c r="AH256" s="27">
        <v>250000</v>
      </c>
      <c r="AI256" s="30">
        <v>0</v>
      </c>
      <c r="AJ256" s="30">
        <v>0</v>
      </c>
      <c r="AK256" s="30">
        <f>Table13[[#This Row],[Year 1]]</f>
        <v>250000</v>
      </c>
      <c r="AL256" s="30">
        <f>Table13[[#This Row],[Year 2]]</f>
        <v>0</v>
      </c>
      <c r="AM256" s="30">
        <f>Table13[[#This Row],[Year 3]]</f>
        <v>0</v>
      </c>
      <c r="AN256" s="1">
        <v>3</v>
      </c>
    </row>
    <row r="257" spans="1:40" x14ac:dyDescent="0.25">
      <c r="A257" s="1" t="s">
        <v>48</v>
      </c>
      <c r="B257" s="1" t="s">
        <v>2151</v>
      </c>
      <c r="C257" s="1" t="s">
        <v>50</v>
      </c>
      <c r="D257" s="1" t="s">
        <v>2752</v>
      </c>
      <c r="E257" s="1" t="s">
        <v>2753</v>
      </c>
      <c r="F257" s="22" t="s">
        <v>3</v>
      </c>
      <c r="G257" s="1" t="s">
        <v>6085</v>
      </c>
      <c r="H257" s="1" t="s">
        <v>6</v>
      </c>
      <c r="I257" s="1" t="s">
        <v>24</v>
      </c>
      <c r="J257" s="1" t="s">
        <v>25</v>
      </c>
      <c r="K257" s="1" t="s">
        <v>9</v>
      </c>
      <c r="L257" s="1" t="s">
        <v>53</v>
      </c>
      <c r="M257" s="11" t="s">
        <v>188</v>
      </c>
      <c r="N257" s="1" t="s">
        <v>6037</v>
      </c>
      <c r="O257" s="1" t="s">
        <v>16</v>
      </c>
      <c r="P257" s="1" t="s">
        <v>126</v>
      </c>
      <c r="Q257" s="1" t="s">
        <v>5652</v>
      </c>
      <c r="R257" s="1" t="s">
        <v>4078</v>
      </c>
      <c r="S257" s="1" t="s">
        <v>6107</v>
      </c>
      <c r="T257" s="1" t="s">
        <v>6108</v>
      </c>
      <c r="U257" s="1" t="s">
        <v>6131</v>
      </c>
      <c r="V257" s="1" t="s">
        <v>6192</v>
      </c>
      <c r="W257" s="27">
        <v>85.714285714285708</v>
      </c>
      <c r="X257" s="27">
        <v>89.285714285714292</v>
      </c>
      <c r="Y257" s="33">
        <f>AVERAGE(Table13[[#This Row],[Score 1]],Table13[[#This Row],[Score 2]])</f>
        <v>87.5</v>
      </c>
      <c r="Z257" s="1">
        <v>5</v>
      </c>
      <c r="AA257" s="1">
        <v>5</v>
      </c>
      <c r="AB257" s="22">
        <f>Table13[[#This Row],[Rank 1]]+Table13[[#This Row],[Rank 2]]</f>
        <v>10</v>
      </c>
      <c r="AC257" s="1" t="str">
        <f>IF(AND(Table13[[#This Row],[Average score]]&gt;75,Table13[[#This Row],[Total rank]]&gt;6.5),"Yes","No")</f>
        <v>Yes</v>
      </c>
      <c r="AD257" s="1" t="str">
        <f>IF(AND(Table13[[#This Row],[Average score]]&gt;80,Table13[[#This Row],[Total rank]]&gt;7.5),"Yes","No")</f>
        <v>Yes</v>
      </c>
      <c r="AE257" s="1" t="s">
        <v>6221</v>
      </c>
      <c r="AF257" s="8">
        <v>45670</v>
      </c>
      <c r="AG257" s="1">
        <v>2</v>
      </c>
      <c r="AH257" s="27">
        <v>151670</v>
      </c>
      <c r="AI257" s="27">
        <v>159010</v>
      </c>
      <c r="AJ257" s="30">
        <v>0</v>
      </c>
      <c r="AK257" s="30">
        <v>152000</v>
      </c>
      <c r="AL257" s="30">
        <v>160000</v>
      </c>
      <c r="AM257" s="30">
        <f>Table13[[#This Row],[Year 3]]</f>
        <v>0</v>
      </c>
      <c r="AN257" s="1">
        <v>3</v>
      </c>
    </row>
    <row r="258" spans="1:40" hidden="1" x14ac:dyDescent="0.25">
      <c r="A258" s="1" t="s">
        <v>48</v>
      </c>
      <c r="B258" s="1" t="s">
        <v>2152</v>
      </c>
      <c r="C258" s="1" t="s">
        <v>50</v>
      </c>
      <c r="D258" s="1" t="s">
        <v>2754</v>
      </c>
      <c r="E258" s="1" t="s">
        <v>2755</v>
      </c>
      <c r="F258" s="22" t="s">
        <v>3</v>
      </c>
      <c r="G258" s="1" t="s">
        <v>6085</v>
      </c>
      <c r="H258" s="1" t="s">
        <v>6</v>
      </c>
      <c r="I258" s="1" t="s">
        <v>20</v>
      </c>
      <c r="J258" s="1" t="s">
        <v>25</v>
      </c>
      <c r="K258" s="1" t="s">
        <v>9</v>
      </c>
      <c r="L258" s="1" t="s">
        <v>53</v>
      </c>
      <c r="M258" s="11" t="s">
        <v>188</v>
      </c>
      <c r="N258" s="1" t="s">
        <v>6037</v>
      </c>
      <c r="O258" s="1" t="s">
        <v>13</v>
      </c>
      <c r="P258" s="1" t="s">
        <v>4081</v>
      </c>
      <c r="Q258" s="1" t="s">
        <v>5653</v>
      </c>
      <c r="R258" s="1" t="s">
        <v>4082</v>
      </c>
      <c r="S258" s="1" t="s">
        <v>6081</v>
      </c>
      <c r="T258" s="1" t="s">
        <v>6082</v>
      </c>
      <c r="U258" s="1" t="s">
        <v>6097</v>
      </c>
      <c r="V258" s="1" t="s">
        <v>6188</v>
      </c>
      <c r="W258" s="27">
        <v>67.857142857142861</v>
      </c>
      <c r="X258" s="27">
        <v>50</v>
      </c>
      <c r="Y258" s="33">
        <f>AVERAGE(Table13[[#This Row],[Score 1]],Table13[[#This Row],[Score 2]])</f>
        <v>58.928571428571431</v>
      </c>
      <c r="Z258" s="1">
        <v>3</v>
      </c>
      <c r="AA258" s="1">
        <v>2</v>
      </c>
      <c r="AB258" s="22">
        <f>Table13[[#This Row],[Rank 1]]+Table13[[#This Row],[Rank 2]]</f>
        <v>5</v>
      </c>
      <c r="AC258" s="1" t="str">
        <f>IF(AND(Table13[[#This Row],[Average score]]&gt;75,Table13[[#This Row],[Total rank]]&gt;6.5),"Yes","No")</f>
        <v>No</v>
      </c>
      <c r="AD258" s="1" t="str">
        <f>IF(AND(Table13[[#This Row],[Average score]]&gt;80,Table13[[#This Row],[Total rank]]&gt;7.5),"Yes","No")</f>
        <v>No</v>
      </c>
      <c r="AF258" s="8">
        <v>46034</v>
      </c>
      <c r="AG258" s="1">
        <v>2</v>
      </c>
      <c r="AH258" s="27">
        <v>147030</v>
      </c>
      <c r="AI258" s="27">
        <v>102410</v>
      </c>
      <c r="AJ258" s="30">
        <v>0</v>
      </c>
      <c r="AK258" s="30">
        <f>Table13[[#This Row],[Year 1]]</f>
        <v>147030</v>
      </c>
      <c r="AL258" s="30">
        <f>Table13[[#This Row],[Year 2]]</f>
        <v>102410</v>
      </c>
      <c r="AM258" s="30">
        <f>Table13[[#This Row],[Year 3]]</f>
        <v>0</v>
      </c>
      <c r="AN258" s="1">
        <v>3</v>
      </c>
    </row>
    <row r="259" spans="1:40" hidden="1" x14ac:dyDescent="0.25">
      <c r="A259" s="1" t="s">
        <v>48</v>
      </c>
      <c r="B259" s="1" t="s">
        <v>2153</v>
      </c>
      <c r="C259" s="1" t="s">
        <v>50</v>
      </c>
      <c r="D259" s="1" t="s">
        <v>2756</v>
      </c>
      <c r="E259" s="1" t="s">
        <v>2757</v>
      </c>
      <c r="F259" s="22" t="s">
        <v>3</v>
      </c>
      <c r="G259" s="1" t="s">
        <v>6085</v>
      </c>
      <c r="H259" s="1" t="s">
        <v>5</v>
      </c>
      <c r="I259" s="1" t="s">
        <v>20</v>
      </c>
      <c r="J259" s="1" t="s">
        <v>25</v>
      </c>
      <c r="K259" s="1" t="s">
        <v>9</v>
      </c>
      <c r="L259" s="1" t="s">
        <v>53</v>
      </c>
      <c r="M259" s="11" t="s">
        <v>188</v>
      </c>
      <c r="N259" s="1" t="s">
        <v>6037</v>
      </c>
      <c r="O259" s="1" t="s">
        <v>13</v>
      </c>
      <c r="P259" s="1" t="s">
        <v>284</v>
      </c>
      <c r="Q259" s="1" t="s">
        <v>5654</v>
      </c>
      <c r="R259" s="1" t="s">
        <v>4085</v>
      </c>
      <c r="S259" s="1" t="s">
        <v>6072</v>
      </c>
      <c r="T259" s="1" t="s">
        <v>6073</v>
      </c>
      <c r="U259" s="1" t="s">
        <v>6092</v>
      </c>
      <c r="V259" s="1" t="s">
        <v>6176</v>
      </c>
      <c r="W259" s="27">
        <v>85.714285714285708</v>
      </c>
      <c r="X259" s="27">
        <v>92.857142857142861</v>
      </c>
      <c r="Y259" s="33">
        <f>AVERAGE(Table13[[#This Row],[Score 1]],Table13[[#This Row],[Score 2]])</f>
        <v>89.285714285714278</v>
      </c>
      <c r="Z259" s="1">
        <v>4</v>
      </c>
      <c r="AA259" s="1">
        <v>5</v>
      </c>
      <c r="AB259" s="22">
        <f>Table13[[#This Row],[Rank 1]]+Table13[[#This Row],[Rank 2]]</f>
        <v>9</v>
      </c>
      <c r="AC259" s="1" t="str">
        <f>IF(AND(Table13[[#This Row],[Average score]]&gt;75,Table13[[#This Row],[Total rank]]&gt;6.5),"Yes","No")</f>
        <v>Yes</v>
      </c>
      <c r="AD259" s="1" t="str">
        <f>IF(AND(Table13[[#This Row],[Average score]]&gt;80,Table13[[#This Row],[Total rank]]&gt;7.5),"Yes","No")</f>
        <v>Yes</v>
      </c>
      <c r="AF259" s="8">
        <v>45103</v>
      </c>
      <c r="AG259" s="1">
        <v>1</v>
      </c>
      <c r="AH259" s="27">
        <v>109724.8</v>
      </c>
      <c r="AI259" s="30">
        <v>0</v>
      </c>
      <c r="AJ259" s="30">
        <v>0</v>
      </c>
      <c r="AK259" s="30">
        <f>Table13[[#This Row],[Year 1]]</f>
        <v>109724.8</v>
      </c>
      <c r="AL259" s="30">
        <f>Table13[[#This Row],[Year 2]]</f>
        <v>0</v>
      </c>
      <c r="AM259" s="30">
        <f>Table13[[#This Row],[Year 3]]</f>
        <v>0</v>
      </c>
      <c r="AN259" s="1">
        <v>3</v>
      </c>
    </row>
    <row r="260" spans="1:40" hidden="1" x14ac:dyDescent="0.25">
      <c r="A260" s="1" t="s">
        <v>48</v>
      </c>
      <c r="B260" s="2" t="s">
        <v>2154</v>
      </c>
      <c r="C260" s="1" t="s">
        <v>50</v>
      </c>
      <c r="D260" s="1" t="s">
        <v>2758</v>
      </c>
      <c r="E260" s="1" t="s">
        <v>2759</v>
      </c>
      <c r="F260" s="22" t="s">
        <v>3</v>
      </c>
      <c r="G260" s="1" t="s">
        <v>6085</v>
      </c>
      <c r="H260" s="1" t="s">
        <v>5</v>
      </c>
      <c r="I260" s="1" t="s">
        <v>24</v>
      </c>
      <c r="J260" s="1" t="s">
        <v>26</v>
      </c>
      <c r="K260" s="1" t="s">
        <v>9</v>
      </c>
      <c r="L260" s="1" t="s">
        <v>53</v>
      </c>
      <c r="M260" s="11" t="s">
        <v>188</v>
      </c>
      <c r="N260" s="1" t="s">
        <v>6037</v>
      </c>
      <c r="O260" s="1" t="s">
        <v>18</v>
      </c>
      <c r="P260" s="1" t="s">
        <v>60</v>
      </c>
      <c r="Q260" s="1" t="s">
        <v>5655</v>
      </c>
      <c r="R260" s="20" t="s">
        <v>4087</v>
      </c>
      <c r="S260" s="1" t="s">
        <v>6059</v>
      </c>
      <c r="T260" s="1" t="s">
        <v>6060</v>
      </c>
      <c r="U260" s="1" t="s">
        <v>6096</v>
      </c>
      <c r="V260" s="1" t="s">
        <v>6214</v>
      </c>
      <c r="W260" s="27">
        <v>72.222222222222214</v>
      </c>
      <c r="X260" s="29">
        <f>Table13[[#This Row],[Score 1]]</f>
        <v>72.222222222222214</v>
      </c>
      <c r="Y260" s="33">
        <f>AVERAGE(Table13[[#This Row],[Score 1]],Table13[[#This Row],[Score 2]])</f>
        <v>72.222222222222214</v>
      </c>
      <c r="Z260" s="1">
        <v>5</v>
      </c>
      <c r="AA260" s="2">
        <f>Table13[[#This Row],[Rank 1]]</f>
        <v>5</v>
      </c>
      <c r="AB260" s="22">
        <f>Table13[[#This Row],[Rank 1]]+Table13[[#This Row],[Rank 2]]</f>
        <v>10</v>
      </c>
      <c r="AC260" s="1" t="str">
        <f>IF(AND(Table13[[#This Row],[Average score]]&gt;75,Table13[[#This Row],[Total rank]]&gt;6.5),"Yes","No")</f>
        <v>No</v>
      </c>
      <c r="AD260" s="1" t="str">
        <f>IF(AND(Table13[[#This Row],[Average score]]&gt;80,Table13[[#This Row],[Total rank]]&gt;7.5),"Yes","No")</f>
        <v>No</v>
      </c>
      <c r="AF260" s="8">
        <v>46027</v>
      </c>
      <c r="AG260" s="1">
        <v>3</v>
      </c>
      <c r="AH260" s="27">
        <v>264400</v>
      </c>
      <c r="AI260" s="27">
        <v>264400</v>
      </c>
      <c r="AJ260" s="27">
        <v>264400</v>
      </c>
      <c r="AK260" s="27">
        <f>Table13[[#This Row],[Year 1]]</f>
        <v>264400</v>
      </c>
      <c r="AL260" s="27">
        <f>Table13[[#This Row],[Year 2]]</f>
        <v>264400</v>
      </c>
      <c r="AM260" s="27">
        <f>Table13[[#This Row],[Year 3]]</f>
        <v>264400</v>
      </c>
      <c r="AN260" s="1">
        <v>3</v>
      </c>
    </row>
    <row r="261" spans="1:40" hidden="1" x14ac:dyDescent="0.25">
      <c r="A261" s="1" t="s">
        <v>48</v>
      </c>
      <c r="B261" s="2" t="s">
        <v>2155</v>
      </c>
      <c r="C261" s="1" t="s">
        <v>50</v>
      </c>
      <c r="D261" s="1" t="s">
        <v>2760</v>
      </c>
      <c r="E261" s="1" t="s">
        <v>2761</v>
      </c>
      <c r="F261" s="22" t="s">
        <v>3</v>
      </c>
      <c r="G261" s="1" t="s">
        <v>6085</v>
      </c>
      <c r="H261" s="1" t="s">
        <v>7</v>
      </c>
      <c r="I261" s="1" t="s">
        <v>24</v>
      </c>
      <c r="J261" s="1" t="s">
        <v>26</v>
      </c>
      <c r="K261" s="1" t="s">
        <v>9</v>
      </c>
      <c r="L261" s="1" t="s">
        <v>53</v>
      </c>
      <c r="M261" s="11" t="s">
        <v>188</v>
      </c>
      <c r="N261" s="1" t="s">
        <v>6037</v>
      </c>
      <c r="O261" s="1" t="s">
        <v>10</v>
      </c>
      <c r="P261" s="1" t="s">
        <v>60</v>
      </c>
      <c r="Q261" s="20" t="s">
        <v>5656</v>
      </c>
      <c r="R261" s="1" t="s">
        <v>4089</v>
      </c>
      <c r="S261" s="1" t="s">
        <v>6051</v>
      </c>
      <c r="T261" s="1" t="s">
        <v>6047</v>
      </c>
      <c r="U261" s="1" t="s">
        <v>6106</v>
      </c>
      <c r="V261" s="1" t="s">
        <v>6193</v>
      </c>
      <c r="W261" s="27">
        <v>69.444444444444443</v>
      </c>
      <c r="X261" s="27">
        <v>88.888888888888886</v>
      </c>
      <c r="Y261" s="33">
        <f>AVERAGE(Table13[[#This Row],[Score 1]],Table13[[#This Row],[Score 2]])</f>
        <v>79.166666666666657</v>
      </c>
      <c r="Z261" s="1">
        <v>3</v>
      </c>
      <c r="AA261" s="1">
        <v>4</v>
      </c>
      <c r="AB261" s="22">
        <f>Table13[[#This Row],[Rank 1]]+Table13[[#This Row],[Rank 2]]</f>
        <v>7</v>
      </c>
      <c r="AC261" s="1" t="str">
        <f>IF(AND(Table13[[#This Row],[Average score]]&gt;75,Table13[[#This Row],[Total rank]]&gt;6.5),"Yes","No")</f>
        <v>Yes</v>
      </c>
      <c r="AD261" s="1" t="str">
        <f>IF(AND(Table13[[#This Row],[Average score]]&gt;80,Table13[[#This Row],[Total rank]]&gt;7.5),"Yes","No")</f>
        <v>No</v>
      </c>
      <c r="AF261" s="8">
        <v>46034</v>
      </c>
      <c r="AG261" s="1">
        <v>2</v>
      </c>
      <c r="AH261" s="29">
        <v>294600</v>
      </c>
      <c r="AI261" s="29">
        <v>308580</v>
      </c>
      <c r="AJ261" s="31">
        <v>0</v>
      </c>
      <c r="AK261" s="31">
        <f>Table13[[#This Row],[Year 1]]</f>
        <v>294600</v>
      </c>
      <c r="AL261" s="31">
        <f>Table13[[#This Row],[Year 2]]</f>
        <v>308580</v>
      </c>
      <c r="AM261" s="31">
        <f>Table13[[#This Row],[Year 3]]</f>
        <v>0</v>
      </c>
      <c r="AN261" s="1">
        <v>3</v>
      </c>
    </row>
    <row r="262" spans="1:40" hidden="1" x14ac:dyDescent="0.25">
      <c r="A262" s="1" t="s">
        <v>48</v>
      </c>
      <c r="B262" s="1" t="s">
        <v>2156</v>
      </c>
      <c r="C262" s="1" t="s">
        <v>50</v>
      </c>
      <c r="D262" s="1" t="s">
        <v>2762</v>
      </c>
      <c r="E262" s="1" t="s">
        <v>2763</v>
      </c>
      <c r="F262" s="22" t="s">
        <v>3</v>
      </c>
      <c r="G262" s="1" t="s">
        <v>6085</v>
      </c>
      <c r="H262" s="1" t="s">
        <v>5</v>
      </c>
      <c r="I262" s="1" t="s">
        <v>21</v>
      </c>
      <c r="J262" s="1" t="s">
        <v>25</v>
      </c>
      <c r="K262" s="1" t="s">
        <v>9</v>
      </c>
      <c r="L262" s="1" t="s">
        <v>53</v>
      </c>
      <c r="M262" s="11" t="s">
        <v>2091</v>
      </c>
      <c r="N262" s="1" t="s">
        <v>6037</v>
      </c>
      <c r="O262" s="1" t="s">
        <v>14</v>
      </c>
      <c r="P262" s="1" t="s">
        <v>213</v>
      </c>
      <c r="Q262" s="1" t="s">
        <v>5657</v>
      </c>
      <c r="R262" s="1" t="s">
        <v>4092</v>
      </c>
      <c r="S262" s="1" t="s">
        <v>6151</v>
      </c>
      <c r="T262" s="1" t="s">
        <v>6147</v>
      </c>
      <c r="U262" s="1" t="s">
        <v>6151</v>
      </c>
      <c r="V262" s="1" t="s">
        <v>6185</v>
      </c>
      <c r="W262" s="27">
        <v>89.285714285714292</v>
      </c>
      <c r="X262" s="27">
        <v>82.142857142857139</v>
      </c>
      <c r="Y262" s="33">
        <f>AVERAGE(Table13[[#This Row],[Score 1]],Table13[[#This Row],[Score 2]])</f>
        <v>85.714285714285722</v>
      </c>
      <c r="Z262" s="1">
        <v>4</v>
      </c>
      <c r="AA262" s="1">
        <v>3</v>
      </c>
      <c r="AB262" s="22">
        <f>Table13[[#This Row],[Rank 1]]+Table13[[#This Row],[Rank 2]]</f>
        <v>7</v>
      </c>
      <c r="AC262" s="1" t="str">
        <f>IF(AND(Table13[[#This Row],[Average score]]&gt;75,Table13[[#This Row],[Total rank]]&gt;6.5),"Yes","No")</f>
        <v>Yes</v>
      </c>
      <c r="AD262" s="1" t="str">
        <f>IF(AND(Table13[[#This Row],[Average score]]&gt;80,Table13[[#This Row],[Total rank]]&gt;7.5),"Yes","No")</f>
        <v>No</v>
      </c>
      <c r="AF262" s="8">
        <v>46062</v>
      </c>
      <c r="AG262" s="1">
        <v>3</v>
      </c>
      <c r="AH262" s="27">
        <v>260607</v>
      </c>
      <c r="AI262" s="27">
        <v>215000</v>
      </c>
      <c r="AJ262" s="27">
        <v>215000</v>
      </c>
      <c r="AK262" s="27">
        <f>Table13[[#This Row],[Year 1]]</f>
        <v>260607</v>
      </c>
      <c r="AL262" s="27">
        <f>Table13[[#This Row],[Year 2]]</f>
        <v>215000</v>
      </c>
      <c r="AM262" s="27">
        <f>Table13[[#This Row],[Year 3]]</f>
        <v>215000</v>
      </c>
      <c r="AN262" s="1">
        <v>3</v>
      </c>
    </row>
    <row r="263" spans="1:40" hidden="1" x14ac:dyDescent="0.25">
      <c r="A263" s="1" t="s">
        <v>48</v>
      </c>
      <c r="B263" s="10" t="s">
        <v>2157</v>
      </c>
      <c r="C263" s="1" t="s">
        <v>50</v>
      </c>
      <c r="D263" s="1" t="s">
        <v>2764</v>
      </c>
      <c r="E263" s="1" t="s">
        <v>2765</v>
      </c>
      <c r="F263" s="22" t="s">
        <v>3</v>
      </c>
      <c r="G263" s="1" t="s">
        <v>6085</v>
      </c>
      <c r="H263" s="1" t="s">
        <v>5</v>
      </c>
      <c r="I263" s="1" t="s">
        <v>20</v>
      </c>
      <c r="J263" s="1" t="s">
        <v>25</v>
      </c>
      <c r="K263" s="1" t="s">
        <v>9</v>
      </c>
      <c r="L263" s="1" t="s">
        <v>53</v>
      </c>
      <c r="M263" s="11" t="s">
        <v>188</v>
      </c>
      <c r="N263" s="1" t="s">
        <v>6037</v>
      </c>
      <c r="O263" s="1" t="s">
        <v>13</v>
      </c>
      <c r="P263" s="1" t="s">
        <v>247</v>
      </c>
      <c r="Q263" s="1" t="s">
        <v>5658</v>
      </c>
      <c r="R263" s="1" t="s">
        <v>4094</v>
      </c>
      <c r="S263" s="1" t="s">
        <v>6079</v>
      </c>
      <c r="T263" s="1" t="s">
        <v>6080</v>
      </c>
      <c r="U263" s="1" t="s">
        <v>6089</v>
      </c>
      <c r="V263" s="1" t="s">
        <v>6172</v>
      </c>
      <c r="W263" s="27">
        <v>92.857142857142861</v>
      </c>
      <c r="X263" s="27">
        <v>67.857142857142861</v>
      </c>
      <c r="Y263" s="33">
        <f>AVERAGE(Table13[[#This Row],[Score 1]],Table13[[#This Row],[Score 2]])</f>
        <v>80.357142857142861</v>
      </c>
      <c r="Z263" s="1">
        <v>4</v>
      </c>
      <c r="AA263" s="1">
        <v>4</v>
      </c>
      <c r="AB263" s="22">
        <f>Table13[[#This Row],[Rank 1]]+Table13[[#This Row],[Rank 2]]</f>
        <v>8</v>
      </c>
      <c r="AC263" s="1" t="str">
        <f>IF(AND(Table13[[#This Row],[Average score]]&gt;75,Table13[[#This Row],[Total rank]]&gt;6.5),"Yes","No")</f>
        <v>Yes</v>
      </c>
      <c r="AD263" s="1" t="str">
        <f>IF(AND(Table13[[#This Row],[Average score]]&gt;80,Table13[[#This Row],[Total rank]]&gt;7.5),"Yes","No")</f>
        <v>Yes</v>
      </c>
      <c r="AF263" s="8">
        <v>45328</v>
      </c>
      <c r="AG263" s="1">
        <v>2</v>
      </c>
      <c r="AH263" s="27">
        <v>283000</v>
      </c>
      <c r="AI263" s="27">
        <v>420000</v>
      </c>
      <c r="AJ263" s="30">
        <v>0</v>
      </c>
      <c r="AK263" s="30">
        <f>Table13[[#This Row],[Year 1]]</f>
        <v>283000</v>
      </c>
      <c r="AL263" s="30">
        <v>350000</v>
      </c>
      <c r="AM263" s="30">
        <f>Table13[[#This Row],[Year 3]]</f>
        <v>0</v>
      </c>
      <c r="AN263" s="1">
        <v>3</v>
      </c>
    </row>
    <row r="264" spans="1:40" hidden="1" x14ac:dyDescent="0.25">
      <c r="A264" s="1" t="s">
        <v>48</v>
      </c>
      <c r="B264" s="1" t="s">
        <v>2158</v>
      </c>
      <c r="C264" s="1" t="s">
        <v>50</v>
      </c>
      <c r="D264" s="1" t="s">
        <v>2766</v>
      </c>
      <c r="E264" s="1" t="s">
        <v>2767</v>
      </c>
      <c r="F264" s="22" t="s">
        <v>3</v>
      </c>
      <c r="G264" s="1" t="s">
        <v>6085</v>
      </c>
      <c r="H264" s="1" t="s">
        <v>5</v>
      </c>
      <c r="I264" s="1" t="s">
        <v>24</v>
      </c>
      <c r="J264" s="1" t="s">
        <v>26</v>
      </c>
      <c r="K264" s="1" t="s">
        <v>9</v>
      </c>
      <c r="L264" s="1" t="s">
        <v>53</v>
      </c>
      <c r="M264" s="11" t="s">
        <v>188</v>
      </c>
      <c r="N264" s="1" t="s">
        <v>6037</v>
      </c>
      <c r="O264" s="1" t="s">
        <v>14</v>
      </c>
      <c r="P264" s="1" t="s">
        <v>162</v>
      </c>
      <c r="Q264" s="1" t="s">
        <v>5659</v>
      </c>
      <c r="R264" s="1" t="s">
        <v>4097</v>
      </c>
      <c r="S264" s="1" t="s">
        <v>6141</v>
      </c>
      <c r="T264" s="11" t="s">
        <v>6133</v>
      </c>
      <c r="U264" s="1" t="s">
        <v>6165</v>
      </c>
      <c r="V264" s="1" t="s">
        <v>6094</v>
      </c>
      <c r="W264" s="27">
        <v>85.714285714285708</v>
      </c>
      <c r="X264" s="27">
        <v>85.714285714285708</v>
      </c>
      <c r="Y264" s="33">
        <f>AVERAGE(Table13[[#This Row],[Score 1]],Table13[[#This Row],[Score 2]])</f>
        <v>85.714285714285708</v>
      </c>
      <c r="Z264" s="1">
        <v>4</v>
      </c>
      <c r="AA264" s="1">
        <v>3</v>
      </c>
      <c r="AB264" s="22">
        <f>Table13[[#This Row],[Rank 1]]+Table13[[#This Row],[Rank 2]]</f>
        <v>7</v>
      </c>
      <c r="AC264" s="1" t="str">
        <f>IF(AND(Table13[[#This Row],[Average score]]&gt;75,Table13[[#This Row],[Total rank]]&gt;6.5),"Yes","No")</f>
        <v>Yes</v>
      </c>
      <c r="AD264" s="1" t="str">
        <f>IF(AND(Table13[[#This Row],[Average score]]&gt;80,Table13[[#This Row],[Total rank]]&gt;7.5),"Yes","No")</f>
        <v>No</v>
      </c>
      <c r="AF264" s="8">
        <v>46023</v>
      </c>
      <c r="AG264" s="1">
        <v>3</v>
      </c>
      <c r="AH264" s="27">
        <v>337880</v>
      </c>
      <c r="AI264" s="27">
        <v>327215</v>
      </c>
      <c r="AJ264" s="27">
        <v>342203</v>
      </c>
      <c r="AK264" s="27">
        <f>Table13[[#This Row],[Year 1]]</f>
        <v>337880</v>
      </c>
      <c r="AL264" s="27">
        <f>Table13[[#This Row],[Year 2]]</f>
        <v>327215</v>
      </c>
      <c r="AM264" s="27">
        <f>Table13[[#This Row],[Year 3]]</f>
        <v>342203</v>
      </c>
      <c r="AN264" s="1">
        <v>3</v>
      </c>
    </row>
    <row r="265" spans="1:40" hidden="1" x14ac:dyDescent="0.25">
      <c r="A265" s="1" t="s">
        <v>48</v>
      </c>
      <c r="B265" s="1" t="s">
        <v>2160</v>
      </c>
      <c r="C265" s="1" t="s">
        <v>50</v>
      </c>
      <c r="D265" s="1" t="s">
        <v>2770</v>
      </c>
      <c r="E265" s="1" t="s">
        <v>2771</v>
      </c>
      <c r="F265" s="22" t="s">
        <v>3</v>
      </c>
      <c r="G265" s="1" t="s">
        <v>6085</v>
      </c>
      <c r="H265" s="1" t="s">
        <v>6</v>
      </c>
      <c r="I265" s="1" t="s">
        <v>20</v>
      </c>
      <c r="J265" s="1" t="s">
        <v>25</v>
      </c>
      <c r="K265" s="1" t="s">
        <v>9</v>
      </c>
      <c r="L265" s="1" t="s">
        <v>53</v>
      </c>
      <c r="M265" s="11" t="s">
        <v>188</v>
      </c>
      <c r="N265" s="1" t="s">
        <v>6037</v>
      </c>
      <c r="O265" s="1" t="s">
        <v>16</v>
      </c>
      <c r="P265" s="1" t="s">
        <v>639</v>
      </c>
      <c r="Q265" s="1" t="s">
        <v>5661</v>
      </c>
      <c r="R265" s="1" t="s">
        <v>4105</v>
      </c>
      <c r="S265" s="1" t="s">
        <v>6117</v>
      </c>
      <c r="T265" s="1" t="s">
        <v>6118</v>
      </c>
      <c r="U265" s="1" t="s">
        <v>6126</v>
      </c>
      <c r="V265" s="1" t="s">
        <v>6177</v>
      </c>
      <c r="W265" s="27">
        <v>71.428571428571431</v>
      </c>
      <c r="X265" s="27">
        <v>71.428571428571431</v>
      </c>
      <c r="Y265" s="33">
        <f>AVERAGE(Table13[[#This Row],[Score 1]],Table13[[#This Row],[Score 2]])</f>
        <v>71.428571428571431</v>
      </c>
      <c r="Z265" s="1">
        <v>3</v>
      </c>
      <c r="AA265" s="1">
        <v>3</v>
      </c>
      <c r="AB265" s="22">
        <f>Table13[[#This Row],[Rank 1]]+Table13[[#This Row],[Rank 2]]</f>
        <v>6</v>
      </c>
      <c r="AC265" s="1" t="str">
        <f>IF(AND(Table13[[#This Row],[Average score]]&gt;75,Table13[[#This Row],[Total rank]]&gt;6.5),"Yes","No")</f>
        <v>No</v>
      </c>
      <c r="AD265" s="1" t="str">
        <f>IF(AND(Table13[[#This Row],[Average score]]&gt;80,Table13[[#This Row],[Total rank]]&gt;7.5),"Yes","No")</f>
        <v>No</v>
      </c>
      <c r="AF265" s="8">
        <v>45670</v>
      </c>
      <c r="AG265" s="1">
        <v>1</v>
      </c>
      <c r="AH265" s="27">
        <v>220000</v>
      </c>
      <c r="AI265" s="30">
        <v>0</v>
      </c>
      <c r="AJ265" s="30">
        <v>0</v>
      </c>
      <c r="AK265" s="30">
        <f>Table13[[#This Row],[Year 1]]</f>
        <v>220000</v>
      </c>
      <c r="AL265" s="30">
        <f>Table13[[#This Row],[Year 2]]</f>
        <v>0</v>
      </c>
      <c r="AM265" s="30">
        <f>Table13[[#This Row],[Year 3]]</f>
        <v>0</v>
      </c>
      <c r="AN265" s="1">
        <v>3</v>
      </c>
    </row>
    <row r="266" spans="1:40" hidden="1" x14ac:dyDescent="0.25">
      <c r="A266" s="1" t="s">
        <v>48</v>
      </c>
      <c r="B266" s="1" t="s">
        <v>2162</v>
      </c>
      <c r="C266" s="1" t="s">
        <v>50</v>
      </c>
      <c r="D266" s="1" t="s">
        <v>2774</v>
      </c>
      <c r="E266" s="1" t="s">
        <v>2775</v>
      </c>
      <c r="F266" s="22" t="s">
        <v>3</v>
      </c>
      <c r="G266" s="1" t="s">
        <v>6085</v>
      </c>
      <c r="H266" s="1" t="s">
        <v>7</v>
      </c>
      <c r="I266" s="1" t="s">
        <v>20</v>
      </c>
      <c r="J266" s="1" t="s">
        <v>26</v>
      </c>
      <c r="K266" s="1" t="s">
        <v>9</v>
      </c>
      <c r="L266" s="1" t="s">
        <v>53</v>
      </c>
      <c r="M266" s="11" t="s">
        <v>188</v>
      </c>
      <c r="N266" s="1" t="s">
        <v>6037</v>
      </c>
      <c r="O266" s="1" t="s">
        <v>10</v>
      </c>
      <c r="P266" s="1" t="s">
        <v>247</v>
      </c>
      <c r="Q266" s="18" t="s">
        <v>5663</v>
      </c>
      <c r="R266" s="1" t="s">
        <v>4110</v>
      </c>
      <c r="S266" s="1" t="s">
        <v>6049</v>
      </c>
      <c r="T266" s="1" t="s">
        <v>6050</v>
      </c>
      <c r="U266" s="1" t="s">
        <v>6104</v>
      </c>
      <c r="V266" s="1" t="s">
        <v>6200</v>
      </c>
      <c r="W266" s="27">
        <v>83.333333333333343</v>
      </c>
      <c r="X266" s="27">
        <v>72.222222222222214</v>
      </c>
      <c r="Y266" s="33">
        <f>AVERAGE(Table13[[#This Row],[Score 1]],Table13[[#This Row],[Score 2]])</f>
        <v>77.777777777777771</v>
      </c>
      <c r="Z266" s="1">
        <v>5</v>
      </c>
      <c r="AA266" s="1">
        <v>4</v>
      </c>
      <c r="AB266" s="22">
        <f>Table13[[#This Row],[Rank 1]]+Table13[[#This Row],[Rank 2]]</f>
        <v>9</v>
      </c>
      <c r="AC266" s="1" t="str">
        <f>IF(AND(Table13[[#This Row],[Average score]]&gt;75,Table13[[#This Row],[Total rank]]&gt;6.5),"Yes","No")</f>
        <v>Yes</v>
      </c>
      <c r="AD266" s="1" t="str">
        <f>IF(AND(Table13[[#This Row],[Average score]]&gt;80,Table13[[#This Row],[Total rank]]&gt;7.5),"Yes","No")</f>
        <v>No</v>
      </c>
      <c r="AF266" s="8">
        <v>46027</v>
      </c>
      <c r="AG266" s="1">
        <v>2</v>
      </c>
      <c r="AH266" s="27">
        <v>460000</v>
      </c>
      <c r="AI266" s="27">
        <v>460000</v>
      </c>
      <c r="AJ266" s="30">
        <v>0</v>
      </c>
      <c r="AK266" s="30">
        <f>Table13[[#This Row],[Year 1]]</f>
        <v>460000</v>
      </c>
      <c r="AL266" s="30">
        <f>Table13[[#This Row],[Year 2]]</f>
        <v>460000</v>
      </c>
      <c r="AM266" s="30">
        <f>Table13[[#This Row],[Year 3]]</f>
        <v>0</v>
      </c>
      <c r="AN266" s="1">
        <v>3</v>
      </c>
    </row>
    <row r="267" spans="1:40" x14ac:dyDescent="0.25">
      <c r="A267" s="1" t="s">
        <v>48</v>
      </c>
      <c r="B267" s="1" t="s">
        <v>2163</v>
      </c>
      <c r="C267" s="1" t="s">
        <v>50</v>
      </c>
      <c r="D267" s="1" t="s">
        <v>2776</v>
      </c>
      <c r="E267" s="1" t="s">
        <v>2777</v>
      </c>
      <c r="F267" s="22" t="s">
        <v>3</v>
      </c>
      <c r="G267" s="1" t="s">
        <v>6085</v>
      </c>
      <c r="H267" s="1" t="s">
        <v>6</v>
      </c>
      <c r="I267" s="1" t="s">
        <v>24</v>
      </c>
      <c r="J267" s="1" t="s">
        <v>26</v>
      </c>
      <c r="K267" s="1" t="s">
        <v>9</v>
      </c>
      <c r="L267" s="1" t="s">
        <v>53</v>
      </c>
      <c r="M267" s="11" t="s">
        <v>188</v>
      </c>
      <c r="N267" s="1" t="s">
        <v>6037</v>
      </c>
      <c r="O267" s="1" t="s">
        <v>12</v>
      </c>
      <c r="P267" s="1" t="s">
        <v>126</v>
      </c>
      <c r="Q267" s="1" t="s">
        <v>5664</v>
      </c>
      <c r="R267" s="1" t="s">
        <v>4111</v>
      </c>
      <c r="S267" s="1" t="s">
        <v>6155</v>
      </c>
      <c r="T267" s="1" t="s">
        <v>6154</v>
      </c>
      <c r="U267" s="1" t="s">
        <v>6164</v>
      </c>
      <c r="V267" s="1" t="s">
        <v>6167</v>
      </c>
      <c r="W267" s="27">
        <v>92.857142857142861</v>
      </c>
      <c r="X267" s="27">
        <v>75</v>
      </c>
      <c r="Y267" s="33">
        <f>AVERAGE(Table13[[#This Row],[Score 1]],Table13[[#This Row],[Score 2]])</f>
        <v>83.928571428571431</v>
      </c>
      <c r="Z267" s="1">
        <v>4</v>
      </c>
      <c r="AA267" s="1">
        <v>4</v>
      </c>
      <c r="AB267" s="22">
        <f>Table13[[#This Row],[Rank 1]]+Table13[[#This Row],[Rank 2]]</f>
        <v>8</v>
      </c>
      <c r="AC267" s="1" t="str">
        <f>IF(AND(Table13[[#This Row],[Average score]]&gt;75,Table13[[#This Row],[Total rank]]&gt;6.5),"Yes","No")</f>
        <v>Yes</v>
      </c>
      <c r="AD267" s="1" t="str">
        <f>IF(AND(Table13[[#This Row],[Average score]]&gt;80,Table13[[#This Row],[Total rank]]&gt;7.5),"Yes","No")</f>
        <v>Yes</v>
      </c>
      <c r="AE267" s="1" t="s">
        <v>6221</v>
      </c>
      <c r="AF267" s="8">
        <v>45691</v>
      </c>
      <c r="AG267" s="1">
        <v>1</v>
      </c>
      <c r="AH267" s="27">
        <v>253000</v>
      </c>
      <c r="AI267" s="30">
        <v>0</v>
      </c>
      <c r="AJ267" s="30">
        <v>0</v>
      </c>
      <c r="AK267" s="30">
        <v>250000</v>
      </c>
      <c r="AL267" s="30">
        <f>Table13[[#This Row],[Year 2]]</f>
        <v>0</v>
      </c>
      <c r="AM267" s="30">
        <f>Table13[[#This Row],[Year 3]]</f>
        <v>0</v>
      </c>
      <c r="AN267" s="1">
        <v>3</v>
      </c>
    </row>
    <row r="268" spans="1:40" hidden="1" x14ac:dyDescent="0.25">
      <c r="A268" s="1" t="s">
        <v>48</v>
      </c>
      <c r="B268" s="1" t="s">
        <v>2165</v>
      </c>
      <c r="C268" s="1" t="s">
        <v>50</v>
      </c>
      <c r="D268" s="1" t="s">
        <v>2780</v>
      </c>
      <c r="E268" s="1" t="s">
        <v>2781</v>
      </c>
      <c r="F268" s="22" t="s">
        <v>3</v>
      </c>
      <c r="G268" s="1" t="s">
        <v>6085</v>
      </c>
      <c r="H268" s="1" t="s">
        <v>7</v>
      </c>
      <c r="I268" s="1" t="s">
        <v>20</v>
      </c>
      <c r="J268" s="1" t="s">
        <v>26</v>
      </c>
      <c r="K268" s="1" t="s">
        <v>9</v>
      </c>
      <c r="L268" s="1" t="s">
        <v>53</v>
      </c>
      <c r="M268" s="11" t="s">
        <v>188</v>
      </c>
      <c r="N268" s="1" t="s">
        <v>6037</v>
      </c>
      <c r="O268" s="1" t="s">
        <v>16</v>
      </c>
      <c r="P268" s="1" t="s">
        <v>4115</v>
      </c>
      <c r="Q268" s="1" t="s">
        <v>5666</v>
      </c>
      <c r="R268" s="1" t="s">
        <v>4116</v>
      </c>
      <c r="S268" s="1" t="s">
        <v>6107</v>
      </c>
      <c r="T268" s="1" t="s">
        <v>6108</v>
      </c>
      <c r="U268" s="1" t="s">
        <v>6131</v>
      </c>
      <c r="V268" s="1" t="s">
        <v>6192</v>
      </c>
      <c r="W268" s="27">
        <v>88.888888888888886</v>
      </c>
      <c r="X268" s="27">
        <v>66.666666666666657</v>
      </c>
      <c r="Y268" s="33">
        <f>AVERAGE(Table13[[#This Row],[Score 1]],Table13[[#This Row],[Score 2]])</f>
        <v>77.777777777777771</v>
      </c>
      <c r="Z268" s="1">
        <v>4</v>
      </c>
      <c r="AA268" s="1">
        <v>2</v>
      </c>
      <c r="AB268" s="22">
        <f>Table13[[#This Row],[Rank 1]]+Table13[[#This Row],[Rank 2]]</f>
        <v>6</v>
      </c>
      <c r="AC268" s="1" t="str">
        <f>IF(AND(Table13[[#This Row],[Average score]]&gt;75,Table13[[#This Row],[Total rank]]&gt;6.5),"Yes","No")</f>
        <v>No</v>
      </c>
      <c r="AD268" s="1" t="str">
        <f>IF(AND(Table13[[#This Row],[Average score]]&gt;80,Table13[[#This Row],[Total rank]]&gt;7.5),"Yes","No")</f>
        <v>No</v>
      </c>
      <c r="AF268" s="8">
        <v>46023</v>
      </c>
      <c r="AG268" s="1">
        <v>2</v>
      </c>
      <c r="AH268" s="27">
        <v>336668</v>
      </c>
      <c r="AI268" s="27">
        <v>336668</v>
      </c>
      <c r="AJ268" s="30">
        <v>0</v>
      </c>
      <c r="AK268" s="30">
        <f>Table13[[#This Row],[Year 1]]</f>
        <v>336668</v>
      </c>
      <c r="AL268" s="30">
        <f>Table13[[#This Row],[Year 2]]</f>
        <v>336668</v>
      </c>
      <c r="AM268" s="30">
        <f>Table13[[#This Row],[Year 3]]</f>
        <v>0</v>
      </c>
      <c r="AN268" s="1">
        <v>3</v>
      </c>
    </row>
    <row r="269" spans="1:40" hidden="1" x14ac:dyDescent="0.25">
      <c r="A269" s="1" t="s">
        <v>48</v>
      </c>
      <c r="B269" s="1" t="s">
        <v>2167</v>
      </c>
      <c r="C269" s="1" t="s">
        <v>50</v>
      </c>
      <c r="D269" s="1" t="s">
        <v>2784</v>
      </c>
      <c r="E269" s="1" t="s">
        <v>2785</v>
      </c>
      <c r="F269" s="22" t="s">
        <v>3</v>
      </c>
      <c r="G269" s="1" t="s">
        <v>6085</v>
      </c>
      <c r="H269" s="1" t="s">
        <v>5</v>
      </c>
      <c r="I269" s="1" t="s">
        <v>24</v>
      </c>
      <c r="J269" s="1" t="s">
        <v>26</v>
      </c>
      <c r="K269" s="1" t="s">
        <v>9</v>
      </c>
      <c r="L269" s="1" t="s">
        <v>53</v>
      </c>
      <c r="M269" s="11" t="s">
        <v>188</v>
      </c>
      <c r="N269" s="1" t="s">
        <v>6037</v>
      </c>
      <c r="O269" s="1" t="s">
        <v>12</v>
      </c>
      <c r="P269" s="1" t="s">
        <v>126</v>
      </c>
      <c r="Q269" s="1" t="s">
        <v>5668</v>
      </c>
      <c r="R269" s="1" t="s">
        <v>4121</v>
      </c>
      <c r="S269" s="1" t="s">
        <v>6155</v>
      </c>
      <c r="T269" s="1" t="s">
        <v>6154</v>
      </c>
      <c r="U269" s="1" t="s">
        <v>6164</v>
      </c>
      <c r="V269" s="1" t="s">
        <v>6167</v>
      </c>
      <c r="W269" s="27">
        <v>78.571428571428569</v>
      </c>
      <c r="X269" s="27">
        <v>60.714285714285708</v>
      </c>
      <c r="Y269" s="33">
        <f>AVERAGE(Table13[[#This Row],[Score 1]],Table13[[#This Row],[Score 2]])</f>
        <v>69.642857142857139</v>
      </c>
      <c r="Z269" s="1">
        <v>4</v>
      </c>
      <c r="AA269" s="1">
        <v>3</v>
      </c>
      <c r="AB269" s="22">
        <f>Table13[[#This Row],[Rank 1]]+Table13[[#This Row],[Rank 2]]</f>
        <v>7</v>
      </c>
      <c r="AC269" s="1" t="str">
        <f>IF(AND(Table13[[#This Row],[Average score]]&gt;75,Table13[[#This Row],[Total rank]]&gt;6.5),"Yes","No")</f>
        <v>No</v>
      </c>
      <c r="AD269" s="1" t="str">
        <f>IF(AND(Table13[[#This Row],[Average score]]&gt;80,Table13[[#This Row],[Total rank]]&gt;7.5),"Yes","No")</f>
        <v>No</v>
      </c>
      <c r="AF269" s="8">
        <v>46071</v>
      </c>
      <c r="AG269" s="1">
        <v>3</v>
      </c>
      <c r="AH269" s="27">
        <v>255170</v>
      </c>
      <c r="AI269" s="27">
        <v>260510</v>
      </c>
      <c r="AJ269" s="27">
        <v>266648</v>
      </c>
      <c r="AK269" s="27">
        <f>Table13[[#This Row],[Year 1]]</f>
        <v>255170</v>
      </c>
      <c r="AL269" s="27">
        <f>Table13[[#This Row],[Year 2]]</f>
        <v>260510</v>
      </c>
      <c r="AM269" s="27">
        <f>Table13[[#This Row],[Year 3]]</f>
        <v>266648</v>
      </c>
      <c r="AN269" s="1">
        <v>3</v>
      </c>
    </row>
    <row r="270" spans="1:40" hidden="1" x14ac:dyDescent="0.25">
      <c r="A270" s="1" t="s">
        <v>48</v>
      </c>
      <c r="B270" s="1" t="s">
        <v>2168</v>
      </c>
      <c r="C270" s="1" t="s">
        <v>50</v>
      </c>
      <c r="D270" s="1" t="s">
        <v>2786</v>
      </c>
      <c r="E270" s="1" t="s">
        <v>2787</v>
      </c>
      <c r="F270" s="22" t="s">
        <v>3</v>
      </c>
      <c r="G270" s="1" t="s">
        <v>6085</v>
      </c>
      <c r="H270" s="1" t="s">
        <v>6</v>
      </c>
      <c r="I270" s="1" t="s">
        <v>20</v>
      </c>
      <c r="J270" s="1" t="s">
        <v>25</v>
      </c>
      <c r="K270" s="1" t="s">
        <v>9</v>
      </c>
      <c r="L270" s="1" t="s">
        <v>53</v>
      </c>
      <c r="M270" s="11" t="s">
        <v>188</v>
      </c>
      <c r="N270" s="1" t="s">
        <v>6037</v>
      </c>
      <c r="O270" s="1" t="s">
        <v>10</v>
      </c>
      <c r="P270" s="1" t="s">
        <v>4125</v>
      </c>
      <c r="Q270" s="18" t="s">
        <v>5516</v>
      </c>
      <c r="R270" s="1" t="s">
        <v>4126</v>
      </c>
      <c r="S270" s="1" t="s">
        <v>6049</v>
      </c>
      <c r="T270" s="1" t="s">
        <v>6050</v>
      </c>
      <c r="U270" s="1" t="s">
        <v>6104</v>
      </c>
      <c r="V270" s="1" t="s">
        <v>6200</v>
      </c>
      <c r="W270" s="27">
        <v>53.571428571428569</v>
      </c>
      <c r="X270" s="27">
        <v>60.714285714285708</v>
      </c>
      <c r="Y270" s="33">
        <f>AVERAGE(Table13[[#This Row],[Score 1]],Table13[[#This Row],[Score 2]])</f>
        <v>57.142857142857139</v>
      </c>
      <c r="Z270" s="1">
        <v>3</v>
      </c>
      <c r="AA270" s="1">
        <v>2</v>
      </c>
      <c r="AB270" s="22">
        <f>Table13[[#This Row],[Rank 1]]+Table13[[#This Row],[Rank 2]]</f>
        <v>5</v>
      </c>
      <c r="AC270" s="1" t="str">
        <f>IF(AND(Table13[[#This Row],[Average score]]&gt;75,Table13[[#This Row],[Total rank]]&gt;6.5),"Yes","No")</f>
        <v>No</v>
      </c>
      <c r="AD270" s="1" t="str">
        <f>IF(AND(Table13[[#This Row],[Average score]]&gt;80,Table13[[#This Row],[Total rank]]&gt;7.5),"Yes","No")</f>
        <v>No</v>
      </c>
      <c r="AF270" s="8">
        <v>45658</v>
      </c>
      <c r="AG270" s="1">
        <v>1</v>
      </c>
      <c r="AH270" s="27">
        <v>157998</v>
      </c>
      <c r="AI270" s="30">
        <v>0</v>
      </c>
      <c r="AJ270" s="30">
        <v>0</v>
      </c>
      <c r="AK270" s="30">
        <f>Table13[[#This Row],[Year 1]]</f>
        <v>157998</v>
      </c>
      <c r="AL270" s="30">
        <f>Table13[[#This Row],[Year 2]]</f>
        <v>0</v>
      </c>
      <c r="AM270" s="30">
        <f>Table13[[#This Row],[Year 3]]</f>
        <v>0</v>
      </c>
      <c r="AN270" s="1">
        <v>3</v>
      </c>
    </row>
    <row r="271" spans="1:40" hidden="1" x14ac:dyDescent="0.25">
      <c r="A271" s="1" t="s">
        <v>48</v>
      </c>
      <c r="B271" s="10" t="s">
        <v>2173</v>
      </c>
      <c r="C271" s="1" t="s">
        <v>50</v>
      </c>
      <c r="D271" s="1" t="s">
        <v>2796</v>
      </c>
      <c r="E271" s="1" t="s">
        <v>2797</v>
      </c>
      <c r="F271" s="22" t="s">
        <v>3</v>
      </c>
      <c r="G271" s="1" t="s">
        <v>6085</v>
      </c>
      <c r="H271" s="1" t="s">
        <v>5</v>
      </c>
      <c r="I271" s="1" t="s">
        <v>20</v>
      </c>
      <c r="J271" s="1" t="s">
        <v>25</v>
      </c>
      <c r="K271" s="1" t="s">
        <v>9</v>
      </c>
      <c r="L271" s="1" t="s">
        <v>53</v>
      </c>
      <c r="M271" s="11" t="s">
        <v>188</v>
      </c>
      <c r="N271" s="1" t="s">
        <v>6037</v>
      </c>
      <c r="O271" s="1" t="s">
        <v>11</v>
      </c>
      <c r="P271" s="1" t="s">
        <v>1814</v>
      </c>
      <c r="Q271" s="1" t="s">
        <v>5672</v>
      </c>
      <c r="R271" s="1" t="s">
        <v>4139</v>
      </c>
      <c r="S271" s="1" t="s">
        <v>6055</v>
      </c>
      <c r="T271" s="1" t="s">
        <v>6056</v>
      </c>
      <c r="U271" s="1" t="s">
        <v>6105</v>
      </c>
      <c r="V271" s="1" t="s">
        <v>6199</v>
      </c>
      <c r="W271" s="27">
        <v>92.857142857142861</v>
      </c>
      <c r="X271" s="27">
        <v>71.428571428571431</v>
      </c>
      <c r="Y271" s="33">
        <f>AVERAGE(Table13[[#This Row],[Score 1]],Table13[[#This Row],[Score 2]])</f>
        <v>82.142857142857139</v>
      </c>
      <c r="Z271" s="1">
        <v>5</v>
      </c>
      <c r="AA271" s="1">
        <v>2</v>
      </c>
      <c r="AB271" s="22">
        <f>Table13[[#This Row],[Rank 1]]+Table13[[#This Row],[Rank 2]]</f>
        <v>7</v>
      </c>
      <c r="AC271" s="1" t="str">
        <f>IF(AND(Table13[[#This Row],[Average score]]&gt;75,Table13[[#This Row],[Total rank]]&gt;6.5),"Yes","No")</f>
        <v>Yes</v>
      </c>
      <c r="AD271" s="1" t="str">
        <f>IF(AND(Table13[[#This Row],[Average score]]&gt;80,Table13[[#This Row],[Total rank]]&gt;7.5),"Yes","No")</f>
        <v>No</v>
      </c>
      <c r="AF271" s="8">
        <v>46023</v>
      </c>
      <c r="AG271" s="1">
        <v>3</v>
      </c>
      <c r="AH271" s="29">
        <v>195876.4</v>
      </c>
      <c r="AI271" s="29">
        <v>196264</v>
      </c>
      <c r="AJ271" s="29">
        <v>205890.44</v>
      </c>
      <c r="AK271" s="29">
        <f>Table13[[#This Row],[Year 1]]</f>
        <v>195876.4</v>
      </c>
      <c r="AL271" s="29">
        <f>Table13[[#This Row],[Year 2]]</f>
        <v>196264</v>
      </c>
      <c r="AM271" s="29">
        <f>Table13[[#This Row],[Year 3]]</f>
        <v>205890.44</v>
      </c>
      <c r="AN271" s="1">
        <v>3</v>
      </c>
    </row>
    <row r="272" spans="1:40" hidden="1" x14ac:dyDescent="0.25">
      <c r="A272" s="1" t="s">
        <v>48</v>
      </c>
      <c r="B272" s="1" t="s">
        <v>2174</v>
      </c>
      <c r="C272" s="1" t="s">
        <v>50</v>
      </c>
      <c r="D272" s="1" t="s">
        <v>2798</v>
      </c>
      <c r="E272" s="1" t="s">
        <v>2799</v>
      </c>
      <c r="F272" s="22" t="s">
        <v>3</v>
      </c>
      <c r="G272" s="1" t="s">
        <v>6085</v>
      </c>
      <c r="H272" s="1" t="s">
        <v>6</v>
      </c>
      <c r="I272" s="1" t="s">
        <v>24</v>
      </c>
      <c r="J272" s="1" t="s">
        <v>26</v>
      </c>
      <c r="K272" s="1" t="s">
        <v>9</v>
      </c>
      <c r="L272" s="1" t="s">
        <v>53</v>
      </c>
      <c r="M272" s="11" t="s">
        <v>188</v>
      </c>
      <c r="N272" s="1" t="s">
        <v>6037</v>
      </c>
      <c r="O272" s="1" t="s">
        <v>10</v>
      </c>
      <c r="P272" s="1" t="s">
        <v>563</v>
      </c>
      <c r="Q272" s="17" t="s">
        <v>5673</v>
      </c>
      <c r="R272" s="1" t="s">
        <v>4143</v>
      </c>
      <c r="S272" s="1" t="s">
        <v>6043</v>
      </c>
      <c r="T272" s="1" t="s">
        <v>6044</v>
      </c>
      <c r="U272" s="1" t="s">
        <v>6091</v>
      </c>
      <c r="V272" s="1" t="s">
        <v>6175</v>
      </c>
      <c r="W272" s="27">
        <v>78.571428571428569</v>
      </c>
      <c r="X272" s="27">
        <v>100</v>
      </c>
      <c r="Y272" s="33">
        <f>AVERAGE(Table13[[#This Row],[Score 1]],Table13[[#This Row],[Score 2]])</f>
        <v>89.285714285714278</v>
      </c>
      <c r="Z272" s="1">
        <v>4</v>
      </c>
      <c r="AA272" s="1">
        <v>5</v>
      </c>
      <c r="AB272" s="22">
        <f>Table13[[#This Row],[Rank 1]]+Table13[[#This Row],[Rank 2]]</f>
        <v>9</v>
      </c>
      <c r="AC272" s="1" t="str">
        <f>IF(AND(Table13[[#This Row],[Average score]]&gt;75,Table13[[#This Row],[Total rank]]&gt;6.5),"Yes","No")</f>
        <v>Yes</v>
      </c>
      <c r="AD272" s="1" t="str">
        <f>IF(AND(Table13[[#This Row],[Average score]]&gt;80,Table13[[#This Row],[Total rank]]&gt;7.5),"Yes","No")</f>
        <v>Yes</v>
      </c>
      <c r="AF272" s="8">
        <v>46023</v>
      </c>
      <c r="AG272" s="1">
        <v>2</v>
      </c>
      <c r="AH272" s="27">
        <v>176000</v>
      </c>
      <c r="AI272" s="27">
        <v>176000</v>
      </c>
      <c r="AJ272" s="30">
        <v>0</v>
      </c>
      <c r="AK272" s="30">
        <f>Table13[[#This Row],[Year 1]]</f>
        <v>176000</v>
      </c>
      <c r="AL272" s="30">
        <f>Table13[[#This Row],[Year 2]]</f>
        <v>176000</v>
      </c>
      <c r="AM272" s="30">
        <f>Table13[[#This Row],[Year 3]]</f>
        <v>0</v>
      </c>
      <c r="AN272" s="1">
        <v>3</v>
      </c>
    </row>
    <row r="273" spans="1:40" hidden="1" x14ac:dyDescent="0.25">
      <c r="A273" s="1" t="s">
        <v>48</v>
      </c>
      <c r="B273" s="1" t="s">
        <v>2175</v>
      </c>
      <c r="C273" s="1" t="s">
        <v>50</v>
      </c>
      <c r="D273" s="1" t="s">
        <v>2800</v>
      </c>
      <c r="E273" s="1" t="s">
        <v>2801</v>
      </c>
      <c r="F273" s="22" t="s">
        <v>3</v>
      </c>
      <c r="G273" s="1" t="s">
        <v>6085</v>
      </c>
      <c r="H273" s="1" t="s">
        <v>6</v>
      </c>
      <c r="I273" s="1" t="s">
        <v>20</v>
      </c>
      <c r="J273" s="1" t="s">
        <v>25</v>
      </c>
      <c r="K273" s="1" t="s">
        <v>9</v>
      </c>
      <c r="L273" s="1" t="s">
        <v>53</v>
      </c>
      <c r="M273" s="11" t="s">
        <v>188</v>
      </c>
      <c r="N273" s="1" t="s">
        <v>6037</v>
      </c>
      <c r="O273" s="1" t="s">
        <v>14</v>
      </c>
      <c r="P273" s="1" t="s">
        <v>593</v>
      </c>
      <c r="Q273" s="1" t="s">
        <v>5674</v>
      </c>
      <c r="R273" s="1" t="s">
        <v>4145</v>
      </c>
      <c r="S273" s="1" t="s">
        <v>6145</v>
      </c>
      <c r="T273" s="1" t="s">
        <v>6146</v>
      </c>
      <c r="U273" s="1" t="s">
        <v>6156</v>
      </c>
      <c r="V273" s="1" t="s">
        <v>6169</v>
      </c>
      <c r="W273" s="27">
        <v>75</v>
      </c>
      <c r="X273" s="27">
        <v>67.857142857142861</v>
      </c>
      <c r="Y273" s="33">
        <f>AVERAGE(Table13[[#This Row],[Score 1]],Table13[[#This Row],[Score 2]])</f>
        <v>71.428571428571431</v>
      </c>
      <c r="Z273" s="1">
        <v>4</v>
      </c>
      <c r="AA273" s="1">
        <v>3</v>
      </c>
      <c r="AB273" s="22">
        <f>Table13[[#This Row],[Rank 1]]+Table13[[#This Row],[Rank 2]]</f>
        <v>7</v>
      </c>
      <c r="AC273" s="1" t="str">
        <f>IF(AND(Table13[[#This Row],[Average score]]&gt;75,Table13[[#This Row],[Total rank]]&gt;6.5),"Yes","No")</f>
        <v>No</v>
      </c>
      <c r="AD273" s="1" t="str">
        <f>IF(AND(Table13[[#This Row],[Average score]]&gt;80,Table13[[#This Row],[Total rank]]&gt;7.5),"Yes","No")</f>
        <v>No</v>
      </c>
      <c r="AF273" s="8">
        <v>46197</v>
      </c>
      <c r="AG273" s="1">
        <v>2</v>
      </c>
      <c r="AH273" s="27">
        <v>246981.4</v>
      </c>
      <c r="AI273" s="27">
        <v>246981.4</v>
      </c>
      <c r="AJ273" s="30">
        <v>0</v>
      </c>
      <c r="AK273" s="30">
        <f>Table13[[#This Row],[Year 1]]</f>
        <v>246981.4</v>
      </c>
      <c r="AL273" s="30">
        <f>Table13[[#This Row],[Year 2]]</f>
        <v>246981.4</v>
      </c>
      <c r="AM273" s="30">
        <f>Table13[[#This Row],[Year 3]]</f>
        <v>0</v>
      </c>
      <c r="AN273" s="1">
        <v>3</v>
      </c>
    </row>
    <row r="274" spans="1:40" hidden="1" x14ac:dyDescent="0.25">
      <c r="A274" s="1" t="s">
        <v>48</v>
      </c>
      <c r="B274" s="1" t="s">
        <v>2176</v>
      </c>
      <c r="C274" s="1" t="s">
        <v>50</v>
      </c>
      <c r="D274" s="1" t="s">
        <v>2802</v>
      </c>
      <c r="E274" s="1" t="s">
        <v>2803</v>
      </c>
      <c r="F274" s="22" t="s">
        <v>3</v>
      </c>
      <c r="G274" s="1" t="s">
        <v>6085</v>
      </c>
      <c r="H274" s="1" t="s">
        <v>6</v>
      </c>
      <c r="I274" s="1" t="s">
        <v>24</v>
      </c>
      <c r="J274" s="1" t="s">
        <v>25</v>
      </c>
      <c r="K274" s="1" t="s">
        <v>9</v>
      </c>
      <c r="L274" s="1" t="s">
        <v>53</v>
      </c>
      <c r="M274" s="11" t="s">
        <v>188</v>
      </c>
      <c r="N274" s="1" t="s">
        <v>6037</v>
      </c>
      <c r="O274" s="1" t="s">
        <v>16</v>
      </c>
      <c r="P274" s="1" t="s">
        <v>60</v>
      </c>
      <c r="Q274" s="1" t="s">
        <v>5645</v>
      </c>
      <c r="R274" s="1" t="s">
        <v>4147</v>
      </c>
      <c r="S274" s="1" t="s">
        <v>6107</v>
      </c>
      <c r="T274" s="1" t="s">
        <v>6108</v>
      </c>
      <c r="U274" s="1" t="s">
        <v>6131</v>
      </c>
      <c r="V274" s="1" t="s">
        <v>6192</v>
      </c>
      <c r="W274" s="27">
        <v>60.714285714285708</v>
      </c>
      <c r="X274" s="27">
        <v>50</v>
      </c>
      <c r="Y274" s="33">
        <f>AVERAGE(Table13[[#This Row],[Score 1]],Table13[[#This Row],[Score 2]])</f>
        <v>55.357142857142854</v>
      </c>
      <c r="Z274" s="1">
        <v>3</v>
      </c>
      <c r="AA274" s="1">
        <v>2</v>
      </c>
      <c r="AB274" s="22">
        <f>Table13[[#This Row],[Rank 1]]+Table13[[#This Row],[Rank 2]]</f>
        <v>5</v>
      </c>
      <c r="AC274" s="1" t="str">
        <f>IF(AND(Table13[[#This Row],[Average score]]&gt;75,Table13[[#This Row],[Total rank]]&gt;6.5),"Yes","No")</f>
        <v>No</v>
      </c>
      <c r="AD274" s="1" t="str">
        <f>IF(AND(Table13[[#This Row],[Average score]]&gt;80,Table13[[#This Row],[Total rank]]&gt;7.5),"Yes","No")</f>
        <v>No</v>
      </c>
      <c r="AF274" s="8">
        <v>45691</v>
      </c>
      <c r="AG274" s="1">
        <v>1</v>
      </c>
      <c r="AH274" s="27">
        <v>204516</v>
      </c>
      <c r="AI274" s="30">
        <v>0</v>
      </c>
      <c r="AJ274" s="30">
        <v>0</v>
      </c>
      <c r="AK274" s="30">
        <f>Table13[[#This Row],[Year 1]]</f>
        <v>204516</v>
      </c>
      <c r="AL274" s="30">
        <f>Table13[[#This Row],[Year 2]]</f>
        <v>0</v>
      </c>
      <c r="AM274" s="30">
        <f>Table13[[#This Row],[Year 3]]</f>
        <v>0</v>
      </c>
      <c r="AN274" s="1">
        <v>3</v>
      </c>
    </row>
    <row r="275" spans="1:40" hidden="1" x14ac:dyDescent="0.25">
      <c r="A275" s="1" t="s">
        <v>48</v>
      </c>
      <c r="B275" s="1" t="s">
        <v>2177</v>
      </c>
      <c r="C275" s="1" t="s">
        <v>50</v>
      </c>
      <c r="D275" s="1" t="s">
        <v>2804</v>
      </c>
      <c r="E275" s="1" t="s">
        <v>2805</v>
      </c>
      <c r="F275" s="22" t="s">
        <v>3</v>
      </c>
      <c r="G275" s="1" t="s">
        <v>6085</v>
      </c>
      <c r="H275" s="1" t="s">
        <v>6</v>
      </c>
      <c r="I275" s="1" t="s">
        <v>20</v>
      </c>
      <c r="J275" s="1" t="s">
        <v>25</v>
      </c>
      <c r="K275" s="1" t="s">
        <v>9</v>
      </c>
      <c r="L275" s="1" t="s">
        <v>53</v>
      </c>
      <c r="M275" s="11" t="s">
        <v>188</v>
      </c>
      <c r="N275" s="1" t="s">
        <v>6037</v>
      </c>
      <c r="O275" s="1" t="s">
        <v>13</v>
      </c>
      <c r="P275" s="1" t="s">
        <v>1456</v>
      </c>
      <c r="Q275" s="1" t="s">
        <v>5675</v>
      </c>
      <c r="R275" s="1" t="s">
        <v>4149</v>
      </c>
      <c r="S275" s="1" t="s">
        <v>6070</v>
      </c>
      <c r="T275" s="1" t="s">
        <v>6071</v>
      </c>
      <c r="U275" s="1" t="s">
        <v>6088</v>
      </c>
      <c r="V275" s="1" t="s">
        <v>6171</v>
      </c>
      <c r="W275" s="27">
        <v>82.142857142857139</v>
      </c>
      <c r="X275" s="27">
        <v>92.857142857142861</v>
      </c>
      <c r="Y275" s="33">
        <f>AVERAGE(Table13[[#This Row],[Score 1]],Table13[[#This Row],[Score 2]])</f>
        <v>87.5</v>
      </c>
      <c r="Z275" s="1">
        <v>4</v>
      </c>
      <c r="AA275" s="1">
        <v>5</v>
      </c>
      <c r="AB275" s="22">
        <f>Table13[[#This Row],[Rank 1]]+Table13[[#This Row],[Rank 2]]</f>
        <v>9</v>
      </c>
      <c r="AC275" s="1" t="str">
        <f>IF(AND(Table13[[#This Row],[Average score]]&gt;75,Table13[[#This Row],[Total rank]]&gt;6.5),"Yes","No")</f>
        <v>Yes</v>
      </c>
      <c r="AD275" s="1" t="str">
        <f>IF(AND(Table13[[#This Row],[Average score]]&gt;80,Table13[[#This Row],[Total rank]]&gt;7.5),"Yes","No")</f>
        <v>Yes</v>
      </c>
      <c r="AF275" s="8">
        <v>46027</v>
      </c>
      <c r="AG275" s="1">
        <v>1</v>
      </c>
      <c r="AH275" s="27">
        <v>126555</v>
      </c>
      <c r="AI275" s="30">
        <v>0</v>
      </c>
      <c r="AJ275" s="30">
        <v>0</v>
      </c>
      <c r="AK275" s="30">
        <f>Table13[[#This Row],[Year 1]]</f>
        <v>126555</v>
      </c>
      <c r="AL275" s="30">
        <f>Table13[[#This Row],[Year 2]]</f>
        <v>0</v>
      </c>
      <c r="AM275" s="30">
        <f>Table13[[#This Row],[Year 3]]</f>
        <v>0</v>
      </c>
      <c r="AN275" s="1">
        <v>3</v>
      </c>
    </row>
    <row r="276" spans="1:40" hidden="1" x14ac:dyDescent="0.25">
      <c r="A276" s="1" t="s">
        <v>48</v>
      </c>
      <c r="B276" s="25" t="s">
        <v>2360</v>
      </c>
      <c r="C276" s="1" t="s">
        <v>50</v>
      </c>
      <c r="D276" s="1" t="s">
        <v>3170</v>
      </c>
      <c r="E276" s="1" t="s">
        <v>3171</v>
      </c>
      <c r="F276" s="22" t="s">
        <v>3</v>
      </c>
      <c r="G276" s="1" t="s">
        <v>6085</v>
      </c>
      <c r="H276" s="1" t="s">
        <v>6</v>
      </c>
      <c r="I276" s="1" t="s">
        <v>20</v>
      </c>
      <c r="J276" s="1" t="s">
        <v>25</v>
      </c>
      <c r="K276" s="1" t="s">
        <v>9</v>
      </c>
      <c r="L276" s="1" t="s">
        <v>53</v>
      </c>
      <c r="M276" s="11" t="s">
        <v>188</v>
      </c>
      <c r="N276" s="1" t="s">
        <v>6037</v>
      </c>
      <c r="O276" s="1" t="s">
        <v>14</v>
      </c>
      <c r="P276" s="1" t="s">
        <v>247</v>
      </c>
      <c r="Q276" s="1" t="s">
        <v>5823</v>
      </c>
      <c r="R276" s="1" t="s">
        <v>4576</v>
      </c>
      <c r="S276" s="1" t="s">
        <v>6148</v>
      </c>
      <c r="T276" s="1" t="s">
        <v>6149</v>
      </c>
      <c r="U276" s="1" t="s">
        <v>6166</v>
      </c>
      <c r="V276" s="1" t="s">
        <v>6204</v>
      </c>
      <c r="W276" s="27">
        <v>67.857142857142861</v>
      </c>
      <c r="X276" s="27">
        <v>75</v>
      </c>
      <c r="Y276" s="33">
        <f>AVERAGE(Table13[[#This Row],[Score 1]],Table13[[#This Row],[Score 2]])</f>
        <v>71.428571428571431</v>
      </c>
      <c r="Z276" s="1">
        <v>4</v>
      </c>
      <c r="AA276" s="1">
        <v>3</v>
      </c>
      <c r="AB276" s="22">
        <f>Table13[[#This Row],[Rank 1]]+Table13[[#This Row],[Rank 2]]</f>
        <v>7</v>
      </c>
      <c r="AC276" s="1" t="str">
        <f>IF(AND(Table13[[#This Row],[Average score]]&gt;75,Table13[[#This Row],[Total rank]]&gt;6.5),"Yes","No")</f>
        <v>No</v>
      </c>
      <c r="AD276" s="1" t="str">
        <f>IF(AND(Table13[[#This Row],[Average score]]&gt;80,Table13[[#This Row],[Total rank]]&gt;7.5),"Yes","No")</f>
        <v>No</v>
      </c>
      <c r="AF276" s="8">
        <v>46028</v>
      </c>
      <c r="AG276" s="1">
        <v>2</v>
      </c>
      <c r="AH276" s="27">
        <v>105959</v>
      </c>
      <c r="AI276" s="27">
        <v>105959</v>
      </c>
      <c r="AJ276" s="30">
        <v>0</v>
      </c>
      <c r="AK276" s="30">
        <f>Table13[[#This Row],[Year 1]]</f>
        <v>105959</v>
      </c>
      <c r="AL276" s="30">
        <f>Table13[[#This Row],[Year 2]]</f>
        <v>105959</v>
      </c>
      <c r="AM276" s="30">
        <f>Table13[[#This Row],[Year 3]]</f>
        <v>0</v>
      </c>
      <c r="AN276" s="1">
        <v>2</v>
      </c>
    </row>
    <row r="277" spans="1:40" hidden="1" x14ac:dyDescent="0.25">
      <c r="A277" s="1" t="s">
        <v>48</v>
      </c>
      <c r="B277" s="1" t="s">
        <v>2179</v>
      </c>
      <c r="C277" s="1" t="s">
        <v>50</v>
      </c>
      <c r="D277" s="1" t="s">
        <v>2808</v>
      </c>
      <c r="E277" s="1" t="s">
        <v>2809</v>
      </c>
      <c r="F277" s="22" t="s">
        <v>3</v>
      </c>
      <c r="G277" s="1" t="s">
        <v>6085</v>
      </c>
      <c r="H277" s="1" t="s">
        <v>7</v>
      </c>
      <c r="I277" s="1" t="s">
        <v>21</v>
      </c>
      <c r="J277" s="1" t="s">
        <v>25</v>
      </c>
      <c r="K277" s="1" t="s">
        <v>9</v>
      </c>
      <c r="L277" s="1" t="s">
        <v>53</v>
      </c>
      <c r="M277" s="11" t="s">
        <v>188</v>
      </c>
      <c r="N277" s="1" t="s">
        <v>6037</v>
      </c>
      <c r="O277" s="1" t="s">
        <v>16</v>
      </c>
      <c r="P277" s="1" t="s">
        <v>107</v>
      </c>
      <c r="Q277" s="1" t="s">
        <v>5676</v>
      </c>
      <c r="R277" s="1" t="s">
        <v>4154</v>
      </c>
      <c r="S277" s="1" t="s">
        <v>6111</v>
      </c>
      <c r="T277" s="1" t="s">
        <v>6112</v>
      </c>
      <c r="U277" s="1" t="s">
        <v>6127</v>
      </c>
      <c r="V277" s="1" t="s">
        <v>6179</v>
      </c>
      <c r="W277" s="27">
        <v>77.777777777777786</v>
      </c>
      <c r="X277" s="27">
        <v>80.555555555555557</v>
      </c>
      <c r="Y277" s="33">
        <f>AVERAGE(Table13[[#This Row],[Score 1]],Table13[[#This Row],[Score 2]])</f>
        <v>79.166666666666671</v>
      </c>
      <c r="Z277" s="1">
        <v>4</v>
      </c>
      <c r="AA277" s="1">
        <v>3</v>
      </c>
      <c r="AB277" s="22">
        <f>Table13[[#This Row],[Rank 1]]+Table13[[#This Row],[Rank 2]]</f>
        <v>7</v>
      </c>
      <c r="AC277" s="1" t="str">
        <f>IF(AND(Table13[[#This Row],[Average score]]&gt;75,Table13[[#This Row],[Total rank]]&gt;6.5),"Yes","No")</f>
        <v>Yes</v>
      </c>
      <c r="AD277" s="1" t="str">
        <f>IF(AND(Table13[[#This Row],[Average score]]&gt;80,Table13[[#This Row],[Total rank]]&gt;7.5),"Yes","No")</f>
        <v>No</v>
      </c>
      <c r="AF277" s="8">
        <v>46027</v>
      </c>
      <c r="AG277" s="1">
        <v>2</v>
      </c>
      <c r="AH277" s="27">
        <v>305000</v>
      </c>
      <c r="AI277" s="27">
        <v>305000</v>
      </c>
      <c r="AJ277" s="30">
        <v>0</v>
      </c>
      <c r="AK277" s="30">
        <f>Table13[[#This Row],[Year 1]]</f>
        <v>305000</v>
      </c>
      <c r="AL277" s="30">
        <f>Table13[[#This Row],[Year 2]]</f>
        <v>305000</v>
      </c>
      <c r="AM277" s="30">
        <f>Table13[[#This Row],[Year 3]]</f>
        <v>0</v>
      </c>
      <c r="AN277" s="1">
        <v>3</v>
      </c>
    </row>
    <row r="278" spans="1:40" hidden="1" x14ac:dyDescent="0.25">
      <c r="A278" s="1" t="s">
        <v>48</v>
      </c>
      <c r="B278" s="1" t="s">
        <v>2182</v>
      </c>
      <c r="C278" s="1" t="s">
        <v>50</v>
      </c>
      <c r="D278" s="1" t="s">
        <v>2814</v>
      </c>
      <c r="E278" s="1" t="s">
        <v>2815</v>
      </c>
      <c r="F278" s="22" t="s">
        <v>3</v>
      </c>
      <c r="G278" s="1" t="s">
        <v>6085</v>
      </c>
      <c r="H278" s="1" t="s">
        <v>5</v>
      </c>
      <c r="I278" s="1" t="s">
        <v>20</v>
      </c>
      <c r="J278" s="1" t="s">
        <v>25</v>
      </c>
      <c r="K278" s="1" t="s">
        <v>9</v>
      </c>
      <c r="L278" s="1" t="s">
        <v>53</v>
      </c>
      <c r="M278" s="11" t="s">
        <v>2091</v>
      </c>
      <c r="N278" s="1" t="s">
        <v>6037</v>
      </c>
      <c r="O278" s="1" t="s">
        <v>13</v>
      </c>
      <c r="P278" s="1" t="s">
        <v>181</v>
      </c>
      <c r="Q278" s="1" t="s">
        <v>5679</v>
      </c>
      <c r="R278" s="1" t="s">
        <v>4162</v>
      </c>
      <c r="S278" s="1" t="s">
        <v>6078</v>
      </c>
      <c r="T278" s="1" t="s">
        <v>6077</v>
      </c>
      <c r="U278" s="1" t="s">
        <v>6090</v>
      </c>
      <c r="V278" s="1" t="s">
        <v>6174</v>
      </c>
      <c r="W278" s="27">
        <v>78.571428571428569</v>
      </c>
      <c r="X278" s="27">
        <v>75</v>
      </c>
      <c r="Y278" s="33">
        <f>AVERAGE(Table13[[#This Row],[Score 1]],Table13[[#This Row],[Score 2]])</f>
        <v>76.785714285714278</v>
      </c>
      <c r="Z278" s="1">
        <v>4</v>
      </c>
      <c r="AA278" s="1">
        <v>3</v>
      </c>
      <c r="AB278" s="22">
        <f>Table13[[#This Row],[Rank 1]]+Table13[[#This Row],[Rank 2]]</f>
        <v>7</v>
      </c>
      <c r="AC278" s="1" t="str">
        <f>IF(AND(Table13[[#This Row],[Average score]]&gt;75,Table13[[#This Row],[Total rank]]&gt;6.5),"Yes","No")</f>
        <v>Yes</v>
      </c>
      <c r="AD278" s="1" t="str">
        <f>IF(AND(Table13[[#This Row],[Average score]]&gt;80,Table13[[#This Row],[Total rank]]&gt;7.5),"Yes","No")</f>
        <v>No</v>
      </c>
      <c r="AF278" s="8">
        <v>45735</v>
      </c>
      <c r="AG278" s="1">
        <v>3</v>
      </c>
      <c r="AH278" s="27">
        <v>172000</v>
      </c>
      <c r="AI278" s="27">
        <v>202000</v>
      </c>
      <c r="AJ278" s="27">
        <v>202000</v>
      </c>
      <c r="AK278" s="27">
        <f>Table13[[#This Row],[Year 1]]</f>
        <v>172000</v>
      </c>
      <c r="AL278" s="27">
        <f>Table13[[#This Row],[Year 2]]</f>
        <v>202000</v>
      </c>
      <c r="AM278" s="27">
        <f>Table13[[#This Row],[Year 3]]</f>
        <v>202000</v>
      </c>
      <c r="AN278" s="1">
        <v>3</v>
      </c>
    </row>
    <row r="279" spans="1:40" hidden="1" x14ac:dyDescent="0.25">
      <c r="A279" s="1" t="s">
        <v>48</v>
      </c>
      <c r="B279" s="1" t="s">
        <v>2183</v>
      </c>
      <c r="C279" s="1" t="s">
        <v>50</v>
      </c>
      <c r="D279" s="1" t="s">
        <v>2816</v>
      </c>
      <c r="E279" s="1" t="s">
        <v>2817</v>
      </c>
      <c r="F279" s="22" t="s">
        <v>3</v>
      </c>
      <c r="G279" s="1" t="s">
        <v>6085</v>
      </c>
      <c r="H279" s="1" t="s">
        <v>7</v>
      </c>
      <c r="I279" s="1" t="s">
        <v>22</v>
      </c>
      <c r="J279" s="1" t="s">
        <v>26</v>
      </c>
      <c r="K279" s="1" t="s">
        <v>9</v>
      </c>
      <c r="L279" s="1" t="s">
        <v>53</v>
      </c>
      <c r="M279" s="11" t="s">
        <v>2091</v>
      </c>
      <c r="N279" s="1" t="s">
        <v>6037</v>
      </c>
      <c r="O279" s="1" t="s">
        <v>16</v>
      </c>
      <c r="P279" s="1" t="s">
        <v>1456</v>
      </c>
      <c r="Q279" s="1" t="s">
        <v>4016</v>
      </c>
      <c r="R279" s="1" t="s">
        <v>4164</v>
      </c>
      <c r="S279" s="1" t="s">
        <v>6107</v>
      </c>
      <c r="T279" s="1" t="s">
        <v>6108</v>
      </c>
      <c r="U279" s="1" t="s">
        <v>6131</v>
      </c>
      <c r="V279" s="1" t="s">
        <v>6192</v>
      </c>
      <c r="W279" s="27">
        <v>61.111111111111114</v>
      </c>
      <c r="X279" s="27">
        <v>44.444444444444443</v>
      </c>
      <c r="Y279" s="33">
        <f>AVERAGE(Table13[[#This Row],[Score 1]],Table13[[#This Row],[Score 2]])</f>
        <v>52.777777777777779</v>
      </c>
      <c r="Z279" s="1">
        <v>2</v>
      </c>
      <c r="AA279" s="1">
        <v>1</v>
      </c>
      <c r="AB279" s="22">
        <f>Table13[[#This Row],[Rank 1]]+Table13[[#This Row],[Rank 2]]</f>
        <v>3</v>
      </c>
      <c r="AC279" s="1" t="str">
        <f>IF(AND(Table13[[#This Row],[Average score]]&gt;75,Table13[[#This Row],[Total rank]]&gt;6.5),"Yes","No")</f>
        <v>No</v>
      </c>
      <c r="AD279" s="1" t="str">
        <f>IF(AND(Table13[[#This Row],[Average score]]&gt;80,Table13[[#This Row],[Total rank]]&gt;7.5),"Yes","No")</f>
        <v>No</v>
      </c>
      <c r="AF279" s="8">
        <v>46055</v>
      </c>
      <c r="AG279" s="1">
        <v>2</v>
      </c>
      <c r="AH279" s="27">
        <v>260000</v>
      </c>
      <c r="AI279" s="27">
        <v>260000</v>
      </c>
      <c r="AJ279" s="30">
        <v>0</v>
      </c>
      <c r="AK279" s="30">
        <f>Table13[[#This Row],[Year 1]]</f>
        <v>260000</v>
      </c>
      <c r="AL279" s="30">
        <f>Table13[[#This Row],[Year 2]]</f>
        <v>260000</v>
      </c>
      <c r="AM279" s="30">
        <f>Table13[[#This Row],[Year 3]]</f>
        <v>0</v>
      </c>
      <c r="AN279" s="1">
        <v>3</v>
      </c>
    </row>
    <row r="280" spans="1:40" hidden="1" x14ac:dyDescent="0.25">
      <c r="A280" s="1" t="s">
        <v>48</v>
      </c>
      <c r="B280" s="1" t="s">
        <v>2184</v>
      </c>
      <c r="C280" s="1" t="s">
        <v>50</v>
      </c>
      <c r="D280" s="1" t="s">
        <v>2818</v>
      </c>
      <c r="E280" s="1" t="s">
        <v>2819</v>
      </c>
      <c r="F280" s="22" t="s">
        <v>3</v>
      </c>
      <c r="G280" s="1" t="s">
        <v>6085</v>
      </c>
      <c r="H280" s="1" t="s">
        <v>6</v>
      </c>
      <c r="I280" s="1" t="s">
        <v>20</v>
      </c>
      <c r="J280" s="1" t="s">
        <v>25</v>
      </c>
      <c r="K280" s="1" t="s">
        <v>9</v>
      </c>
      <c r="L280" s="1" t="s">
        <v>53</v>
      </c>
      <c r="M280" s="11" t="s">
        <v>188</v>
      </c>
      <c r="N280" s="1" t="s">
        <v>6037</v>
      </c>
      <c r="O280" s="1" t="s">
        <v>10</v>
      </c>
      <c r="P280" s="1" t="s">
        <v>4165</v>
      </c>
      <c r="Q280" s="19" t="s">
        <v>5680</v>
      </c>
      <c r="R280" s="1" t="s">
        <v>801</v>
      </c>
      <c r="S280" s="1" t="s">
        <v>6045</v>
      </c>
      <c r="T280" s="1" t="s">
        <v>6046</v>
      </c>
      <c r="U280" s="1" t="s">
        <v>6098</v>
      </c>
      <c r="V280" s="1" t="s">
        <v>6190</v>
      </c>
      <c r="W280" s="27">
        <v>67.857142857142861</v>
      </c>
      <c r="X280" s="27">
        <v>57.142857142857139</v>
      </c>
      <c r="Y280" s="33">
        <f>AVERAGE(Table13[[#This Row],[Score 1]],Table13[[#This Row],[Score 2]])</f>
        <v>62.5</v>
      </c>
      <c r="Z280" s="1">
        <v>3</v>
      </c>
      <c r="AA280" s="1">
        <v>2</v>
      </c>
      <c r="AB280" s="22">
        <f>Table13[[#This Row],[Rank 1]]+Table13[[#This Row],[Rank 2]]</f>
        <v>5</v>
      </c>
      <c r="AC280" s="1" t="str">
        <f>IF(AND(Table13[[#This Row],[Average score]]&gt;75,Table13[[#This Row],[Total rank]]&gt;6.5),"Yes","No")</f>
        <v>No</v>
      </c>
      <c r="AD280" s="1" t="str">
        <f>IF(AND(Table13[[#This Row],[Average score]]&gt;80,Table13[[#This Row],[Total rank]]&gt;7.5),"Yes","No")</f>
        <v>No</v>
      </c>
      <c r="AF280" s="8">
        <v>46054</v>
      </c>
      <c r="AG280" s="1">
        <v>2</v>
      </c>
      <c r="AH280" s="27">
        <v>100000</v>
      </c>
      <c r="AI280" s="27">
        <v>70000</v>
      </c>
      <c r="AJ280" s="30">
        <v>0</v>
      </c>
      <c r="AK280" s="30">
        <f>Table13[[#This Row],[Year 1]]</f>
        <v>100000</v>
      </c>
      <c r="AL280" s="30">
        <f>Table13[[#This Row],[Year 2]]</f>
        <v>70000</v>
      </c>
      <c r="AM280" s="30">
        <f>Table13[[#This Row],[Year 3]]</f>
        <v>0</v>
      </c>
      <c r="AN280" s="1">
        <v>2</v>
      </c>
    </row>
    <row r="281" spans="1:40" hidden="1" x14ac:dyDescent="0.25">
      <c r="A281" s="1" t="s">
        <v>48</v>
      </c>
      <c r="B281" s="1" t="s">
        <v>2185</v>
      </c>
      <c r="C281" s="1" t="s">
        <v>50</v>
      </c>
      <c r="D281" s="1" t="s">
        <v>2820</v>
      </c>
      <c r="E281" s="1" t="s">
        <v>2821</v>
      </c>
      <c r="F281" s="22" t="s">
        <v>2</v>
      </c>
      <c r="G281" s="1" t="s">
        <v>6085</v>
      </c>
      <c r="H281" s="1" t="s">
        <v>6</v>
      </c>
      <c r="I281" s="1" t="s">
        <v>20</v>
      </c>
      <c r="J281" s="1" t="s">
        <v>25</v>
      </c>
      <c r="K281" s="1" t="s">
        <v>9</v>
      </c>
      <c r="L281" s="1" t="s">
        <v>53</v>
      </c>
      <c r="M281" s="1" t="s">
        <v>1828</v>
      </c>
      <c r="N281" s="1" t="s">
        <v>6037</v>
      </c>
      <c r="O281" s="1" t="s">
        <v>16</v>
      </c>
      <c r="P281" s="1" t="s">
        <v>175</v>
      </c>
      <c r="Q281" s="1" t="s">
        <v>5681</v>
      </c>
      <c r="R281" s="1" t="s">
        <v>4166</v>
      </c>
      <c r="S281" s="1" t="s">
        <v>6111</v>
      </c>
      <c r="T281" s="1" t="s">
        <v>6112</v>
      </c>
      <c r="U281" s="1" t="s">
        <v>6127</v>
      </c>
      <c r="V281" s="1" t="s">
        <v>6179</v>
      </c>
      <c r="W281" s="27">
        <v>75</v>
      </c>
      <c r="X281" s="27">
        <v>78.571428571428569</v>
      </c>
      <c r="Y281" s="33">
        <f>AVERAGE(Table13[[#This Row],[Score 1]],Table13[[#This Row],[Score 2]])</f>
        <v>76.785714285714278</v>
      </c>
      <c r="Z281" s="1">
        <v>4</v>
      </c>
      <c r="AA281" s="1">
        <v>3</v>
      </c>
      <c r="AB281" s="22">
        <f>Table13[[#This Row],[Rank 1]]+Table13[[#This Row],[Rank 2]]</f>
        <v>7</v>
      </c>
      <c r="AC281" s="1" t="str">
        <f>IF(AND(Table13[[#This Row],[Average score]]&gt;75,Table13[[#This Row],[Total rank]]&gt;6.5),"Yes","No")</f>
        <v>Yes</v>
      </c>
      <c r="AD281" s="1" t="str">
        <f>IF(AND(Table13[[#This Row],[Average score]]&gt;80,Table13[[#This Row],[Total rank]]&gt;7.5),"Yes","No")</f>
        <v>No</v>
      </c>
      <c r="AF281" s="8">
        <v>46055</v>
      </c>
      <c r="AG281" s="1">
        <v>2</v>
      </c>
      <c r="AH281" s="27">
        <v>126000</v>
      </c>
      <c r="AI281" s="27">
        <v>99500</v>
      </c>
      <c r="AJ281" s="30">
        <v>0</v>
      </c>
      <c r="AK281" s="30">
        <f>Table13[[#This Row],[Year 1]]</f>
        <v>126000</v>
      </c>
      <c r="AL281" s="30">
        <f>Table13[[#This Row],[Year 2]]</f>
        <v>99500</v>
      </c>
      <c r="AM281" s="30">
        <f>Table13[[#This Row],[Year 3]]</f>
        <v>0</v>
      </c>
      <c r="AN281" s="1">
        <v>3</v>
      </c>
    </row>
    <row r="282" spans="1:40" hidden="1" x14ac:dyDescent="0.25">
      <c r="A282" s="1" t="s">
        <v>48</v>
      </c>
      <c r="B282" s="1" t="s">
        <v>2186</v>
      </c>
      <c r="C282" s="1" t="s">
        <v>50</v>
      </c>
      <c r="D282" s="1" t="s">
        <v>2822</v>
      </c>
      <c r="E282" s="1" t="s">
        <v>2823</v>
      </c>
      <c r="F282" s="22" t="s">
        <v>3</v>
      </c>
      <c r="G282" s="1" t="s">
        <v>6085</v>
      </c>
      <c r="H282" s="1" t="s">
        <v>6</v>
      </c>
      <c r="I282" s="1" t="s">
        <v>20</v>
      </c>
      <c r="J282" s="1" t="s">
        <v>25</v>
      </c>
      <c r="K282" s="1" t="s">
        <v>9</v>
      </c>
      <c r="L282" s="1" t="s">
        <v>53</v>
      </c>
      <c r="M282" s="11" t="s">
        <v>188</v>
      </c>
      <c r="N282" s="1" t="s">
        <v>6037</v>
      </c>
      <c r="O282" s="1" t="s">
        <v>10</v>
      </c>
      <c r="P282" s="1" t="s">
        <v>4168</v>
      </c>
      <c r="Q282" s="17" t="s">
        <v>5682</v>
      </c>
      <c r="R282" s="1" t="s">
        <v>4169</v>
      </c>
      <c r="S282" s="1" t="s">
        <v>6043</v>
      </c>
      <c r="T282" s="1" t="s">
        <v>6044</v>
      </c>
      <c r="U282" s="1" t="s">
        <v>6091</v>
      </c>
      <c r="V282" s="1" t="s">
        <v>6175</v>
      </c>
      <c r="W282" s="27">
        <v>75</v>
      </c>
      <c r="X282" s="27">
        <v>85.714285714285708</v>
      </c>
      <c r="Y282" s="33">
        <f>AVERAGE(Table13[[#This Row],[Score 1]],Table13[[#This Row],[Score 2]])</f>
        <v>80.357142857142861</v>
      </c>
      <c r="Z282" s="1">
        <v>5</v>
      </c>
      <c r="AA282" s="1">
        <v>4</v>
      </c>
      <c r="AB282" s="22">
        <f>Table13[[#This Row],[Rank 1]]+Table13[[#This Row],[Rank 2]]</f>
        <v>9</v>
      </c>
      <c r="AC282" s="1" t="str">
        <f>IF(AND(Table13[[#This Row],[Average score]]&gt;75,Table13[[#This Row],[Total rank]]&gt;6.5),"Yes","No")</f>
        <v>Yes</v>
      </c>
      <c r="AD282" s="1" t="str">
        <f>IF(AND(Table13[[#This Row],[Average score]]&gt;80,Table13[[#This Row],[Total rank]]&gt;7.5),"Yes","No")</f>
        <v>Yes</v>
      </c>
      <c r="AF282" s="8">
        <v>46062</v>
      </c>
      <c r="AG282" s="1">
        <v>2</v>
      </c>
      <c r="AH282" s="27">
        <v>144000</v>
      </c>
      <c r="AI282" s="27">
        <v>144000</v>
      </c>
      <c r="AJ282" s="30">
        <v>0</v>
      </c>
      <c r="AK282" s="30">
        <f>Table13[[#This Row],[Year 1]]</f>
        <v>144000</v>
      </c>
      <c r="AL282" s="30">
        <f>Table13[[#This Row],[Year 2]]</f>
        <v>144000</v>
      </c>
      <c r="AM282" s="30">
        <f>Table13[[#This Row],[Year 3]]</f>
        <v>0</v>
      </c>
      <c r="AN282" s="1">
        <v>3</v>
      </c>
    </row>
    <row r="283" spans="1:40" hidden="1" x14ac:dyDescent="0.25">
      <c r="A283" s="1" t="s">
        <v>48</v>
      </c>
      <c r="B283" s="2" t="s">
        <v>2187</v>
      </c>
      <c r="C283" s="1" t="s">
        <v>50</v>
      </c>
      <c r="D283" s="1" t="s">
        <v>2824</v>
      </c>
      <c r="E283" s="1" t="s">
        <v>2825</v>
      </c>
      <c r="F283" s="22" t="s">
        <v>3</v>
      </c>
      <c r="G283" s="1" t="s">
        <v>6085</v>
      </c>
      <c r="H283" s="1" t="s">
        <v>7</v>
      </c>
      <c r="I283" s="1" t="s">
        <v>20</v>
      </c>
      <c r="J283" s="1" t="s">
        <v>25</v>
      </c>
      <c r="K283" s="1" t="s">
        <v>9</v>
      </c>
      <c r="L283" s="1" t="s">
        <v>53</v>
      </c>
      <c r="M283" s="11" t="s">
        <v>188</v>
      </c>
      <c r="N283" s="1" t="s">
        <v>6037</v>
      </c>
      <c r="O283" s="1" t="s">
        <v>13</v>
      </c>
      <c r="P283" s="1" t="s">
        <v>66</v>
      </c>
      <c r="Q283" s="1" t="s">
        <v>4156</v>
      </c>
      <c r="R283" s="1" t="s">
        <v>4171</v>
      </c>
      <c r="S283" s="1" t="s">
        <v>6066</v>
      </c>
      <c r="T283" s="1" t="s">
        <v>6067</v>
      </c>
      <c r="U283" s="1" t="s">
        <v>6103</v>
      </c>
      <c r="V283" s="1" t="s">
        <v>6198</v>
      </c>
      <c r="W283" s="27">
        <v>88.888888888888886</v>
      </c>
      <c r="X283" s="29">
        <f>Table13[[#This Row],[Score 1]]</f>
        <v>88.888888888888886</v>
      </c>
      <c r="Y283" s="33">
        <f>AVERAGE(Table13[[#This Row],[Score 1]],Table13[[#This Row],[Score 2]])</f>
        <v>88.888888888888886</v>
      </c>
      <c r="Z283" s="1">
        <v>5</v>
      </c>
      <c r="AA283" s="2">
        <f>Table13[[#This Row],[Rank 1]]</f>
        <v>5</v>
      </c>
      <c r="AB283" s="22">
        <f>Table13[[#This Row],[Rank 1]]+Table13[[#This Row],[Rank 2]]</f>
        <v>10</v>
      </c>
      <c r="AC283" s="1" t="str">
        <f>IF(AND(Table13[[#This Row],[Average score]]&gt;75,Table13[[#This Row],[Total rank]]&gt;6.5),"Yes","No")</f>
        <v>Yes</v>
      </c>
      <c r="AD283" s="1" t="str">
        <f>IF(AND(Table13[[#This Row],[Average score]]&gt;80,Table13[[#This Row],[Total rank]]&gt;7.5),"Yes","No")</f>
        <v>Yes</v>
      </c>
      <c r="AE283" s="1" t="s">
        <v>6223</v>
      </c>
      <c r="AF283" s="8">
        <v>46034</v>
      </c>
      <c r="AG283" s="1">
        <v>2</v>
      </c>
      <c r="AH283" s="27">
        <v>315000</v>
      </c>
      <c r="AI283" s="27">
        <v>325000</v>
      </c>
      <c r="AJ283" s="27">
        <v>275000</v>
      </c>
      <c r="AK283" s="27">
        <f>Table13[[#This Row],[Year 1]]</f>
        <v>315000</v>
      </c>
      <c r="AL283" s="27">
        <f>Table13[[#This Row],[Year 2]]</f>
        <v>325000</v>
      </c>
      <c r="AM283" s="27">
        <f>Table13[[#This Row],[Year 3]]</f>
        <v>275000</v>
      </c>
      <c r="AN283" s="1">
        <v>3</v>
      </c>
    </row>
    <row r="284" spans="1:40" hidden="1" x14ac:dyDescent="0.25">
      <c r="A284" s="1" t="s">
        <v>48</v>
      </c>
      <c r="B284" s="1" t="s">
        <v>2188</v>
      </c>
      <c r="C284" s="1" t="s">
        <v>50</v>
      </c>
      <c r="D284" s="1" t="s">
        <v>2826</v>
      </c>
      <c r="E284" s="1" t="s">
        <v>2827</v>
      </c>
      <c r="F284" s="22" t="s">
        <v>3</v>
      </c>
      <c r="G284" s="1" t="s">
        <v>6085</v>
      </c>
      <c r="H284" s="1" t="s">
        <v>6</v>
      </c>
      <c r="I284" s="1" t="s">
        <v>24</v>
      </c>
      <c r="J284" s="1" t="s">
        <v>26</v>
      </c>
      <c r="K284" s="1" t="s">
        <v>9</v>
      </c>
      <c r="L284" s="1" t="s">
        <v>53</v>
      </c>
      <c r="M284" s="11" t="s">
        <v>188</v>
      </c>
      <c r="N284" s="1" t="s">
        <v>6037</v>
      </c>
      <c r="O284" s="1" t="s">
        <v>16</v>
      </c>
      <c r="P284" s="1" t="s">
        <v>60</v>
      </c>
      <c r="Q284" s="1" t="s">
        <v>5392</v>
      </c>
      <c r="R284" s="1" t="s">
        <v>4172</v>
      </c>
      <c r="S284" s="1" t="s">
        <v>6107</v>
      </c>
      <c r="T284" s="1" t="s">
        <v>6108</v>
      </c>
      <c r="U284" s="1" t="s">
        <v>6131</v>
      </c>
      <c r="V284" s="1" t="s">
        <v>6192</v>
      </c>
      <c r="W284" s="27">
        <v>85.714285714285708</v>
      </c>
      <c r="X284" s="27">
        <v>50</v>
      </c>
      <c r="Y284" s="33">
        <f>AVERAGE(Table13[[#This Row],[Score 1]],Table13[[#This Row],[Score 2]])</f>
        <v>67.857142857142861</v>
      </c>
      <c r="Z284" s="1">
        <v>5</v>
      </c>
      <c r="AA284" s="1">
        <v>2</v>
      </c>
      <c r="AB284" s="22">
        <f>Table13[[#This Row],[Rank 1]]+Table13[[#This Row],[Rank 2]]</f>
        <v>7</v>
      </c>
      <c r="AC284" s="1" t="str">
        <f>IF(AND(Table13[[#This Row],[Average score]]&gt;75,Table13[[#This Row],[Total rank]]&gt;6.5),"Yes","No")</f>
        <v>No</v>
      </c>
      <c r="AD284" s="1" t="str">
        <f>IF(AND(Table13[[#This Row],[Average score]]&gt;80,Table13[[#This Row],[Total rank]]&gt;7.5),"Yes","No")</f>
        <v>No</v>
      </c>
      <c r="AF284" s="8">
        <v>45671</v>
      </c>
      <c r="AG284" s="1">
        <v>1</v>
      </c>
      <c r="AH284" s="27">
        <v>110400</v>
      </c>
      <c r="AI284" s="30">
        <v>0</v>
      </c>
      <c r="AJ284" s="30">
        <v>0</v>
      </c>
      <c r="AK284" s="30">
        <f>Table13[[#This Row],[Year 1]]</f>
        <v>110400</v>
      </c>
      <c r="AL284" s="30">
        <f>Table13[[#This Row],[Year 2]]</f>
        <v>0</v>
      </c>
      <c r="AM284" s="30">
        <f>Table13[[#This Row],[Year 3]]</f>
        <v>0</v>
      </c>
      <c r="AN284" s="1">
        <v>3</v>
      </c>
    </row>
    <row r="285" spans="1:40" hidden="1" x14ac:dyDescent="0.25">
      <c r="A285" s="1" t="s">
        <v>48</v>
      </c>
      <c r="B285" s="1" t="s">
        <v>2191</v>
      </c>
      <c r="C285" s="1" t="s">
        <v>50</v>
      </c>
      <c r="D285" s="1" t="s">
        <v>2832</v>
      </c>
      <c r="E285" s="1" t="s">
        <v>2833</v>
      </c>
      <c r="F285" s="22" t="s">
        <v>3</v>
      </c>
      <c r="G285" s="1" t="s">
        <v>6085</v>
      </c>
      <c r="H285" s="1" t="s">
        <v>6</v>
      </c>
      <c r="I285" s="1" t="s">
        <v>24</v>
      </c>
      <c r="J285" s="1" t="s">
        <v>25</v>
      </c>
      <c r="K285" s="1" t="s">
        <v>9</v>
      </c>
      <c r="L285" s="1" t="s">
        <v>53</v>
      </c>
      <c r="M285" s="11" t="s">
        <v>188</v>
      </c>
      <c r="N285" s="1" t="s">
        <v>6037</v>
      </c>
      <c r="O285" s="1" t="s">
        <v>13</v>
      </c>
      <c r="P285" s="1" t="s">
        <v>126</v>
      </c>
      <c r="Q285" s="1" t="s">
        <v>5684</v>
      </c>
      <c r="R285" s="1" t="s">
        <v>4179</v>
      </c>
      <c r="S285" s="1" t="s">
        <v>6075</v>
      </c>
      <c r="T285" s="1" t="s">
        <v>6074</v>
      </c>
      <c r="U285" s="1" t="s">
        <v>6093</v>
      </c>
      <c r="V285" s="1" t="s">
        <v>6181</v>
      </c>
      <c r="W285" s="27">
        <v>78.571428571428569</v>
      </c>
      <c r="X285" s="27">
        <v>71.428571428571431</v>
      </c>
      <c r="Y285" s="33">
        <f>AVERAGE(Table13[[#This Row],[Score 1]],Table13[[#This Row],[Score 2]])</f>
        <v>75</v>
      </c>
      <c r="Z285" s="1">
        <v>3</v>
      </c>
      <c r="AA285" s="1">
        <v>4</v>
      </c>
      <c r="AB285" s="22">
        <f>Table13[[#This Row],[Rank 1]]+Table13[[#This Row],[Rank 2]]</f>
        <v>7</v>
      </c>
      <c r="AC285" s="1" t="str">
        <f>IF(AND(Table13[[#This Row],[Average score]]&gt;75,Table13[[#This Row],[Total rank]]&gt;6.5),"Yes","No")</f>
        <v>No</v>
      </c>
      <c r="AD285" s="1" t="str">
        <f>IF(AND(Table13[[#This Row],[Average score]]&gt;80,Table13[[#This Row],[Total rank]]&gt;7.5),"Yes","No")</f>
        <v>No</v>
      </c>
      <c r="AF285" s="8">
        <v>46069</v>
      </c>
      <c r="AG285" s="1">
        <v>2</v>
      </c>
      <c r="AH285" s="27">
        <v>258426.23999999999</v>
      </c>
      <c r="AI285" s="27">
        <v>271245.05</v>
      </c>
      <c r="AJ285" s="30">
        <v>0</v>
      </c>
      <c r="AK285" s="30">
        <f>Table13[[#This Row],[Year 1]]</f>
        <v>258426.23999999999</v>
      </c>
      <c r="AL285" s="30">
        <f>Table13[[#This Row],[Year 2]]</f>
        <v>271245.05</v>
      </c>
      <c r="AM285" s="30">
        <f>Table13[[#This Row],[Year 3]]</f>
        <v>0</v>
      </c>
      <c r="AN285" s="1">
        <v>3</v>
      </c>
    </row>
    <row r="286" spans="1:40" hidden="1" x14ac:dyDescent="0.25">
      <c r="A286" s="1" t="s">
        <v>48</v>
      </c>
      <c r="B286" s="1" t="s">
        <v>2192</v>
      </c>
      <c r="C286" s="1" t="s">
        <v>50</v>
      </c>
      <c r="D286" s="1" t="s">
        <v>2834</v>
      </c>
      <c r="E286" s="1" t="s">
        <v>2835</v>
      </c>
      <c r="F286" s="22" t="s">
        <v>3</v>
      </c>
      <c r="G286" s="1" t="s">
        <v>6085</v>
      </c>
      <c r="H286" s="1" t="s">
        <v>7</v>
      </c>
      <c r="I286" s="1" t="s">
        <v>24</v>
      </c>
      <c r="J286" s="1" t="s">
        <v>25</v>
      </c>
      <c r="K286" s="1" t="s">
        <v>9</v>
      </c>
      <c r="L286" s="1" t="s">
        <v>53</v>
      </c>
      <c r="M286" s="11" t="s">
        <v>188</v>
      </c>
      <c r="N286" s="1" t="s">
        <v>6037</v>
      </c>
      <c r="O286" s="1" t="s">
        <v>13</v>
      </c>
      <c r="P286" s="1" t="s">
        <v>126</v>
      </c>
      <c r="Q286" s="1" t="s">
        <v>5685</v>
      </c>
      <c r="R286" s="1" t="s">
        <v>4182</v>
      </c>
      <c r="S286" s="1" t="s">
        <v>6064</v>
      </c>
      <c r="T286" s="1" t="s">
        <v>6065</v>
      </c>
      <c r="U286" s="1" t="s">
        <v>6102</v>
      </c>
      <c r="V286" s="1" t="s">
        <v>6197</v>
      </c>
      <c r="W286" s="27">
        <v>91.666666666666657</v>
      </c>
      <c r="X286" s="27">
        <v>80.555555555555557</v>
      </c>
      <c r="Y286" s="33">
        <f>AVERAGE(Table13[[#This Row],[Score 1]],Table13[[#This Row],[Score 2]])</f>
        <v>86.111111111111114</v>
      </c>
      <c r="Z286" s="1">
        <v>5</v>
      </c>
      <c r="AA286" s="1">
        <v>4</v>
      </c>
      <c r="AB286" s="22">
        <f>Table13[[#This Row],[Rank 1]]+Table13[[#This Row],[Rank 2]]</f>
        <v>9</v>
      </c>
      <c r="AC286" s="1" t="str">
        <f>IF(AND(Table13[[#This Row],[Average score]]&gt;75,Table13[[#This Row],[Total rank]]&gt;6.5),"Yes","No")</f>
        <v>Yes</v>
      </c>
      <c r="AD286" s="1" t="str">
        <f>IF(AND(Table13[[#This Row],[Average score]]&gt;80,Table13[[#This Row],[Total rank]]&gt;7.5),"Yes","No")</f>
        <v>Yes</v>
      </c>
      <c r="AF286" s="8">
        <v>46023</v>
      </c>
      <c r="AG286" s="1">
        <v>1</v>
      </c>
      <c r="AH286" s="27">
        <v>280000</v>
      </c>
      <c r="AI286" s="30">
        <v>0</v>
      </c>
      <c r="AJ286" s="30">
        <v>0</v>
      </c>
      <c r="AK286" s="30">
        <f>Table13[[#This Row],[Year 1]]</f>
        <v>280000</v>
      </c>
      <c r="AL286" s="30">
        <f>Table13[[#This Row],[Year 2]]</f>
        <v>0</v>
      </c>
      <c r="AM286" s="30">
        <f>Table13[[#This Row],[Year 3]]</f>
        <v>0</v>
      </c>
      <c r="AN286" s="1">
        <v>3</v>
      </c>
    </row>
    <row r="287" spans="1:40" hidden="1" x14ac:dyDescent="0.25">
      <c r="A287" s="1" t="s">
        <v>48</v>
      </c>
      <c r="B287" s="10" t="s">
        <v>2193</v>
      </c>
      <c r="C287" s="1" t="s">
        <v>50</v>
      </c>
      <c r="D287" s="1" t="s">
        <v>2836</v>
      </c>
      <c r="E287" s="1" t="s">
        <v>2837</v>
      </c>
      <c r="F287" s="22" t="s">
        <v>3</v>
      </c>
      <c r="G287" s="1" t="s">
        <v>6085</v>
      </c>
      <c r="H287" s="1" t="s">
        <v>6</v>
      </c>
      <c r="I287" s="1" t="s">
        <v>20</v>
      </c>
      <c r="J287" s="1" t="s">
        <v>25</v>
      </c>
      <c r="K287" s="1" t="s">
        <v>9</v>
      </c>
      <c r="L287" s="1" t="s">
        <v>53</v>
      </c>
      <c r="M287" s="11" t="s">
        <v>188</v>
      </c>
      <c r="N287" s="1" t="s">
        <v>6037</v>
      </c>
      <c r="O287" s="1" t="s">
        <v>13</v>
      </c>
      <c r="P287" s="1" t="s">
        <v>60</v>
      </c>
      <c r="Q287" s="1" t="s">
        <v>4016</v>
      </c>
      <c r="R287" s="1" t="s">
        <v>4183</v>
      </c>
      <c r="S287" s="1" t="s">
        <v>6068</v>
      </c>
      <c r="T287" s="1" t="s">
        <v>6069</v>
      </c>
      <c r="U287" s="1" t="s">
        <v>6099</v>
      </c>
      <c r="V287" s="1" t="s">
        <v>6194</v>
      </c>
      <c r="W287" s="27">
        <v>67.857142857142861</v>
      </c>
      <c r="X287" s="27">
        <v>71.428571428571431</v>
      </c>
      <c r="Y287" s="33">
        <f>AVERAGE(Table13[[#This Row],[Score 1]],Table13[[#This Row],[Score 2]])</f>
        <v>69.642857142857139</v>
      </c>
      <c r="Z287" s="1">
        <v>3</v>
      </c>
      <c r="AA287" s="1">
        <v>3</v>
      </c>
      <c r="AB287" s="22">
        <f>Table13[[#This Row],[Rank 1]]+Table13[[#This Row],[Rank 2]]</f>
        <v>6</v>
      </c>
      <c r="AC287" s="1" t="str">
        <f>IF(AND(Table13[[#This Row],[Average score]]&gt;75,Table13[[#This Row],[Total rank]]&gt;6.5),"Yes","No")</f>
        <v>No</v>
      </c>
      <c r="AD287" s="1" t="str">
        <f>IF(AND(Table13[[#This Row],[Average score]]&gt;80,Table13[[#This Row],[Total rank]]&gt;7.5),"Yes","No")</f>
        <v>No</v>
      </c>
      <c r="AF287" s="8">
        <v>46054</v>
      </c>
      <c r="AG287" s="1">
        <v>2</v>
      </c>
      <c r="AH287" s="27">
        <v>166000</v>
      </c>
      <c r="AI287" s="27">
        <v>156000</v>
      </c>
      <c r="AJ287" s="30">
        <v>0</v>
      </c>
      <c r="AK287" s="30">
        <f>Table13[[#This Row],[Year 1]]</f>
        <v>166000</v>
      </c>
      <c r="AL287" s="30">
        <f>Table13[[#This Row],[Year 2]]</f>
        <v>156000</v>
      </c>
      <c r="AM287" s="30">
        <f>Table13[[#This Row],[Year 3]]</f>
        <v>0</v>
      </c>
      <c r="AN287" s="1">
        <v>2</v>
      </c>
    </row>
    <row r="288" spans="1:40" hidden="1" x14ac:dyDescent="0.25">
      <c r="A288" s="1" t="s">
        <v>48</v>
      </c>
      <c r="B288" s="1" t="s">
        <v>2194</v>
      </c>
      <c r="C288" s="1" t="s">
        <v>50</v>
      </c>
      <c r="D288" s="1" t="s">
        <v>2838</v>
      </c>
      <c r="E288" s="1" t="s">
        <v>2839</v>
      </c>
      <c r="F288" s="22" t="s">
        <v>3</v>
      </c>
      <c r="G288" s="1" t="s">
        <v>6085</v>
      </c>
      <c r="H288" s="1" t="s">
        <v>6</v>
      </c>
      <c r="I288" s="1" t="s">
        <v>20</v>
      </c>
      <c r="J288" s="1" t="s">
        <v>26</v>
      </c>
      <c r="K288" s="1" t="s">
        <v>9</v>
      </c>
      <c r="L288" s="1" t="s">
        <v>53</v>
      </c>
      <c r="M288" s="11" t="s">
        <v>188</v>
      </c>
      <c r="N288" s="1" t="s">
        <v>6037</v>
      </c>
      <c r="O288" s="1" t="s">
        <v>19</v>
      </c>
      <c r="P288" s="1" t="s">
        <v>1519</v>
      </c>
      <c r="Q288" s="1" t="s">
        <v>5686</v>
      </c>
      <c r="R288" s="1" t="s">
        <v>4184</v>
      </c>
      <c r="S288" s="1" t="s">
        <v>6151</v>
      </c>
      <c r="T288" s="1" t="s">
        <v>6147</v>
      </c>
      <c r="U288" s="1" t="s">
        <v>6151</v>
      </c>
      <c r="V288" s="1" t="s">
        <v>6185</v>
      </c>
      <c r="W288" s="27">
        <v>60.714285714285708</v>
      </c>
      <c r="X288" s="27">
        <v>71.428571428571431</v>
      </c>
      <c r="Y288" s="33">
        <f>AVERAGE(Table13[[#This Row],[Score 1]],Table13[[#This Row],[Score 2]])</f>
        <v>66.071428571428569</v>
      </c>
      <c r="Z288" s="1">
        <v>3</v>
      </c>
      <c r="AA288" s="1">
        <v>3</v>
      </c>
      <c r="AB288" s="22">
        <f>Table13[[#This Row],[Rank 1]]+Table13[[#This Row],[Rank 2]]</f>
        <v>6</v>
      </c>
      <c r="AC288" s="1" t="str">
        <f>IF(AND(Table13[[#This Row],[Average score]]&gt;75,Table13[[#This Row],[Total rank]]&gt;6.5),"Yes","No")</f>
        <v>No</v>
      </c>
      <c r="AD288" s="1" t="str">
        <f>IF(AND(Table13[[#This Row],[Average score]]&gt;80,Table13[[#This Row],[Total rank]]&gt;7.5),"Yes","No")</f>
        <v>No</v>
      </c>
      <c r="AF288" s="8">
        <v>46055</v>
      </c>
      <c r="AG288" s="1">
        <v>1</v>
      </c>
      <c r="AH288" s="27">
        <v>150000</v>
      </c>
      <c r="AI288" s="30">
        <v>0</v>
      </c>
      <c r="AJ288" s="30">
        <v>0</v>
      </c>
      <c r="AK288" s="30">
        <f>Table13[[#This Row],[Year 1]]</f>
        <v>150000</v>
      </c>
      <c r="AL288" s="30">
        <f>Table13[[#This Row],[Year 2]]</f>
        <v>0</v>
      </c>
      <c r="AM288" s="30">
        <f>Table13[[#This Row],[Year 3]]</f>
        <v>0</v>
      </c>
      <c r="AN288" s="1">
        <v>3</v>
      </c>
    </row>
    <row r="289" spans="1:40" hidden="1" x14ac:dyDescent="0.25">
      <c r="A289" s="1" t="s">
        <v>48</v>
      </c>
      <c r="B289" s="1" t="s">
        <v>2195</v>
      </c>
      <c r="C289" s="1" t="s">
        <v>50</v>
      </c>
      <c r="D289" s="1" t="s">
        <v>2840</v>
      </c>
      <c r="E289" s="1" t="s">
        <v>2841</v>
      </c>
      <c r="F289" s="22" t="s">
        <v>3</v>
      </c>
      <c r="G289" s="1" t="s">
        <v>6085</v>
      </c>
      <c r="H289" s="1" t="s">
        <v>6</v>
      </c>
      <c r="I289" s="1" t="s">
        <v>21</v>
      </c>
      <c r="J289" s="1" t="s">
        <v>25</v>
      </c>
      <c r="K289" s="1" t="s">
        <v>9</v>
      </c>
      <c r="L289" s="1" t="s">
        <v>53</v>
      </c>
      <c r="M289" s="11" t="s">
        <v>188</v>
      </c>
      <c r="N289" s="1" t="s">
        <v>6037</v>
      </c>
      <c r="O289" s="1" t="s">
        <v>14</v>
      </c>
      <c r="P289" s="1" t="s">
        <v>139</v>
      </c>
      <c r="Q289" s="1" t="s">
        <v>5687</v>
      </c>
      <c r="R289" s="1" t="s">
        <v>4185</v>
      </c>
      <c r="S289" s="1" t="s">
        <v>6139</v>
      </c>
      <c r="T289" s="1" t="s">
        <v>6140</v>
      </c>
      <c r="U289" s="1" t="s">
        <v>6162</v>
      </c>
      <c r="V289" s="1" t="s">
        <v>6187</v>
      </c>
      <c r="W289" s="27">
        <v>78.571428571428569</v>
      </c>
      <c r="X289" s="27">
        <v>96.428571428571431</v>
      </c>
      <c r="Y289" s="33">
        <f>AVERAGE(Table13[[#This Row],[Score 1]],Table13[[#This Row],[Score 2]])</f>
        <v>87.5</v>
      </c>
      <c r="Z289" s="1">
        <v>4</v>
      </c>
      <c r="AA289" s="1">
        <v>5</v>
      </c>
      <c r="AB289" s="22">
        <f>Table13[[#This Row],[Rank 1]]+Table13[[#This Row],[Rank 2]]</f>
        <v>9</v>
      </c>
      <c r="AC289" s="1" t="str">
        <f>IF(AND(Table13[[#This Row],[Average score]]&gt;75,Table13[[#This Row],[Total rank]]&gt;6.5),"Yes","No")</f>
        <v>Yes</v>
      </c>
      <c r="AD289" s="1" t="str">
        <f>IF(AND(Table13[[#This Row],[Average score]]&gt;80,Table13[[#This Row],[Total rank]]&gt;7.5),"Yes","No")</f>
        <v>Yes</v>
      </c>
      <c r="AF289" s="8">
        <v>45672</v>
      </c>
      <c r="AG289" s="1">
        <v>1</v>
      </c>
      <c r="AH289" s="27">
        <v>178200</v>
      </c>
      <c r="AI289" s="27">
        <v>0</v>
      </c>
      <c r="AJ289" s="30">
        <v>0</v>
      </c>
      <c r="AK289" s="30">
        <f>Table13[[#This Row],[Year 1]]</f>
        <v>178200</v>
      </c>
      <c r="AL289" s="30">
        <f>Table13[[#This Row],[Year 2]]</f>
        <v>0</v>
      </c>
      <c r="AM289" s="30">
        <f>Table13[[#This Row],[Year 3]]</f>
        <v>0</v>
      </c>
      <c r="AN289" s="1">
        <v>3</v>
      </c>
    </row>
    <row r="290" spans="1:40" hidden="1" x14ac:dyDescent="0.25">
      <c r="A290" s="1" t="s">
        <v>48</v>
      </c>
      <c r="B290" s="25" t="s">
        <v>2316</v>
      </c>
      <c r="C290" s="1" t="s">
        <v>50</v>
      </c>
      <c r="D290" s="1" t="s">
        <v>3082</v>
      </c>
      <c r="E290" s="1" t="s">
        <v>3083</v>
      </c>
      <c r="F290" s="22" t="s">
        <v>3</v>
      </c>
      <c r="G290" s="1" t="s">
        <v>6085</v>
      </c>
      <c r="H290" s="1" t="s">
        <v>6</v>
      </c>
      <c r="I290" s="1" t="s">
        <v>20</v>
      </c>
      <c r="J290" s="1" t="s">
        <v>25</v>
      </c>
      <c r="K290" s="1" t="s">
        <v>9</v>
      </c>
      <c r="L290" s="1" t="s">
        <v>53</v>
      </c>
      <c r="M290" s="11" t="s">
        <v>188</v>
      </c>
      <c r="N290" s="1" t="s">
        <v>6037</v>
      </c>
      <c r="O290" s="1" t="s">
        <v>14</v>
      </c>
      <c r="P290" s="1" t="s">
        <v>707</v>
      </c>
      <c r="Q290" s="1" t="s">
        <v>5788</v>
      </c>
      <c r="R290" s="1" t="s">
        <v>4469</v>
      </c>
      <c r="S290" s="1" t="s">
        <v>6148</v>
      </c>
      <c r="T290" s="1" t="s">
        <v>6149</v>
      </c>
      <c r="U290" s="1" t="s">
        <v>6166</v>
      </c>
      <c r="V290" s="1" t="s">
        <v>6204</v>
      </c>
      <c r="W290" s="27">
        <v>64.285714285714292</v>
      </c>
      <c r="X290" s="27">
        <v>71.428571428571431</v>
      </c>
      <c r="Y290" s="33">
        <f>AVERAGE(Table13[[#This Row],[Score 1]],Table13[[#This Row],[Score 2]])</f>
        <v>67.857142857142861</v>
      </c>
      <c r="Z290" s="1">
        <v>4</v>
      </c>
      <c r="AA290" s="1">
        <v>4</v>
      </c>
      <c r="AB290" s="22">
        <f>Table13[[#This Row],[Rank 1]]+Table13[[#This Row],[Rank 2]]</f>
        <v>8</v>
      </c>
      <c r="AC290" s="1" t="str">
        <f>IF(AND(Table13[[#This Row],[Average score]]&gt;75,Table13[[#This Row],[Total rank]]&gt;6.5),"Yes","No")</f>
        <v>No</v>
      </c>
      <c r="AD290" s="1" t="str">
        <f>IF(AND(Table13[[#This Row],[Average score]]&gt;80,Table13[[#This Row],[Total rank]]&gt;7.5),"Yes","No")</f>
        <v>No</v>
      </c>
      <c r="AF290" s="8">
        <v>45744</v>
      </c>
      <c r="AG290" s="1">
        <v>1</v>
      </c>
      <c r="AH290" s="27">
        <v>23500</v>
      </c>
      <c r="AI290" s="30">
        <v>0</v>
      </c>
      <c r="AJ290" s="30">
        <v>0</v>
      </c>
      <c r="AK290" s="30">
        <f>Table13[[#This Row],[Year 1]]</f>
        <v>23500</v>
      </c>
      <c r="AL290" s="30">
        <f>Table13[[#This Row],[Year 2]]</f>
        <v>0</v>
      </c>
      <c r="AM290" s="30">
        <f>Table13[[#This Row],[Year 3]]</f>
        <v>0</v>
      </c>
      <c r="AN290" s="1">
        <v>3</v>
      </c>
    </row>
    <row r="291" spans="1:40" hidden="1" x14ac:dyDescent="0.25">
      <c r="A291" s="1" t="s">
        <v>48</v>
      </c>
      <c r="B291" s="1" t="s">
        <v>2198</v>
      </c>
      <c r="C291" s="1" t="s">
        <v>50</v>
      </c>
      <c r="D291" s="1" t="s">
        <v>2846</v>
      </c>
      <c r="E291" s="1" t="s">
        <v>2847</v>
      </c>
      <c r="F291" s="22" t="s">
        <v>3</v>
      </c>
      <c r="G291" s="1" t="s">
        <v>6085</v>
      </c>
      <c r="H291" s="1" t="s">
        <v>5</v>
      </c>
      <c r="I291" s="1" t="s">
        <v>20</v>
      </c>
      <c r="J291" s="1" t="s">
        <v>26</v>
      </c>
      <c r="K291" s="1" t="s">
        <v>9</v>
      </c>
      <c r="L291" s="1" t="s">
        <v>53</v>
      </c>
      <c r="M291" s="11" t="s">
        <v>188</v>
      </c>
      <c r="N291" s="1" t="s">
        <v>6037</v>
      </c>
      <c r="O291" s="1" t="s">
        <v>13</v>
      </c>
      <c r="P291" s="1" t="s">
        <v>126</v>
      </c>
      <c r="Q291" s="1" t="s">
        <v>5689</v>
      </c>
      <c r="R291" s="1" t="s">
        <v>4193</v>
      </c>
      <c r="S291" s="1" t="s">
        <v>6081</v>
      </c>
      <c r="T291" s="1" t="s">
        <v>6082</v>
      </c>
      <c r="U291" s="1" t="s">
        <v>6097</v>
      </c>
      <c r="V291" s="1" t="s">
        <v>6188</v>
      </c>
      <c r="W291" s="27">
        <v>82.142857142857139</v>
      </c>
      <c r="X291" s="27">
        <v>78.571428571428569</v>
      </c>
      <c r="Y291" s="33">
        <f>AVERAGE(Table13[[#This Row],[Score 1]],Table13[[#This Row],[Score 2]])</f>
        <v>80.357142857142861</v>
      </c>
      <c r="Z291" s="1">
        <v>4</v>
      </c>
      <c r="AA291" s="1">
        <v>4</v>
      </c>
      <c r="AB291" s="22">
        <f>Table13[[#This Row],[Rank 1]]+Table13[[#This Row],[Rank 2]]</f>
        <v>8</v>
      </c>
      <c r="AC291" s="1" t="str">
        <f>IF(AND(Table13[[#This Row],[Average score]]&gt;75,Table13[[#This Row],[Total rank]]&gt;6.5),"Yes","No")</f>
        <v>Yes</v>
      </c>
      <c r="AD291" s="1" t="str">
        <f>IF(AND(Table13[[#This Row],[Average score]]&gt;80,Table13[[#This Row],[Total rank]]&gt;7.5),"Yes","No")</f>
        <v>Yes</v>
      </c>
      <c r="AF291" s="8">
        <v>45663</v>
      </c>
      <c r="AG291" s="1">
        <v>3</v>
      </c>
      <c r="AH291" s="27">
        <v>213170</v>
      </c>
      <c r="AI291" s="27">
        <v>234487</v>
      </c>
      <c r="AJ291" s="27">
        <v>257575.7</v>
      </c>
      <c r="AK291" s="27">
        <f>Table13[[#This Row],[Year 1]]</f>
        <v>213170</v>
      </c>
      <c r="AL291" s="27">
        <f>Table13[[#This Row],[Year 2]]</f>
        <v>234487</v>
      </c>
      <c r="AM291" s="27">
        <f>Table13[[#This Row],[Year 3]]</f>
        <v>257575.7</v>
      </c>
      <c r="AN291" s="1">
        <v>3</v>
      </c>
    </row>
    <row r="292" spans="1:40" hidden="1" x14ac:dyDescent="0.25">
      <c r="A292" s="1" t="s">
        <v>48</v>
      </c>
      <c r="B292" s="1" t="s">
        <v>2199</v>
      </c>
      <c r="C292" s="1" t="s">
        <v>50</v>
      </c>
      <c r="D292" s="1" t="s">
        <v>2848</v>
      </c>
      <c r="E292" s="1" t="s">
        <v>2849</v>
      </c>
      <c r="F292" s="22" t="s">
        <v>3</v>
      </c>
      <c r="G292" s="1" t="s">
        <v>6085</v>
      </c>
      <c r="H292" s="1" t="s">
        <v>5</v>
      </c>
      <c r="I292" s="1" t="s">
        <v>24</v>
      </c>
      <c r="J292" s="1" t="s">
        <v>26</v>
      </c>
      <c r="K292" s="1" t="s">
        <v>9</v>
      </c>
      <c r="L292" s="1" t="s">
        <v>53</v>
      </c>
      <c r="M292" s="11" t="s">
        <v>2091</v>
      </c>
      <c r="N292" s="1" t="s">
        <v>6037</v>
      </c>
      <c r="O292" s="1" t="s">
        <v>14</v>
      </c>
      <c r="P292" s="1" t="s">
        <v>60</v>
      </c>
      <c r="Q292" s="1" t="s">
        <v>5690</v>
      </c>
      <c r="R292" s="1" t="s">
        <v>4197</v>
      </c>
      <c r="S292" s="1" t="s">
        <v>6151</v>
      </c>
      <c r="T292" s="1" t="s">
        <v>6147</v>
      </c>
      <c r="U292" s="1" t="s">
        <v>6151</v>
      </c>
      <c r="V292" s="1" t="s">
        <v>6185</v>
      </c>
      <c r="W292" s="27">
        <v>100</v>
      </c>
      <c r="X292" s="27">
        <v>92.857142857142861</v>
      </c>
      <c r="Y292" s="33">
        <f>AVERAGE(Table13[[#This Row],[Score 1]],Table13[[#This Row],[Score 2]])</f>
        <v>96.428571428571431</v>
      </c>
      <c r="Z292" s="1">
        <v>5</v>
      </c>
      <c r="AA292" s="1">
        <v>5</v>
      </c>
      <c r="AB292" s="22">
        <f>Table13[[#This Row],[Rank 1]]+Table13[[#This Row],[Rank 2]]</f>
        <v>10</v>
      </c>
      <c r="AC292" s="1" t="str">
        <f>IF(AND(Table13[[#This Row],[Average score]]&gt;75,Table13[[#This Row],[Total rank]]&gt;6.5),"Yes","No")</f>
        <v>Yes</v>
      </c>
      <c r="AD292" s="1" t="str">
        <f>IF(AND(Table13[[#This Row],[Average score]]&gt;80,Table13[[#This Row],[Total rank]]&gt;7.5),"Yes","No")</f>
        <v>Yes</v>
      </c>
      <c r="AE292" s="2" t="s">
        <v>6223</v>
      </c>
      <c r="AF292" s="8">
        <v>46023</v>
      </c>
      <c r="AG292" s="1">
        <v>3</v>
      </c>
      <c r="AH292" s="27">
        <v>183820</v>
      </c>
      <c r="AI292" s="27">
        <v>163820</v>
      </c>
      <c r="AJ292" s="27">
        <v>158820</v>
      </c>
      <c r="AK292" s="27">
        <f>Table13[[#This Row],[Year 1]]</f>
        <v>183820</v>
      </c>
      <c r="AL292" s="27">
        <f>Table13[[#This Row],[Year 2]]</f>
        <v>163820</v>
      </c>
      <c r="AM292" s="27">
        <f>Table13[[#This Row],[Year 3]]</f>
        <v>158820</v>
      </c>
      <c r="AN292" s="1">
        <v>3</v>
      </c>
    </row>
    <row r="293" spans="1:40" hidden="1" x14ac:dyDescent="0.25">
      <c r="A293" s="1" t="s">
        <v>48</v>
      </c>
      <c r="B293" s="10" t="s">
        <v>2201</v>
      </c>
      <c r="C293" s="1" t="s">
        <v>50</v>
      </c>
      <c r="D293" s="1" t="s">
        <v>2852</v>
      </c>
      <c r="E293" s="1" t="s">
        <v>2853</v>
      </c>
      <c r="F293" s="22" t="s">
        <v>3</v>
      </c>
      <c r="G293" s="1" t="s">
        <v>6085</v>
      </c>
      <c r="H293" s="1" t="s">
        <v>5</v>
      </c>
      <c r="I293" s="1" t="s">
        <v>20</v>
      </c>
      <c r="J293" s="1" t="s">
        <v>26</v>
      </c>
      <c r="K293" s="1" t="s">
        <v>9</v>
      </c>
      <c r="L293" s="1" t="s">
        <v>53</v>
      </c>
      <c r="M293" s="11" t="s">
        <v>188</v>
      </c>
      <c r="N293" s="1" t="s">
        <v>6037</v>
      </c>
      <c r="O293" s="1" t="s">
        <v>16</v>
      </c>
      <c r="P293" s="1" t="s">
        <v>306</v>
      </c>
      <c r="Q293" s="1" t="s">
        <v>5692</v>
      </c>
      <c r="R293" s="1" t="s">
        <v>4204</v>
      </c>
      <c r="S293" s="1" t="s">
        <v>6113</v>
      </c>
      <c r="T293" s="1" t="s">
        <v>6114</v>
      </c>
      <c r="U293" s="2" t="s">
        <v>6128</v>
      </c>
      <c r="V293" s="1" t="s">
        <v>6182</v>
      </c>
      <c r="W293" s="29">
        <f>Table13[[#This Row],[Score 2]]</f>
        <v>82.142857142857139</v>
      </c>
      <c r="X293" s="27">
        <v>82.142857142857139</v>
      </c>
      <c r="Y293" s="33">
        <f>AVERAGE(Table13[[#This Row],[Score 1]],Table13[[#This Row],[Score 2]])</f>
        <v>82.142857142857139</v>
      </c>
      <c r="Z293" s="2">
        <f>Table13[[#This Row],[Rank 2]]</f>
        <v>5</v>
      </c>
      <c r="AA293" s="1">
        <v>5</v>
      </c>
      <c r="AB293" s="22">
        <f>Table13[[#This Row],[Rank 1]]+Table13[[#This Row],[Rank 2]]</f>
        <v>10</v>
      </c>
      <c r="AC293" s="1" t="str">
        <f>IF(AND(Table13[[#This Row],[Average score]]&gt;75,Table13[[#This Row],[Total rank]]&gt;6.5),"Yes","No")</f>
        <v>Yes</v>
      </c>
      <c r="AD293" s="1" t="str">
        <f>IF(AND(Table13[[#This Row],[Average score]]&gt;80,Table13[[#This Row],[Total rank]]&gt;7.5),"Yes","No")</f>
        <v>Yes</v>
      </c>
      <c r="AF293" s="8">
        <v>46041</v>
      </c>
      <c r="AG293" s="1">
        <v>2</v>
      </c>
      <c r="AH293" s="27">
        <v>116500</v>
      </c>
      <c r="AI293" s="27">
        <v>116500</v>
      </c>
      <c r="AJ293" s="30">
        <v>0</v>
      </c>
      <c r="AK293" s="30">
        <f>Table13[[#This Row],[Year 1]]</f>
        <v>116500</v>
      </c>
      <c r="AL293" s="30">
        <f>Table13[[#This Row],[Year 2]]</f>
        <v>116500</v>
      </c>
      <c r="AM293" s="30">
        <f>Table13[[#This Row],[Year 3]]</f>
        <v>0</v>
      </c>
      <c r="AN293" s="1">
        <v>3</v>
      </c>
    </row>
    <row r="294" spans="1:40" x14ac:dyDescent="0.25">
      <c r="A294" s="1" t="s">
        <v>48</v>
      </c>
      <c r="B294" s="1" t="s">
        <v>2202</v>
      </c>
      <c r="C294" s="1" t="s">
        <v>50</v>
      </c>
      <c r="D294" s="1" t="s">
        <v>2854</v>
      </c>
      <c r="E294" s="1" t="s">
        <v>2855</v>
      </c>
      <c r="F294" s="22" t="s">
        <v>3</v>
      </c>
      <c r="G294" s="1" t="s">
        <v>6085</v>
      </c>
      <c r="H294" s="1" t="s">
        <v>1383</v>
      </c>
      <c r="I294" s="1" t="s">
        <v>24</v>
      </c>
      <c r="J294" s="1" t="s">
        <v>25</v>
      </c>
      <c r="K294" s="1" t="s">
        <v>8</v>
      </c>
      <c r="L294" s="1" t="s">
        <v>53</v>
      </c>
      <c r="M294" s="11" t="s">
        <v>188</v>
      </c>
      <c r="N294" s="1" t="s">
        <v>6037</v>
      </c>
      <c r="O294" s="1" t="s">
        <v>11</v>
      </c>
      <c r="P294" s="1" t="s">
        <v>4206</v>
      </c>
      <c r="Q294" s="1" t="s">
        <v>5693</v>
      </c>
      <c r="R294" s="1" t="s">
        <v>4207</v>
      </c>
      <c r="S294" s="1" t="s">
        <v>6055</v>
      </c>
      <c r="T294" s="1" t="s">
        <v>6056</v>
      </c>
      <c r="U294" s="1" t="s">
        <v>6105</v>
      </c>
      <c r="V294" s="1" t="s">
        <v>6199</v>
      </c>
      <c r="W294" s="27">
        <v>87.5</v>
      </c>
      <c r="X294" s="27">
        <v>87.5</v>
      </c>
      <c r="Y294" s="33">
        <f>AVERAGE(Table13[[#This Row],[Score 1]],Table13[[#This Row],[Score 2]])</f>
        <v>87.5</v>
      </c>
      <c r="Z294" s="1">
        <v>5</v>
      </c>
      <c r="AA294" s="1">
        <v>5</v>
      </c>
      <c r="AB294" s="22">
        <f>Table13[[#This Row],[Rank 1]]+Table13[[#This Row],[Rank 2]]</f>
        <v>10</v>
      </c>
      <c r="AC294" s="1" t="str">
        <f>IF(AND(Table13[[#This Row],[Average score]]&gt;75,Table13[[#This Row],[Total rank]]&gt;6.5),"Yes","No")</f>
        <v>Yes</v>
      </c>
      <c r="AD294" s="1" t="str">
        <f>IF(AND(Table13[[#This Row],[Average score]]&gt;80,Table13[[#This Row],[Total rank]]&gt;7.5),"Yes","No")</f>
        <v>Yes</v>
      </c>
      <c r="AE294" s="1" t="s">
        <v>6221</v>
      </c>
      <c r="AF294" s="8">
        <v>46113</v>
      </c>
      <c r="AG294" s="1">
        <v>1</v>
      </c>
      <c r="AH294" s="27">
        <v>211500</v>
      </c>
      <c r="AI294" s="30">
        <v>0</v>
      </c>
      <c r="AJ294" s="30">
        <v>0</v>
      </c>
      <c r="AK294" s="30">
        <v>212000</v>
      </c>
      <c r="AL294" s="30">
        <f>Table13[[#This Row],[Year 2]]</f>
        <v>0</v>
      </c>
      <c r="AM294" s="30">
        <f>Table13[[#This Row],[Year 3]]</f>
        <v>0</v>
      </c>
      <c r="AN294" s="1">
        <v>3</v>
      </c>
    </row>
    <row r="295" spans="1:40" hidden="1" x14ac:dyDescent="0.25">
      <c r="A295" s="1" t="s">
        <v>48</v>
      </c>
      <c r="B295" s="1" t="s">
        <v>2203</v>
      </c>
      <c r="C295" s="1" t="s">
        <v>50</v>
      </c>
      <c r="D295" s="1" t="s">
        <v>2856</v>
      </c>
      <c r="E295" s="1" t="s">
        <v>2857</v>
      </c>
      <c r="F295" s="22" t="s">
        <v>3</v>
      </c>
      <c r="G295" s="1" t="s">
        <v>6085</v>
      </c>
      <c r="H295" s="1" t="s">
        <v>6</v>
      </c>
      <c r="I295" s="1" t="s">
        <v>24</v>
      </c>
      <c r="J295" s="1" t="s">
        <v>25</v>
      </c>
      <c r="K295" s="1" t="s">
        <v>9</v>
      </c>
      <c r="L295" s="1" t="s">
        <v>53</v>
      </c>
      <c r="M295" s="11" t="s">
        <v>188</v>
      </c>
      <c r="N295" s="1" t="s">
        <v>6037</v>
      </c>
      <c r="O295" s="1" t="s">
        <v>13</v>
      </c>
      <c r="P295" s="1" t="s">
        <v>60</v>
      </c>
      <c r="Q295" s="1" t="s">
        <v>5694</v>
      </c>
      <c r="R295" s="1" t="s">
        <v>734</v>
      </c>
      <c r="S295" s="1" t="s">
        <v>6070</v>
      </c>
      <c r="T295" s="1" t="s">
        <v>6071</v>
      </c>
      <c r="U295" s="1" t="s">
        <v>6088</v>
      </c>
      <c r="V295" s="1" t="s">
        <v>6171</v>
      </c>
      <c r="W295" s="27">
        <v>75</v>
      </c>
      <c r="X295" s="27">
        <v>78.571428571428569</v>
      </c>
      <c r="Y295" s="33">
        <f>AVERAGE(Table13[[#This Row],[Score 1]],Table13[[#This Row],[Score 2]])</f>
        <v>76.785714285714278</v>
      </c>
      <c r="Z295" s="1">
        <v>3</v>
      </c>
      <c r="AA295" s="1">
        <v>4</v>
      </c>
      <c r="AB295" s="22">
        <f>Table13[[#This Row],[Rank 1]]+Table13[[#This Row],[Rank 2]]</f>
        <v>7</v>
      </c>
      <c r="AC295" s="1" t="str">
        <f>IF(AND(Table13[[#This Row],[Average score]]&gt;75,Table13[[#This Row],[Total rank]]&gt;6.5),"Yes","No")</f>
        <v>Yes</v>
      </c>
      <c r="AD295" s="1" t="str">
        <f>IF(AND(Table13[[#This Row],[Average score]]&gt;80,Table13[[#This Row],[Total rank]]&gt;7.5),"Yes","No")</f>
        <v>No</v>
      </c>
      <c r="AF295" s="8">
        <v>45684</v>
      </c>
      <c r="AG295" s="1">
        <v>1</v>
      </c>
      <c r="AH295" s="27">
        <v>177164</v>
      </c>
      <c r="AI295" s="30">
        <v>0</v>
      </c>
      <c r="AJ295" s="30">
        <v>0</v>
      </c>
      <c r="AK295" s="30">
        <f>Table13[[#This Row],[Year 1]]</f>
        <v>177164</v>
      </c>
      <c r="AL295" s="30">
        <f>Table13[[#This Row],[Year 2]]</f>
        <v>0</v>
      </c>
      <c r="AM295" s="30">
        <f>Table13[[#This Row],[Year 3]]</f>
        <v>0</v>
      </c>
      <c r="AN295" s="1">
        <v>3</v>
      </c>
    </row>
    <row r="296" spans="1:40" hidden="1" x14ac:dyDescent="0.25">
      <c r="A296" s="1" t="s">
        <v>48</v>
      </c>
      <c r="B296" s="25" t="s">
        <v>2283</v>
      </c>
      <c r="C296" s="1" t="s">
        <v>50</v>
      </c>
      <c r="D296" s="1" t="s">
        <v>3016</v>
      </c>
      <c r="E296" s="1" t="s">
        <v>3017</v>
      </c>
      <c r="F296" s="22" t="s">
        <v>3</v>
      </c>
      <c r="G296" s="1" t="s">
        <v>6085</v>
      </c>
      <c r="H296" s="1" t="s">
        <v>6</v>
      </c>
      <c r="I296" s="1" t="s">
        <v>20</v>
      </c>
      <c r="J296" s="1" t="s">
        <v>25</v>
      </c>
      <c r="K296" s="1" t="s">
        <v>9</v>
      </c>
      <c r="L296" s="1" t="s">
        <v>53</v>
      </c>
      <c r="M296" s="11" t="s">
        <v>2091</v>
      </c>
      <c r="N296" s="1" t="s">
        <v>6037</v>
      </c>
      <c r="O296" s="1" t="s">
        <v>14</v>
      </c>
      <c r="P296" s="1" t="s">
        <v>656</v>
      </c>
      <c r="Q296" s="1" t="s">
        <v>5762</v>
      </c>
      <c r="R296" s="1" t="s">
        <v>4393</v>
      </c>
      <c r="S296" s="1" t="s">
        <v>6148</v>
      </c>
      <c r="T296" s="1" t="s">
        <v>6149</v>
      </c>
      <c r="U296" s="1" t="s">
        <v>6166</v>
      </c>
      <c r="V296" s="1" t="s">
        <v>6204</v>
      </c>
      <c r="W296" s="27">
        <v>64.285714285714292</v>
      </c>
      <c r="X296" s="27">
        <v>75</v>
      </c>
      <c r="Y296" s="33">
        <f>AVERAGE(Table13[[#This Row],[Score 1]],Table13[[#This Row],[Score 2]])</f>
        <v>69.642857142857139</v>
      </c>
      <c r="Z296" s="1">
        <v>4</v>
      </c>
      <c r="AA296" s="1">
        <v>4</v>
      </c>
      <c r="AB296" s="22">
        <f>Table13[[#This Row],[Rank 1]]+Table13[[#This Row],[Rank 2]]</f>
        <v>8</v>
      </c>
      <c r="AC296" s="1" t="str">
        <f>IF(AND(Table13[[#This Row],[Average score]]&gt;75,Table13[[#This Row],[Total rank]]&gt;6.5),"Yes","No")</f>
        <v>No</v>
      </c>
      <c r="AD296" s="1" t="str">
        <f>IF(AND(Table13[[#This Row],[Average score]]&gt;80,Table13[[#This Row],[Total rank]]&gt;7.5),"Yes","No")</f>
        <v>No</v>
      </c>
      <c r="AF296" s="8">
        <v>45698</v>
      </c>
      <c r="AG296" s="1">
        <v>1</v>
      </c>
      <c r="AH296" s="27">
        <v>102000</v>
      </c>
      <c r="AI296" s="30">
        <v>0</v>
      </c>
      <c r="AJ296" s="30">
        <v>0</v>
      </c>
      <c r="AK296" s="30">
        <f>Table13[[#This Row],[Year 1]]</f>
        <v>102000</v>
      </c>
      <c r="AL296" s="30">
        <f>Table13[[#This Row],[Year 2]]</f>
        <v>0</v>
      </c>
      <c r="AM296" s="30">
        <f>Table13[[#This Row],[Year 3]]</f>
        <v>0</v>
      </c>
      <c r="AN296" s="1">
        <v>3</v>
      </c>
    </row>
    <row r="297" spans="1:40" hidden="1" x14ac:dyDescent="0.25">
      <c r="A297" s="1" t="s">
        <v>48</v>
      </c>
      <c r="B297" s="1" t="s">
        <v>2205</v>
      </c>
      <c r="C297" s="1" t="s">
        <v>50</v>
      </c>
      <c r="D297" s="1" t="s">
        <v>2860</v>
      </c>
      <c r="E297" s="1" t="s">
        <v>2861</v>
      </c>
      <c r="F297" s="22" t="s">
        <v>3</v>
      </c>
      <c r="G297" s="1" t="s">
        <v>6085</v>
      </c>
      <c r="H297" s="1" t="s">
        <v>5</v>
      </c>
      <c r="I297" s="1" t="s">
        <v>24</v>
      </c>
      <c r="J297" s="1" t="s">
        <v>26</v>
      </c>
      <c r="K297" s="1" t="s">
        <v>9</v>
      </c>
      <c r="L297" s="1" t="s">
        <v>53</v>
      </c>
      <c r="M297" s="11" t="s">
        <v>188</v>
      </c>
      <c r="N297" s="1" t="s">
        <v>6037</v>
      </c>
      <c r="O297" s="1" t="s">
        <v>13</v>
      </c>
      <c r="P297" s="1" t="s">
        <v>60</v>
      </c>
      <c r="Q297" s="1" t="s">
        <v>5695</v>
      </c>
      <c r="R297" s="1" t="s">
        <v>4212</v>
      </c>
      <c r="S297" s="1" t="s">
        <v>6078</v>
      </c>
      <c r="T297" s="1" t="s">
        <v>6077</v>
      </c>
      <c r="U297" s="1" t="s">
        <v>6090</v>
      </c>
      <c r="V297" s="1" t="s">
        <v>6174</v>
      </c>
      <c r="W297" s="27">
        <v>71.428571428571431</v>
      </c>
      <c r="X297" s="27">
        <v>64.285714285714292</v>
      </c>
      <c r="Y297" s="33">
        <f>AVERAGE(Table13[[#This Row],[Score 1]],Table13[[#This Row],[Score 2]])</f>
        <v>67.857142857142861</v>
      </c>
      <c r="Z297" s="1">
        <v>3</v>
      </c>
      <c r="AA297" s="1">
        <v>2</v>
      </c>
      <c r="AB297" s="22">
        <f>Table13[[#This Row],[Rank 1]]+Table13[[#This Row],[Rank 2]]</f>
        <v>5</v>
      </c>
      <c r="AC297" s="1" t="str">
        <f>IF(AND(Table13[[#This Row],[Average score]]&gt;75,Table13[[#This Row],[Total rank]]&gt;6.5),"Yes","No")</f>
        <v>No</v>
      </c>
      <c r="AD297" s="1" t="str">
        <f>IF(AND(Table13[[#This Row],[Average score]]&gt;80,Table13[[#This Row],[Total rank]]&gt;7.5),"Yes","No")</f>
        <v>No</v>
      </c>
      <c r="AF297" s="8">
        <v>46023</v>
      </c>
      <c r="AG297" s="1">
        <v>2</v>
      </c>
      <c r="AH297" s="27">
        <v>32016.48</v>
      </c>
      <c r="AI297" s="27">
        <v>70016.479999999996</v>
      </c>
      <c r="AJ297" s="30">
        <v>0</v>
      </c>
      <c r="AK297" s="30">
        <f>Table13[[#This Row],[Year 1]]</f>
        <v>32016.48</v>
      </c>
      <c r="AL297" s="30">
        <f>Table13[[#This Row],[Year 2]]</f>
        <v>70016.479999999996</v>
      </c>
      <c r="AM297" s="30">
        <f>Table13[[#This Row],[Year 3]]</f>
        <v>0</v>
      </c>
      <c r="AN297" s="1">
        <v>3</v>
      </c>
    </row>
    <row r="298" spans="1:40" hidden="1" x14ac:dyDescent="0.25">
      <c r="A298" s="1" t="s">
        <v>48</v>
      </c>
      <c r="B298" s="1" t="s">
        <v>2206</v>
      </c>
      <c r="C298" s="1" t="s">
        <v>50</v>
      </c>
      <c r="D298" s="1" t="s">
        <v>2862</v>
      </c>
      <c r="E298" s="1" t="s">
        <v>2863</v>
      </c>
      <c r="F298" s="22" t="s">
        <v>3</v>
      </c>
      <c r="G298" s="1" t="s">
        <v>6085</v>
      </c>
      <c r="H298" s="1" t="s">
        <v>5</v>
      </c>
      <c r="I298" s="1" t="s">
        <v>21</v>
      </c>
      <c r="J298" s="1" t="s">
        <v>26</v>
      </c>
      <c r="K298" s="1" t="s">
        <v>9</v>
      </c>
      <c r="L298" s="1" t="s">
        <v>53</v>
      </c>
      <c r="M298" s="11" t="s">
        <v>188</v>
      </c>
      <c r="N298" s="1" t="s">
        <v>6037</v>
      </c>
      <c r="O298" s="1" t="s">
        <v>13</v>
      </c>
      <c r="P298" s="1" t="s">
        <v>60</v>
      </c>
      <c r="Q298" s="1" t="s">
        <v>5696</v>
      </c>
      <c r="R298" s="1" t="s">
        <v>4215</v>
      </c>
      <c r="S298" s="1" t="s">
        <v>6078</v>
      </c>
      <c r="T298" s="1" t="s">
        <v>6077</v>
      </c>
      <c r="U298" s="1" t="s">
        <v>6090</v>
      </c>
      <c r="V298" s="1" t="s">
        <v>6174</v>
      </c>
      <c r="W298" s="27">
        <v>78.571428571428569</v>
      </c>
      <c r="X298" s="27">
        <v>78.571428571428569</v>
      </c>
      <c r="Y298" s="33">
        <f>AVERAGE(Table13[[#This Row],[Score 1]],Table13[[#This Row],[Score 2]])</f>
        <v>78.571428571428569</v>
      </c>
      <c r="Z298" s="1">
        <v>4</v>
      </c>
      <c r="AA298" s="1">
        <v>3</v>
      </c>
      <c r="AB298" s="22">
        <f>Table13[[#This Row],[Rank 1]]+Table13[[#This Row],[Rank 2]]</f>
        <v>7</v>
      </c>
      <c r="AC298" s="1" t="str">
        <f>IF(AND(Table13[[#This Row],[Average score]]&gt;75,Table13[[#This Row],[Total rank]]&gt;6.5),"Yes","No")</f>
        <v>Yes</v>
      </c>
      <c r="AD298" s="1" t="str">
        <f>IF(AND(Table13[[#This Row],[Average score]]&gt;80,Table13[[#This Row],[Total rank]]&gt;7.5),"Yes","No")</f>
        <v>No</v>
      </c>
      <c r="AF298" s="8">
        <v>45323</v>
      </c>
      <c r="AG298" s="1">
        <v>2</v>
      </c>
      <c r="AH298" s="27">
        <v>70435</v>
      </c>
      <c r="AI298" s="27">
        <v>64885</v>
      </c>
      <c r="AJ298" s="30">
        <v>0</v>
      </c>
      <c r="AK298" s="30">
        <f>Table13[[#This Row],[Year 1]]</f>
        <v>70435</v>
      </c>
      <c r="AL298" s="30">
        <f>Table13[[#This Row],[Year 2]]</f>
        <v>64885</v>
      </c>
      <c r="AM298" s="30">
        <f>Table13[[#This Row],[Year 3]]</f>
        <v>0</v>
      </c>
      <c r="AN298" s="1">
        <v>2</v>
      </c>
    </row>
    <row r="299" spans="1:40" hidden="1" x14ac:dyDescent="0.25">
      <c r="A299" s="1" t="s">
        <v>48</v>
      </c>
      <c r="B299" s="1" t="s">
        <v>2207</v>
      </c>
      <c r="C299" s="1" t="s">
        <v>50</v>
      </c>
      <c r="D299" s="1" t="s">
        <v>2864</v>
      </c>
      <c r="E299" s="1" t="s">
        <v>2865</v>
      </c>
      <c r="F299" s="22" t="s">
        <v>3</v>
      </c>
      <c r="G299" s="1" t="s">
        <v>6085</v>
      </c>
      <c r="H299" s="1" t="s">
        <v>7</v>
      </c>
      <c r="I299" s="1" t="s">
        <v>20</v>
      </c>
      <c r="J299" s="1" t="s">
        <v>25</v>
      </c>
      <c r="K299" s="1" t="s">
        <v>9</v>
      </c>
      <c r="L299" s="1" t="s">
        <v>53</v>
      </c>
      <c r="M299" s="11" t="s">
        <v>188</v>
      </c>
      <c r="N299" s="1" t="s">
        <v>6037</v>
      </c>
      <c r="O299" s="1" t="s">
        <v>13</v>
      </c>
      <c r="P299" s="1" t="s">
        <v>126</v>
      </c>
      <c r="Q299" s="1" t="s">
        <v>5697</v>
      </c>
      <c r="R299" s="1" t="s">
        <v>4218</v>
      </c>
      <c r="S299" s="1" t="s">
        <v>6063</v>
      </c>
      <c r="T299" s="1" t="s">
        <v>6076</v>
      </c>
      <c r="U299" s="1" t="s">
        <v>6100</v>
      </c>
      <c r="V299" s="1" t="s">
        <v>6195</v>
      </c>
      <c r="W299" s="27">
        <v>69.444444444444443</v>
      </c>
      <c r="X299" s="27">
        <v>61.111111111111114</v>
      </c>
      <c r="Y299" s="33">
        <f>AVERAGE(Table13[[#This Row],[Score 1]],Table13[[#This Row],[Score 2]])</f>
        <v>65.277777777777771</v>
      </c>
      <c r="Z299" s="1">
        <v>3</v>
      </c>
      <c r="AA299" s="1">
        <v>3</v>
      </c>
      <c r="AB299" s="22">
        <f>Table13[[#This Row],[Rank 1]]+Table13[[#This Row],[Rank 2]]</f>
        <v>6</v>
      </c>
      <c r="AC299" s="1" t="str">
        <f>IF(AND(Table13[[#This Row],[Average score]]&gt;75,Table13[[#This Row],[Total rank]]&gt;6.5),"Yes","No")</f>
        <v>No</v>
      </c>
      <c r="AD299" s="1" t="str">
        <f>IF(AND(Table13[[#This Row],[Average score]]&gt;80,Table13[[#This Row],[Total rank]]&gt;7.5),"Yes","No")</f>
        <v>No</v>
      </c>
      <c r="AF299" s="8">
        <v>46027</v>
      </c>
      <c r="AG299" s="1">
        <v>2</v>
      </c>
      <c r="AH299" s="27">
        <v>337320</v>
      </c>
      <c r="AI299" s="27">
        <v>272320</v>
      </c>
      <c r="AJ299" s="30">
        <v>0</v>
      </c>
      <c r="AK299" s="30">
        <f>Table13[[#This Row],[Year 1]]</f>
        <v>337320</v>
      </c>
      <c r="AL299" s="30">
        <f>Table13[[#This Row],[Year 2]]</f>
        <v>272320</v>
      </c>
      <c r="AM299" s="30">
        <f>Table13[[#This Row],[Year 3]]</f>
        <v>0</v>
      </c>
      <c r="AN299" s="1">
        <v>3</v>
      </c>
    </row>
    <row r="300" spans="1:40" hidden="1" x14ac:dyDescent="0.25">
      <c r="A300" s="1" t="s">
        <v>48</v>
      </c>
      <c r="B300" s="1" t="s">
        <v>2208</v>
      </c>
      <c r="C300" s="1" t="s">
        <v>50</v>
      </c>
      <c r="D300" s="1" t="s">
        <v>2866</v>
      </c>
      <c r="E300" s="1" t="s">
        <v>2867</v>
      </c>
      <c r="F300" s="22" t="s">
        <v>3</v>
      </c>
      <c r="G300" s="1" t="s">
        <v>6085</v>
      </c>
      <c r="H300" s="1" t="s">
        <v>6</v>
      </c>
      <c r="I300" s="1" t="s">
        <v>20</v>
      </c>
      <c r="J300" s="1" t="s">
        <v>26</v>
      </c>
      <c r="K300" s="1" t="s">
        <v>9</v>
      </c>
      <c r="L300" s="1" t="s">
        <v>53</v>
      </c>
      <c r="M300" s="11" t="s">
        <v>188</v>
      </c>
      <c r="N300" s="1" t="s">
        <v>6037</v>
      </c>
      <c r="O300" s="1" t="s">
        <v>13</v>
      </c>
      <c r="P300" s="1" t="s">
        <v>60</v>
      </c>
      <c r="Q300" s="1" t="s">
        <v>5698</v>
      </c>
      <c r="R300" s="1" t="s">
        <v>4221</v>
      </c>
      <c r="S300" s="1" t="s">
        <v>6078</v>
      </c>
      <c r="T300" s="1" t="s">
        <v>6077</v>
      </c>
      <c r="U300" s="1" t="s">
        <v>6090</v>
      </c>
      <c r="V300" s="1" t="s">
        <v>6174</v>
      </c>
      <c r="W300" s="27">
        <v>71.428571428571431</v>
      </c>
      <c r="X300" s="27">
        <v>67.857142857142861</v>
      </c>
      <c r="Y300" s="33">
        <f>AVERAGE(Table13[[#This Row],[Score 1]],Table13[[#This Row],[Score 2]])</f>
        <v>69.642857142857139</v>
      </c>
      <c r="Z300" s="1">
        <v>3</v>
      </c>
      <c r="AA300" s="1">
        <v>3</v>
      </c>
      <c r="AB300" s="22">
        <f>Table13[[#This Row],[Rank 1]]+Table13[[#This Row],[Rank 2]]</f>
        <v>6</v>
      </c>
      <c r="AC300" s="1" t="str">
        <f>IF(AND(Table13[[#This Row],[Average score]]&gt;75,Table13[[#This Row],[Total rank]]&gt;6.5),"Yes","No")</f>
        <v>No</v>
      </c>
      <c r="AD300" s="1" t="str">
        <f>IF(AND(Table13[[#This Row],[Average score]]&gt;80,Table13[[#This Row],[Total rank]]&gt;7.5),"Yes","No")</f>
        <v>No</v>
      </c>
      <c r="AF300" s="8">
        <v>46027</v>
      </c>
      <c r="AG300" s="1">
        <v>1</v>
      </c>
      <c r="AH300" s="27">
        <v>220000</v>
      </c>
      <c r="AI300" s="30">
        <v>0</v>
      </c>
      <c r="AJ300" s="30">
        <v>0</v>
      </c>
      <c r="AK300" s="30">
        <f>Table13[[#This Row],[Year 1]]</f>
        <v>220000</v>
      </c>
      <c r="AL300" s="30">
        <f>Table13[[#This Row],[Year 2]]</f>
        <v>0</v>
      </c>
      <c r="AM300" s="30">
        <f>Table13[[#This Row],[Year 3]]</f>
        <v>0</v>
      </c>
      <c r="AN300" s="1">
        <v>3</v>
      </c>
    </row>
    <row r="301" spans="1:40" x14ac:dyDescent="0.25">
      <c r="A301" s="1" t="s">
        <v>48</v>
      </c>
      <c r="B301" s="1" t="s">
        <v>2209</v>
      </c>
      <c r="C301" s="1" t="s">
        <v>50</v>
      </c>
      <c r="D301" s="1" t="s">
        <v>2868</v>
      </c>
      <c r="E301" s="1" t="s">
        <v>2869</v>
      </c>
      <c r="F301" s="22" t="s">
        <v>3</v>
      </c>
      <c r="G301" s="1" t="s">
        <v>6085</v>
      </c>
      <c r="H301" s="1" t="s">
        <v>6</v>
      </c>
      <c r="I301" s="1" t="s">
        <v>24</v>
      </c>
      <c r="J301" s="1" t="s">
        <v>25</v>
      </c>
      <c r="K301" s="1" t="s">
        <v>9</v>
      </c>
      <c r="L301" s="1" t="s">
        <v>53</v>
      </c>
      <c r="M301" s="11" t="s">
        <v>188</v>
      </c>
      <c r="N301" s="1" t="s">
        <v>6037</v>
      </c>
      <c r="O301" s="1" t="s">
        <v>10</v>
      </c>
      <c r="P301" s="1" t="s">
        <v>60</v>
      </c>
      <c r="Q301" s="18" t="s">
        <v>5699</v>
      </c>
      <c r="R301" s="1" t="s">
        <v>4222</v>
      </c>
      <c r="S301" s="1" t="s">
        <v>6049</v>
      </c>
      <c r="T301" s="1" t="s">
        <v>6050</v>
      </c>
      <c r="U301" s="1" t="s">
        <v>6104</v>
      </c>
      <c r="V301" s="1" t="s">
        <v>6200</v>
      </c>
      <c r="W301" s="27">
        <v>85.714285714285708</v>
      </c>
      <c r="X301" s="27">
        <v>92.857142857142861</v>
      </c>
      <c r="Y301" s="33">
        <f>AVERAGE(Table13[[#This Row],[Score 1]],Table13[[#This Row],[Score 2]])</f>
        <v>89.285714285714278</v>
      </c>
      <c r="Z301" s="1">
        <v>5</v>
      </c>
      <c r="AA301" s="1">
        <v>5</v>
      </c>
      <c r="AB301" s="22">
        <f>Table13[[#This Row],[Rank 1]]+Table13[[#This Row],[Rank 2]]</f>
        <v>10</v>
      </c>
      <c r="AC301" s="1" t="str">
        <f>IF(AND(Table13[[#This Row],[Average score]]&gt;75,Table13[[#This Row],[Total rank]]&gt;6.5),"Yes","No")</f>
        <v>Yes</v>
      </c>
      <c r="AD301" s="1" t="str">
        <f>IF(AND(Table13[[#This Row],[Average score]]&gt;80,Table13[[#This Row],[Total rank]]&gt;7.5),"Yes","No")</f>
        <v>Yes</v>
      </c>
      <c r="AE301" s="1" t="s">
        <v>6221</v>
      </c>
      <c r="AF301" s="8">
        <v>46054</v>
      </c>
      <c r="AG301" s="1">
        <v>2</v>
      </c>
      <c r="AH301" s="27">
        <v>165000</v>
      </c>
      <c r="AI301" s="27">
        <v>165000</v>
      </c>
      <c r="AJ301" s="30">
        <v>0</v>
      </c>
      <c r="AK301" s="30">
        <f>Table13[[#This Row],[Year 1]]</f>
        <v>165000</v>
      </c>
      <c r="AL301" s="30">
        <f>Table13[[#This Row],[Year 2]]</f>
        <v>165000</v>
      </c>
      <c r="AM301" s="30">
        <f>Table13[[#This Row],[Year 3]]</f>
        <v>0</v>
      </c>
      <c r="AN301" s="1">
        <v>3</v>
      </c>
    </row>
    <row r="302" spans="1:40" hidden="1" x14ac:dyDescent="0.25">
      <c r="A302" s="1" t="s">
        <v>48</v>
      </c>
      <c r="B302" s="1" t="s">
        <v>2210</v>
      </c>
      <c r="C302" s="1" t="s">
        <v>50</v>
      </c>
      <c r="D302" s="1" t="s">
        <v>2870</v>
      </c>
      <c r="E302" s="1" t="s">
        <v>2871</v>
      </c>
      <c r="F302" s="22" t="s">
        <v>3</v>
      </c>
      <c r="G302" s="1" t="s">
        <v>6085</v>
      </c>
      <c r="H302" s="1" t="s">
        <v>6</v>
      </c>
      <c r="I302" s="1" t="s">
        <v>24</v>
      </c>
      <c r="J302" s="1" t="s">
        <v>26</v>
      </c>
      <c r="K302" s="1" t="s">
        <v>9</v>
      </c>
      <c r="L302" s="1" t="s">
        <v>53</v>
      </c>
      <c r="M302" s="11" t="s">
        <v>188</v>
      </c>
      <c r="N302" s="1" t="s">
        <v>6037</v>
      </c>
      <c r="O302" s="1" t="s">
        <v>10</v>
      </c>
      <c r="P302" s="1" t="s">
        <v>60</v>
      </c>
      <c r="Q302" s="18" t="s">
        <v>5516</v>
      </c>
      <c r="R302" s="1" t="s">
        <v>4223</v>
      </c>
      <c r="S302" s="1" t="s">
        <v>6049</v>
      </c>
      <c r="T302" s="1" t="s">
        <v>6050</v>
      </c>
      <c r="U302" s="1" t="s">
        <v>6104</v>
      </c>
      <c r="V302" s="1" t="s">
        <v>6200</v>
      </c>
      <c r="W302" s="27">
        <v>82.142857142857139</v>
      </c>
      <c r="X302" s="27">
        <v>89.285714285714292</v>
      </c>
      <c r="Y302" s="33">
        <f>AVERAGE(Table13[[#This Row],[Score 1]],Table13[[#This Row],[Score 2]])</f>
        <v>85.714285714285722</v>
      </c>
      <c r="Z302" s="1">
        <v>4</v>
      </c>
      <c r="AA302" s="1">
        <v>4</v>
      </c>
      <c r="AB302" s="22">
        <f>Table13[[#This Row],[Rank 1]]+Table13[[#This Row],[Rank 2]]</f>
        <v>8</v>
      </c>
      <c r="AC302" s="1" t="str">
        <f>IF(AND(Table13[[#This Row],[Average score]]&gt;75,Table13[[#This Row],[Total rank]]&gt;6.5),"Yes","No")</f>
        <v>Yes</v>
      </c>
      <c r="AD302" s="1" t="str">
        <f>IF(AND(Table13[[#This Row],[Average score]]&gt;80,Table13[[#This Row],[Total rank]]&gt;7.5),"Yes","No")</f>
        <v>Yes</v>
      </c>
      <c r="AF302" s="8">
        <v>46023</v>
      </c>
      <c r="AG302" s="1">
        <v>2</v>
      </c>
      <c r="AH302" s="27">
        <v>142915</v>
      </c>
      <c r="AI302" s="27">
        <v>142915</v>
      </c>
      <c r="AJ302" s="30">
        <v>0</v>
      </c>
      <c r="AK302" s="30">
        <f>Table13[[#This Row],[Year 1]]</f>
        <v>142915</v>
      </c>
      <c r="AL302" s="30">
        <f>Table13[[#This Row],[Year 2]]</f>
        <v>142915</v>
      </c>
      <c r="AM302" s="30">
        <f>Table13[[#This Row],[Year 3]]</f>
        <v>0</v>
      </c>
      <c r="AN302" s="1">
        <v>3</v>
      </c>
    </row>
    <row r="303" spans="1:40" hidden="1" x14ac:dyDescent="0.25">
      <c r="A303" s="1" t="s">
        <v>48</v>
      </c>
      <c r="B303" s="1" t="s">
        <v>2211</v>
      </c>
      <c r="C303" s="1" t="s">
        <v>50</v>
      </c>
      <c r="D303" s="1" t="s">
        <v>2872</v>
      </c>
      <c r="E303" s="1" t="s">
        <v>2873</v>
      </c>
      <c r="F303" s="22" t="s">
        <v>3</v>
      </c>
      <c r="G303" s="1" t="s">
        <v>6085</v>
      </c>
      <c r="H303" s="1" t="s">
        <v>6</v>
      </c>
      <c r="I303" s="1" t="s">
        <v>24</v>
      </c>
      <c r="J303" s="1" t="s">
        <v>26</v>
      </c>
      <c r="K303" s="1" t="s">
        <v>9</v>
      </c>
      <c r="L303" s="1" t="s">
        <v>53</v>
      </c>
      <c r="M303" s="11" t="s">
        <v>188</v>
      </c>
      <c r="N303" s="1" t="s">
        <v>6037</v>
      </c>
      <c r="O303" s="1" t="s">
        <v>16</v>
      </c>
      <c r="P303" s="1" t="s">
        <v>1456</v>
      </c>
      <c r="Q303" s="1" t="s">
        <v>5700</v>
      </c>
      <c r="R303" s="1" t="s">
        <v>4225</v>
      </c>
      <c r="S303" s="1" t="s">
        <v>6107</v>
      </c>
      <c r="T303" s="1" t="s">
        <v>6108</v>
      </c>
      <c r="U303" s="1" t="s">
        <v>6131</v>
      </c>
      <c r="V303" s="1" t="s">
        <v>6192</v>
      </c>
      <c r="W303" s="27">
        <v>100</v>
      </c>
      <c r="X303" s="27">
        <v>75</v>
      </c>
      <c r="Y303" s="33">
        <f>AVERAGE(Table13[[#This Row],[Score 1]],Table13[[#This Row],[Score 2]])</f>
        <v>87.5</v>
      </c>
      <c r="Z303" s="1">
        <v>5</v>
      </c>
      <c r="AA303" s="1">
        <v>3</v>
      </c>
      <c r="AB303" s="22">
        <f>Table13[[#This Row],[Rank 1]]+Table13[[#This Row],[Rank 2]]</f>
        <v>8</v>
      </c>
      <c r="AC303" s="1" t="str">
        <f>IF(AND(Table13[[#This Row],[Average score]]&gt;75,Table13[[#This Row],[Total rank]]&gt;6.5),"Yes","No")</f>
        <v>Yes</v>
      </c>
      <c r="AD303" s="1" t="str">
        <f>IF(AND(Table13[[#This Row],[Average score]]&gt;80,Table13[[#This Row],[Total rank]]&gt;7.5),"Yes","No")</f>
        <v>Yes</v>
      </c>
      <c r="AF303" s="8">
        <v>45670</v>
      </c>
      <c r="AG303" s="1">
        <v>1</v>
      </c>
      <c r="AH303" s="27">
        <v>153855</v>
      </c>
      <c r="AI303" s="30">
        <v>0</v>
      </c>
      <c r="AJ303" s="30">
        <v>0</v>
      </c>
      <c r="AK303" s="30">
        <f>Table13[[#This Row],[Year 1]]</f>
        <v>153855</v>
      </c>
      <c r="AL303" s="30">
        <f>Table13[[#This Row],[Year 2]]</f>
        <v>0</v>
      </c>
      <c r="AM303" s="30">
        <f>Table13[[#This Row],[Year 3]]</f>
        <v>0</v>
      </c>
      <c r="AN303" s="1">
        <v>2</v>
      </c>
    </row>
    <row r="304" spans="1:40" hidden="1" x14ac:dyDescent="0.25">
      <c r="A304" s="1" t="s">
        <v>48</v>
      </c>
      <c r="B304" s="1" t="s">
        <v>2213</v>
      </c>
      <c r="C304" s="1" t="s">
        <v>50</v>
      </c>
      <c r="D304" s="1" t="s">
        <v>2876</v>
      </c>
      <c r="E304" s="1" t="s">
        <v>2877</v>
      </c>
      <c r="F304" s="22" t="s">
        <v>3</v>
      </c>
      <c r="G304" s="1" t="s">
        <v>6085</v>
      </c>
      <c r="H304" s="1" t="s">
        <v>5</v>
      </c>
      <c r="I304" s="1" t="s">
        <v>24</v>
      </c>
      <c r="J304" s="1" t="s">
        <v>25</v>
      </c>
      <c r="K304" s="1" t="s">
        <v>9</v>
      </c>
      <c r="L304" s="1" t="s">
        <v>53</v>
      </c>
      <c r="M304" s="11" t="s">
        <v>188</v>
      </c>
      <c r="N304" s="1" t="s">
        <v>6037</v>
      </c>
      <c r="O304" s="1" t="s">
        <v>16</v>
      </c>
      <c r="P304" s="1" t="s">
        <v>126</v>
      </c>
      <c r="Q304" s="1" t="s">
        <v>5702</v>
      </c>
      <c r="R304" s="1" t="s">
        <v>4230</v>
      </c>
      <c r="S304" s="1" t="s">
        <v>6115</v>
      </c>
      <c r="T304" s="1" t="s">
        <v>6116</v>
      </c>
      <c r="U304" s="1" t="s">
        <v>6130</v>
      </c>
      <c r="V304" s="1" t="s">
        <v>6191</v>
      </c>
      <c r="W304" s="27">
        <v>85.714285714285708</v>
      </c>
      <c r="X304" s="27">
        <v>71.428571428571431</v>
      </c>
      <c r="Y304" s="33">
        <f>AVERAGE(Table13[[#This Row],[Score 1]],Table13[[#This Row],[Score 2]])</f>
        <v>78.571428571428569</v>
      </c>
      <c r="Z304" s="1">
        <v>4</v>
      </c>
      <c r="AA304" s="1">
        <v>4</v>
      </c>
      <c r="AB304" s="22">
        <f>Table13[[#This Row],[Rank 1]]+Table13[[#This Row],[Rank 2]]</f>
        <v>8</v>
      </c>
      <c r="AC304" s="1" t="str">
        <f>IF(AND(Table13[[#This Row],[Average score]]&gt;75,Table13[[#This Row],[Total rank]]&gt;6.5),"Yes","No")</f>
        <v>Yes</v>
      </c>
      <c r="AD304" s="1" t="str">
        <f>IF(AND(Table13[[#This Row],[Average score]]&gt;80,Table13[[#This Row],[Total rank]]&gt;7.5),"Yes","No")</f>
        <v>No</v>
      </c>
      <c r="AF304" s="8">
        <v>46037</v>
      </c>
      <c r="AG304" s="1">
        <v>3</v>
      </c>
      <c r="AH304" s="27">
        <v>84170</v>
      </c>
      <c r="AI304" s="27">
        <v>84670</v>
      </c>
      <c r="AJ304" s="27">
        <v>185170</v>
      </c>
      <c r="AK304" s="27">
        <f>Table13[[#This Row],[Year 1]]</f>
        <v>84170</v>
      </c>
      <c r="AL304" s="27">
        <f>Table13[[#This Row],[Year 2]]</f>
        <v>84670</v>
      </c>
      <c r="AM304" s="27">
        <f>Table13[[#This Row],[Year 3]]</f>
        <v>185170</v>
      </c>
      <c r="AN304" s="1">
        <v>3</v>
      </c>
    </row>
    <row r="305" spans="1:40" hidden="1" x14ac:dyDescent="0.25">
      <c r="A305" s="1" t="s">
        <v>48</v>
      </c>
      <c r="B305" s="1" t="s">
        <v>2214</v>
      </c>
      <c r="C305" s="1" t="s">
        <v>50</v>
      </c>
      <c r="D305" s="1" t="s">
        <v>2878</v>
      </c>
      <c r="E305" s="1" t="s">
        <v>2879</v>
      </c>
      <c r="F305" s="22" t="s">
        <v>3</v>
      </c>
      <c r="G305" s="1" t="s">
        <v>6085</v>
      </c>
      <c r="H305" s="1" t="s">
        <v>5</v>
      </c>
      <c r="I305" s="1" t="s">
        <v>20</v>
      </c>
      <c r="J305" s="1" t="s">
        <v>25</v>
      </c>
      <c r="K305" s="1" t="s">
        <v>9</v>
      </c>
      <c r="L305" s="1" t="s">
        <v>53</v>
      </c>
      <c r="M305" s="11" t="s">
        <v>188</v>
      </c>
      <c r="N305" s="1" t="s">
        <v>6037</v>
      </c>
      <c r="O305" s="1" t="s">
        <v>15</v>
      </c>
      <c r="P305" s="1" t="s">
        <v>1456</v>
      </c>
      <c r="Q305" s="1" t="s">
        <v>5703</v>
      </c>
      <c r="R305" s="1" t="s">
        <v>4234</v>
      </c>
      <c r="S305" s="1" t="s">
        <v>6057</v>
      </c>
      <c r="T305" s="1" t="s">
        <v>6058</v>
      </c>
      <c r="U305" s="1" t="s">
        <v>6095</v>
      </c>
      <c r="V305" s="1" t="s">
        <v>6186</v>
      </c>
      <c r="W305" s="27">
        <v>67.857142857142861</v>
      </c>
      <c r="X305" s="27">
        <v>75</v>
      </c>
      <c r="Y305" s="33">
        <f>AVERAGE(Table13[[#This Row],[Score 1]],Table13[[#This Row],[Score 2]])</f>
        <v>71.428571428571431</v>
      </c>
      <c r="Z305" s="1">
        <v>3</v>
      </c>
      <c r="AA305" s="1">
        <v>2</v>
      </c>
      <c r="AB305" s="22">
        <f>Table13[[#This Row],[Rank 1]]+Table13[[#This Row],[Rank 2]]</f>
        <v>5</v>
      </c>
      <c r="AC305" s="1" t="str">
        <f>IF(AND(Table13[[#This Row],[Average score]]&gt;75,Table13[[#This Row],[Total rank]]&gt;6.5),"Yes","No")</f>
        <v>No</v>
      </c>
      <c r="AD305" s="1" t="str">
        <f>IF(AND(Table13[[#This Row],[Average score]]&gt;80,Table13[[#This Row],[Total rank]]&gt;7.5),"Yes","No")</f>
        <v>No</v>
      </c>
      <c r="AF305" s="8">
        <v>45778</v>
      </c>
      <c r="AG305" s="1">
        <v>3</v>
      </c>
      <c r="AH305" s="27">
        <v>93000</v>
      </c>
      <c r="AI305" s="31">
        <v>0</v>
      </c>
      <c r="AJ305" s="31">
        <v>0</v>
      </c>
      <c r="AK305" s="31">
        <f>Table13[[#This Row],[Year 1]]</f>
        <v>93000</v>
      </c>
      <c r="AL305" s="31">
        <f>Table13[[#This Row],[Year 2]]</f>
        <v>0</v>
      </c>
      <c r="AM305" s="31">
        <f>Table13[[#This Row],[Year 3]]</f>
        <v>0</v>
      </c>
      <c r="AN305" s="1">
        <v>3</v>
      </c>
    </row>
    <row r="306" spans="1:40" hidden="1" x14ac:dyDescent="0.25">
      <c r="A306" s="1" t="s">
        <v>48</v>
      </c>
      <c r="B306" s="1" t="s">
        <v>2215</v>
      </c>
      <c r="C306" s="1" t="s">
        <v>50</v>
      </c>
      <c r="D306" s="1" t="s">
        <v>2880</v>
      </c>
      <c r="E306" s="1" t="s">
        <v>2881</v>
      </c>
      <c r="F306" s="22" t="s">
        <v>3</v>
      </c>
      <c r="G306" s="1" t="s">
        <v>6085</v>
      </c>
      <c r="H306" s="1" t="s">
        <v>6</v>
      </c>
      <c r="I306" s="1" t="s">
        <v>20</v>
      </c>
      <c r="J306" s="1" t="s">
        <v>26</v>
      </c>
      <c r="K306" s="1" t="s">
        <v>9</v>
      </c>
      <c r="L306" s="1" t="s">
        <v>53</v>
      </c>
      <c r="M306" s="11" t="s">
        <v>188</v>
      </c>
      <c r="N306" s="1" t="s">
        <v>6037</v>
      </c>
      <c r="O306" s="1" t="s">
        <v>16</v>
      </c>
      <c r="P306" s="1" t="s">
        <v>247</v>
      </c>
      <c r="Q306" s="1" t="s">
        <v>5704</v>
      </c>
      <c r="R306" s="1" t="s">
        <v>4236</v>
      </c>
      <c r="S306" s="1" t="s">
        <v>6107</v>
      </c>
      <c r="T306" s="1" t="s">
        <v>6108</v>
      </c>
      <c r="U306" s="1" t="s">
        <v>6131</v>
      </c>
      <c r="V306" s="1" t="s">
        <v>6192</v>
      </c>
      <c r="W306" s="27">
        <v>75</v>
      </c>
      <c r="X306" s="27">
        <v>67.857142857142861</v>
      </c>
      <c r="Y306" s="33">
        <f>AVERAGE(Table13[[#This Row],[Score 1]],Table13[[#This Row],[Score 2]])</f>
        <v>71.428571428571431</v>
      </c>
      <c r="Z306" s="1">
        <v>4</v>
      </c>
      <c r="AA306" s="1">
        <v>2</v>
      </c>
      <c r="AB306" s="22">
        <f>Table13[[#This Row],[Rank 1]]+Table13[[#This Row],[Rank 2]]</f>
        <v>6</v>
      </c>
      <c r="AC306" s="1" t="str">
        <f>IF(AND(Table13[[#This Row],[Average score]]&gt;75,Table13[[#This Row],[Total rank]]&gt;6.5),"Yes","No")</f>
        <v>No</v>
      </c>
      <c r="AD306" s="1" t="str">
        <f>IF(AND(Table13[[#This Row],[Average score]]&gt;80,Table13[[#This Row],[Total rank]]&gt;7.5),"Yes","No")</f>
        <v>No</v>
      </c>
      <c r="AF306" s="8">
        <v>46054</v>
      </c>
      <c r="AG306" s="1">
        <v>2</v>
      </c>
      <c r="AH306" s="27">
        <v>125000</v>
      </c>
      <c r="AI306" s="27">
        <v>107000</v>
      </c>
      <c r="AJ306" s="30">
        <v>0</v>
      </c>
      <c r="AK306" s="30">
        <f>Table13[[#This Row],[Year 1]]</f>
        <v>125000</v>
      </c>
      <c r="AL306" s="30">
        <f>Table13[[#This Row],[Year 2]]</f>
        <v>107000</v>
      </c>
      <c r="AM306" s="30">
        <f>Table13[[#This Row],[Year 3]]</f>
        <v>0</v>
      </c>
      <c r="AN306" s="1">
        <v>3</v>
      </c>
    </row>
    <row r="307" spans="1:40" hidden="1" x14ac:dyDescent="0.25">
      <c r="A307" s="1" t="s">
        <v>48</v>
      </c>
      <c r="B307" s="2" t="s">
        <v>889</v>
      </c>
      <c r="C307" s="1" t="s">
        <v>50</v>
      </c>
      <c r="D307" s="1" t="s">
        <v>890</v>
      </c>
      <c r="E307" s="1" t="s">
        <v>891</v>
      </c>
      <c r="F307" s="22" t="s">
        <v>3</v>
      </c>
      <c r="G307" s="1" t="s">
        <v>6085</v>
      </c>
      <c r="H307" s="1" t="s">
        <v>7</v>
      </c>
      <c r="I307" s="1" t="s">
        <v>24</v>
      </c>
      <c r="J307" s="1" t="s">
        <v>26</v>
      </c>
      <c r="K307" s="1" t="s">
        <v>9</v>
      </c>
      <c r="L307" s="1" t="s">
        <v>53</v>
      </c>
      <c r="M307" s="11" t="s">
        <v>188</v>
      </c>
      <c r="N307" s="1" t="s">
        <v>6037</v>
      </c>
      <c r="O307" s="1" t="s">
        <v>14</v>
      </c>
      <c r="P307" s="1" t="s">
        <v>247</v>
      </c>
      <c r="Q307" s="1" t="s">
        <v>5410</v>
      </c>
      <c r="R307" s="1" t="s">
        <v>892</v>
      </c>
      <c r="S307" s="1" t="s">
        <v>6135</v>
      </c>
      <c r="T307" s="1" t="s">
        <v>6136</v>
      </c>
      <c r="U307" s="1" t="s">
        <v>6201</v>
      </c>
      <c r="V307" s="1" t="s">
        <v>6163</v>
      </c>
      <c r="W307" s="27">
        <v>77.777777777777786</v>
      </c>
      <c r="X307" s="27">
        <v>94.444444444444443</v>
      </c>
      <c r="Y307" s="33">
        <f>AVERAGE(Table13[[#This Row],[Score 1]],Table13[[#This Row],[Score 2]])</f>
        <v>86.111111111111114</v>
      </c>
      <c r="Z307" s="1">
        <v>4</v>
      </c>
      <c r="AA307" s="1">
        <v>4</v>
      </c>
      <c r="AB307" s="22">
        <f>Table13[[#This Row],[Rank 1]]+Table13[[#This Row],[Rank 2]]</f>
        <v>8</v>
      </c>
      <c r="AC307" s="1" t="str">
        <f>IF(AND(Table13[[#This Row],[Average score]]&gt;75,Table13[[#This Row],[Total rank]]&gt;6.5),"Yes","No")</f>
        <v>Yes</v>
      </c>
      <c r="AD307" s="1" t="str">
        <f>IF(AND(Table13[[#This Row],[Average score]]&gt;80,Table13[[#This Row],[Total rank]]&gt;7.5),"Yes","No")</f>
        <v>Yes</v>
      </c>
      <c r="AE307" s="1" t="s">
        <v>6223</v>
      </c>
      <c r="AF307" s="8">
        <v>46054</v>
      </c>
      <c r="AG307" s="1">
        <v>1</v>
      </c>
      <c r="AH307" s="27">
        <v>300000</v>
      </c>
      <c r="AI307" s="30">
        <v>0</v>
      </c>
      <c r="AJ307" s="30">
        <v>0</v>
      </c>
      <c r="AK307" s="30">
        <f>Table13[[#This Row],[Year 1]]</f>
        <v>300000</v>
      </c>
      <c r="AL307" s="30">
        <f>Table13[[#This Row],[Year 2]]</f>
        <v>0</v>
      </c>
      <c r="AM307" s="30">
        <f>Table13[[#This Row],[Year 3]]</f>
        <v>0</v>
      </c>
      <c r="AN307" s="1">
        <v>3</v>
      </c>
    </row>
    <row r="308" spans="1:40" hidden="1" x14ac:dyDescent="0.25">
      <c r="A308" s="1" t="s">
        <v>48</v>
      </c>
      <c r="B308" s="1" t="s">
        <v>2217</v>
      </c>
      <c r="C308" s="1" t="s">
        <v>50</v>
      </c>
      <c r="D308" s="1" t="s">
        <v>2884</v>
      </c>
      <c r="E308" s="1" t="s">
        <v>2885</v>
      </c>
      <c r="F308" s="22" t="s">
        <v>3</v>
      </c>
      <c r="G308" s="1" t="s">
        <v>6085</v>
      </c>
      <c r="H308" s="1" t="s">
        <v>5</v>
      </c>
      <c r="I308" s="1" t="s">
        <v>20</v>
      </c>
      <c r="J308" s="1" t="s">
        <v>25</v>
      </c>
      <c r="K308" s="1" t="s">
        <v>9</v>
      </c>
      <c r="L308" s="1" t="s">
        <v>53</v>
      </c>
      <c r="M308" s="11" t="s">
        <v>188</v>
      </c>
      <c r="N308" s="1" t="s">
        <v>6037</v>
      </c>
      <c r="O308" s="1" t="s">
        <v>19</v>
      </c>
      <c r="P308" s="1" t="s">
        <v>458</v>
      </c>
      <c r="Q308" s="1" t="s">
        <v>5706</v>
      </c>
      <c r="R308" s="1" t="s">
        <v>4239</v>
      </c>
      <c r="S308" s="1" t="s">
        <v>6151</v>
      </c>
      <c r="T308" s="1" t="s">
        <v>6147</v>
      </c>
      <c r="U308" s="1" t="s">
        <v>6151</v>
      </c>
      <c r="V308" s="1" t="s">
        <v>6185</v>
      </c>
      <c r="W308" s="27">
        <v>67.857142857142861</v>
      </c>
      <c r="X308" s="27">
        <v>75</v>
      </c>
      <c r="Y308" s="33">
        <f>AVERAGE(Table13[[#This Row],[Score 1]],Table13[[#This Row],[Score 2]])</f>
        <v>71.428571428571431</v>
      </c>
      <c r="Z308" s="1">
        <v>3</v>
      </c>
      <c r="AA308" s="1">
        <v>3</v>
      </c>
      <c r="AB308" s="22">
        <f>Table13[[#This Row],[Rank 1]]+Table13[[#This Row],[Rank 2]]</f>
        <v>6</v>
      </c>
      <c r="AC308" s="1" t="str">
        <f>IF(AND(Table13[[#This Row],[Average score]]&gt;75,Table13[[#This Row],[Total rank]]&gt;6.5),"Yes","No")</f>
        <v>No</v>
      </c>
      <c r="AD308" s="1" t="str">
        <f>IF(AND(Table13[[#This Row],[Average score]]&gt;80,Table13[[#This Row],[Total rank]]&gt;7.5),"Yes","No")</f>
        <v>No</v>
      </c>
      <c r="AF308" s="8">
        <v>46055</v>
      </c>
      <c r="AG308" s="1">
        <v>3</v>
      </c>
      <c r="AH308" s="27">
        <v>160000</v>
      </c>
      <c r="AI308" s="27">
        <v>160000</v>
      </c>
      <c r="AJ308" s="27">
        <v>160000</v>
      </c>
      <c r="AK308" s="27">
        <f>Table13[[#This Row],[Year 1]]</f>
        <v>160000</v>
      </c>
      <c r="AL308" s="27">
        <f>Table13[[#This Row],[Year 2]]</f>
        <v>160000</v>
      </c>
      <c r="AM308" s="27">
        <f>Table13[[#This Row],[Year 3]]</f>
        <v>160000</v>
      </c>
      <c r="AN308" s="1">
        <v>3</v>
      </c>
    </row>
    <row r="309" spans="1:40" hidden="1" x14ac:dyDescent="0.25">
      <c r="A309" s="1" t="s">
        <v>48</v>
      </c>
      <c r="B309" s="1" t="s">
        <v>2218</v>
      </c>
      <c r="C309" s="1" t="s">
        <v>50</v>
      </c>
      <c r="D309" s="1" t="s">
        <v>2886</v>
      </c>
      <c r="E309" s="1" t="s">
        <v>2887</v>
      </c>
      <c r="F309" s="22" t="s">
        <v>3</v>
      </c>
      <c r="G309" s="1" t="s">
        <v>6085</v>
      </c>
      <c r="H309" s="1" t="s">
        <v>5</v>
      </c>
      <c r="I309" s="1" t="s">
        <v>20</v>
      </c>
      <c r="J309" s="1" t="s">
        <v>26</v>
      </c>
      <c r="K309" s="1" t="s">
        <v>9</v>
      </c>
      <c r="L309" s="1" t="s">
        <v>53</v>
      </c>
      <c r="M309" s="11" t="s">
        <v>188</v>
      </c>
      <c r="N309" s="1" t="s">
        <v>6037</v>
      </c>
      <c r="O309" s="1" t="s">
        <v>13</v>
      </c>
      <c r="P309" s="1" t="s">
        <v>343</v>
      </c>
      <c r="Q309" s="1" t="s">
        <v>5707</v>
      </c>
      <c r="R309" s="1" t="s">
        <v>4240</v>
      </c>
      <c r="S309" s="1" t="s">
        <v>6078</v>
      </c>
      <c r="T309" s="1" t="s">
        <v>6077</v>
      </c>
      <c r="U309" s="1" t="s">
        <v>6090</v>
      </c>
      <c r="V309" s="1" t="s">
        <v>6174</v>
      </c>
      <c r="W309" s="27">
        <v>75</v>
      </c>
      <c r="X309" s="27">
        <v>67.857142857142861</v>
      </c>
      <c r="Y309" s="33">
        <f>AVERAGE(Table13[[#This Row],[Score 1]],Table13[[#This Row],[Score 2]])</f>
        <v>71.428571428571431</v>
      </c>
      <c r="Z309" s="1">
        <v>3</v>
      </c>
      <c r="AA309" s="1">
        <v>2</v>
      </c>
      <c r="AB309" s="22">
        <f>Table13[[#This Row],[Rank 1]]+Table13[[#This Row],[Rank 2]]</f>
        <v>5</v>
      </c>
      <c r="AC309" s="1" t="str">
        <f>IF(AND(Table13[[#This Row],[Average score]]&gt;75,Table13[[#This Row],[Total rank]]&gt;6.5),"Yes","No")</f>
        <v>No</v>
      </c>
      <c r="AD309" s="1" t="str">
        <f>IF(AND(Table13[[#This Row],[Average score]]&gt;80,Table13[[#This Row],[Total rank]]&gt;7.5),"Yes","No")</f>
        <v>No</v>
      </c>
      <c r="AF309" s="8">
        <v>46055</v>
      </c>
      <c r="AG309" s="1">
        <v>3</v>
      </c>
      <c r="AH309" s="27">
        <v>312300</v>
      </c>
      <c r="AI309" s="27">
        <v>322300</v>
      </c>
      <c r="AJ309" s="27">
        <v>333300</v>
      </c>
      <c r="AK309" s="27">
        <f>Table13[[#This Row],[Year 1]]</f>
        <v>312300</v>
      </c>
      <c r="AL309" s="27">
        <f>Table13[[#This Row],[Year 2]]</f>
        <v>322300</v>
      </c>
      <c r="AM309" s="27">
        <f>Table13[[#This Row],[Year 3]]</f>
        <v>333300</v>
      </c>
      <c r="AN309" s="1">
        <v>3</v>
      </c>
    </row>
    <row r="310" spans="1:40" hidden="1" x14ac:dyDescent="0.25">
      <c r="A310" s="1" t="s">
        <v>48</v>
      </c>
      <c r="B310" s="1" t="s">
        <v>2219</v>
      </c>
      <c r="C310" s="1" t="s">
        <v>50</v>
      </c>
      <c r="D310" s="1" t="s">
        <v>2888</v>
      </c>
      <c r="E310" s="1" t="s">
        <v>2889</v>
      </c>
      <c r="F310" s="22" t="s">
        <v>3</v>
      </c>
      <c r="G310" s="1" t="s">
        <v>6085</v>
      </c>
      <c r="H310" s="1" t="s">
        <v>5</v>
      </c>
      <c r="I310" s="1" t="s">
        <v>21</v>
      </c>
      <c r="J310" s="1" t="s">
        <v>25</v>
      </c>
      <c r="K310" s="1" t="s">
        <v>9</v>
      </c>
      <c r="L310" s="1" t="s">
        <v>53</v>
      </c>
      <c r="M310" s="11" t="s">
        <v>188</v>
      </c>
      <c r="N310" s="1" t="s">
        <v>6037</v>
      </c>
      <c r="O310" s="1" t="s">
        <v>16</v>
      </c>
      <c r="P310" s="1" t="s">
        <v>306</v>
      </c>
      <c r="Q310" s="1" t="s">
        <v>5708</v>
      </c>
      <c r="R310" s="1" t="s">
        <v>4244</v>
      </c>
      <c r="S310" s="1" t="s">
        <v>6107</v>
      </c>
      <c r="T310" s="1" t="s">
        <v>6108</v>
      </c>
      <c r="U310" s="1" t="s">
        <v>6131</v>
      </c>
      <c r="V310" s="1" t="s">
        <v>6192</v>
      </c>
      <c r="W310" s="27">
        <v>100</v>
      </c>
      <c r="X310" s="27">
        <v>75</v>
      </c>
      <c r="Y310" s="33">
        <f>AVERAGE(Table13[[#This Row],[Score 1]],Table13[[#This Row],[Score 2]])</f>
        <v>87.5</v>
      </c>
      <c r="Z310" s="1">
        <v>5</v>
      </c>
      <c r="AA310" s="1">
        <v>4</v>
      </c>
      <c r="AB310" s="22">
        <f>Table13[[#This Row],[Rank 1]]+Table13[[#This Row],[Rank 2]]</f>
        <v>9</v>
      </c>
      <c r="AC310" s="1" t="str">
        <f>IF(AND(Table13[[#This Row],[Average score]]&gt;75,Table13[[#This Row],[Total rank]]&gt;6.5),"Yes","No")</f>
        <v>Yes</v>
      </c>
      <c r="AD310" s="1" t="str">
        <f>IF(AND(Table13[[#This Row],[Average score]]&gt;80,Table13[[#This Row],[Total rank]]&gt;7.5),"Yes","No")</f>
        <v>Yes</v>
      </c>
      <c r="AF310" s="8">
        <v>46023</v>
      </c>
      <c r="AG310" s="1">
        <v>3</v>
      </c>
      <c r="AH310" s="27">
        <v>166106</v>
      </c>
      <c r="AI310" s="27">
        <v>186046</v>
      </c>
      <c r="AJ310" s="27">
        <v>158688</v>
      </c>
      <c r="AK310" s="27">
        <f>Table13[[#This Row],[Year 1]]</f>
        <v>166106</v>
      </c>
      <c r="AL310" s="27">
        <f>Table13[[#This Row],[Year 2]]</f>
        <v>186046</v>
      </c>
      <c r="AM310" s="27">
        <f>Table13[[#This Row],[Year 3]]</f>
        <v>158688</v>
      </c>
      <c r="AN310" s="1">
        <v>3</v>
      </c>
    </row>
    <row r="311" spans="1:40" x14ac:dyDescent="0.25">
      <c r="A311" s="1" t="s">
        <v>48</v>
      </c>
      <c r="B311" s="2" t="s">
        <v>2220</v>
      </c>
      <c r="C311" s="1" t="s">
        <v>50</v>
      </c>
      <c r="D311" s="1" t="s">
        <v>2890</v>
      </c>
      <c r="E311" s="1" t="s">
        <v>2891</v>
      </c>
      <c r="F311" s="22" t="s">
        <v>3</v>
      </c>
      <c r="G311" s="1" t="s">
        <v>6085</v>
      </c>
      <c r="H311" s="1" t="s">
        <v>5</v>
      </c>
      <c r="I311" s="1" t="s">
        <v>24</v>
      </c>
      <c r="J311" s="1" t="s">
        <v>26</v>
      </c>
      <c r="K311" s="1" t="s">
        <v>9</v>
      </c>
      <c r="L311" s="1" t="s">
        <v>53</v>
      </c>
      <c r="M311" s="11" t="s">
        <v>188</v>
      </c>
      <c r="N311" s="1" t="s">
        <v>6037</v>
      </c>
      <c r="O311" s="1" t="s">
        <v>10</v>
      </c>
      <c r="P311" s="1" t="s">
        <v>4248</v>
      </c>
      <c r="Q311" s="20" t="s">
        <v>5709</v>
      </c>
      <c r="R311" s="1" t="s">
        <v>4249</v>
      </c>
      <c r="S311" s="1" t="s">
        <v>6051</v>
      </c>
      <c r="T311" s="1" t="s">
        <v>6047</v>
      </c>
      <c r="U311" s="1" t="s">
        <v>6106</v>
      </c>
      <c r="V311" s="1" t="s">
        <v>6193</v>
      </c>
      <c r="W311" s="27">
        <v>100</v>
      </c>
      <c r="X311" s="27">
        <v>100</v>
      </c>
      <c r="Y311" s="33">
        <f>AVERAGE(Table13[[#This Row],[Score 1]],Table13[[#This Row],[Score 2]])</f>
        <v>100</v>
      </c>
      <c r="Z311" s="1">
        <v>5</v>
      </c>
      <c r="AA311" s="1">
        <v>5</v>
      </c>
      <c r="AB311" s="22">
        <f>Table13[[#This Row],[Rank 1]]+Table13[[#This Row],[Rank 2]]</f>
        <v>10</v>
      </c>
      <c r="AC311" s="1" t="str">
        <f>IF(AND(Table13[[#This Row],[Average score]]&gt;75,Table13[[#This Row],[Total rank]]&gt;6.5),"Yes","No")</f>
        <v>Yes</v>
      </c>
      <c r="AD311" s="1" t="str">
        <f>IF(AND(Table13[[#This Row],[Average score]]&gt;80,Table13[[#This Row],[Total rank]]&gt;7.5),"Yes","No")</f>
        <v>Yes</v>
      </c>
      <c r="AE311" s="1" t="s">
        <v>6221</v>
      </c>
      <c r="AF311" s="8">
        <v>45406</v>
      </c>
      <c r="AG311" s="1">
        <v>2</v>
      </c>
      <c r="AH311" s="27">
        <v>49453</v>
      </c>
      <c r="AI311" s="27">
        <v>49453</v>
      </c>
      <c r="AJ311" s="30">
        <v>0</v>
      </c>
      <c r="AK311" s="30">
        <v>50000</v>
      </c>
      <c r="AL311" s="30">
        <v>50000</v>
      </c>
      <c r="AM311" s="30">
        <f>Table13[[#This Row],[Year 3]]</f>
        <v>0</v>
      </c>
      <c r="AN311" s="1">
        <v>3</v>
      </c>
    </row>
    <row r="312" spans="1:40" x14ac:dyDescent="0.25">
      <c r="A312" s="1" t="s">
        <v>48</v>
      </c>
      <c r="B312" s="1" t="s">
        <v>2221</v>
      </c>
      <c r="C312" s="1" t="s">
        <v>50</v>
      </c>
      <c r="D312" s="1" t="s">
        <v>2892</v>
      </c>
      <c r="E312" s="1" t="s">
        <v>2893</v>
      </c>
      <c r="F312" s="22" t="s">
        <v>3</v>
      </c>
      <c r="G312" s="1" t="s">
        <v>6085</v>
      </c>
      <c r="H312" s="1" t="s">
        <v>6</v>
      </c>
      <c r="I312" s="1" t="s">
        <v>24</v>
      </c>
      <c r="J312" s="1" t="s">
        <v>25</v>
      </c>
      <c r="K312" s="1" t="s">
        <v>9</v>
      </c>
      <c r="L312" s="1" t="s">
        <v>53</v>
      </c>
      <c r="M312" s="11" t="s">
        <v>188</v>
      </c>
      <c r="N312" s="1" t="s">
        <v>6037</v>
      </c>
      <c r="O312" s="1" t="s">
        <v>13</v>
      </c>
      <c r="P312" s="1" t="s">
        <v>126</v>
      </c>
      <c r="Q312" s="1" t="s">
        <v>5710</v>
      </c>
      <c r="R312" s="1" t="s">
        <v>4251</v>
      </c>
      <c r="S312" s="1" t="s">
        <v>6078</v>
      </c>
      <c r="T312" s="1" t="s">
        <v>6077</v>
      </c>
      <c r="U312" s="1" t="s">
        <v>6090</v>
      </c>
      <c r="V312" s="1" t="s">
        <v>6174</v>
      </c>
      <c r="W312" s="27">
        <v>96.428571428571431</v>
      </c>
      <c r="X312" s="27">
        <v>100</v>
      </c>
      <c r="Y312" s="33">
        <f>AVERAGE(Table13[[#This Row],[Score 1]],Table13[[#This Row],[Score 2]])</f>
        <v>98.214285714285722</v>
      </c>
      <c r="Z312" s="1">
        <v>5</v>
      </c>
      <c r="AA312" s="1">
        <v>5</v>
      </c>
      <c r="AB312" s="22">
        <f>Table13[[#This Row],[Rank 1]]+Table13[[#This Row],[Rank 2]]</f>
        <v>10</v>
      </c>
      <c r="AC312" s="1" t="str">
        <f>IF(AND(Table13[[#This Row],[Average score]]&gt;75,Table13[[#This Row],[Total rank]]&gt;6.5),"Yes","No")</f>
        <v>Yes</v>
      </c>
      <c r="AD312" s="1" t="str">
        <f>IF(AND(Table13[[#This Row],[Average score]]&gt;80,Table13[[#This Row],[Total rank]]&gt;7.5),"Yes","No")</f>
        <v>Yes</v>
      </c>
      <c r="AE312" s="1" t="s">
        <v>6221</v>
      </c>
      <c r="AF312" s="8">
        <v>45672</v>
      </c>
      <c r="AG312" s="1">
        <v>1</v>
      </c>
      <c r="AH312" s="27">
        <v>283030</v>
      </c>
      <c r="AI312" s="30">
        <v>0</v>
      </c>
      <c r="AJ312" s="30">
        <v>0</v>
      </c>
      <c r="AK312" s="30">
        <v>250000</v>
      </c>
      <c r="AL312" s="30">
        <f>Table13[[#This Row],[Year 2]]</f>
        <v>0</v>
      </c>
      <c r="AM312" s="30">
        <f>Table13[[#This Row],[Year 3]]</f>
        <v>0</v>
      </c>
      <c r="AN312" s="1">
        <v>3</v>
      </c>
    </row>
    <row r="313" spans="1:40" hidden="1" x14ac:dyDescent="0.25">
      <c r="A313" s="1" t="s">
        <v>48</v>
      </c>
      <c r="B313" s="1" t="s">
        <v>2222</v>
      </c>
      <c r="C313" s="1" t="s">
        <v>50</v>
      </c>
      <c r="D313" s="1" t="s">
        <v>2894</v>
      </c>
      <c r="E313" s="1" t="s">
        <v>2895</v>
      </c>
      <c r="F313" s="22" t="s">
        <v>3</v>
      </c>
      <c r="G313" s="1" t="s">
        <v>6085</v>
      </c>
      <c r="H313" s="1" t="s">
        <v>6</v>
      </c>
      <c r="I313" s="1" t="s">
        <v>20</v>
      </c>
      <c r="J313" s="1" t="s">
        <v>25</v>
      </c>
      <c r="K313" s="1" t="s">
        <v>9</v>
      </c>
      <c r="L313" s="1" t="s">
        <v>53</v>
      </c>
      <c r="M313" s="11" t="s">
        <v>188</v>
      </c>
      <c r="N313" s="1" t="s">
        <v>6037</v>
      </c>
      <c r="O313" s="1" t="s">
        <v>16</v>
      </c>
      <c r="P313" s="1" t="s">
        <v>60</v>
      </c>
      <c r="Q313" s="1" t="s">
        <v>5711</v>
      </c>
      <c r="R313" s="1" t="s">
        <v>4253</v>
      </c>
      <c r="S313" s="1" t="s">
        <v>6119</v>
      </c>
      <c r="T313" s="1" t="s">
        <v>6120</v>
      </c>
      <c r="U313" s="1" t="s">
        <v>6129</v>
      </c>
      <c r="V313" s="1" t="s">
        <v>6189</v>
      </c>
      <c r="W313" s="27">
        <v>75</v>
      </c>
      <c r="X313" s="27">
        <v>78.571428571428569</v>
      </c>
      <c r="Y313" s="33">
        <f>AVERAGE(Table13[[#This Row],[Score 1]],Table13[[#This Row],[Score 2]])</f>
        <v>76.785714285714278</v>
      </c>
      <c r="Z313" s="1">
        <v>5</v>
      </c>
      <c r="AA313" s="1">
        <v>4</v>
      </c>
      <c r="AB313" s="22">
        <f>Table13[[#This Row],[Rank 1]]+Table13[[#This Row],[Rank 2]]</f>
        <v>9</v>
      </c>
      <c r="AC313" s="1" t="str">
        <f>IF(AND(Table13[[#This Row],[Average score]]&gt;75,Table13[[#This Row],[Total rank]]&gt;6.5),"Yes","No")</f>
        <v>Yes</v>
      </c>
      <c r="AD313" s="1" t="str">
        <f>IF(AND(Table13[[#This Row],[Average score]]&gt;80,Table13[[#This Row],[Total rank]]&gt;7.5),"Yes","No")</f>
        <v>No</v>
      </c>
      <c r="AF313" s="8">
        <v>46034</v>
      </c>
      <c r="AG313" s="1">
        <v>2</v>
      </c>
      <c r="AH313" s="27">
        <v>109382</v>
      </c>
      <c r="AI313" s="27">
        <v>111382</v>
      </c>
      <c r="AJ313" s="30">
        <v>0</v>
      </c>
      <c r="AK313" s="30">
        <f>Table13[[#This Row],[Year 1]]</f>
        <v>109382</v>
      </c>
      <c r="AL313" s="30">
        <f>Table13[[#This Row],[Year 2]]</f>
        <v>111382</v>
      </c>
      <c r="AM313" s="30">
        <f>Table13[[#This Row],[Year 3]]</f>
        <v>0</v>
      </c>
      <c r="AN313" s="1">
        <v>3</v>
      </c>
    </row>
    <row r="314" spans="1:40" hidden="1" x14ac:dyDescent="0.25">
      <c r="A314" s="1" t="s">
        <v>48</v>
      </c>
      <c r="B314" s="1" t="s">
        <v>2223</v>
      </c>
      <c r="C314" s="1" t="s">
        <v>50</v>
      </c>
      <c r="D314" s="1" t="s">
        <v>2896</v>
      </c>
      <c r="E314" s="1" t="s">
        <v>2897</v>
      </c>
      <c r="F314" s="22" t="s">
        <v>3</v>
      </c>
      <c r="G314" s="1" t="s">
        <v>6085</v>
      </c>
      <c r="H314" s="1" t="s">
        <v>5</v>
      </c>
      <c r="I314" s="1" t="s">
        <v>20</v>
      </c>
      <c r="J314" s="1" t="s">
        <v>26</v>
      </c>
      <c r="K314" s="1" t="s">
        <v>9</v>
      </c>
      <c r="L314" s="1" t="s">
        <v>53</v>
      </c>
      <c r="M314" s="11" t="s">
        <v>188</v>
      </c>
      <c r="N314" s="1" t="s">
        <v>6037</v>
      </c>
      <c r="O314" s="1" t="s">
        <v>14</v>
      </c>
      <c r="P314" s="1" t="s">
        <v>4043</v>
      </c>
      <c r="Q314" s="1" t="s">
        <v>5712</v>
      </c>
      <c r="R314" s="1" t="s">
        <v>4256</v>
      </c>
      <c r="S314" s="1" t="s">
        <v>6151</v>
      </c>
      <c r="T314" s="1" t="s">
        <v>6147</v>
      </c>
      <c r="U314" s="1" t="s">
        <v>6151</v>
      </c>
      <c r="V314" s="1" t="s">
        <v>6185</v>
      </c>
      <c r="W314" s="27">
        <v>78.571428571428569</v>
      </c>
      <c r="X314" s="27">
        <v>78.571428571428569</v>
      </c>
      <c r="Y314" s="33">
        <f>AVERAGE(Table13[[#This Row],[Score 1]],Table13[[#This Row],[Score 2]])</f>
        <v>78.571428571428569</v>
      </c>
      <c r="Z314" s="1">
        <v>4</v>
      </c>
      <c r="AA314" s="1">
        <v>3</v>
      </c>
      <c r="AB314" s="22">
        <f>Table13[[#This Row],[Rank 1]]+Table13[[#This Row],[Rank 2]]</f>
        <v>7</v>
      </c>
      <c r="AC314" s="1" t="str">
        <f>IF(AND(Table13[[#This Row],[Average score]]&gt;75,Table13[[#This Row],[Total rank]]&gt;6.5),"Yes","No")</f>
        <v>Yes</v>
      </c>
      <c r="AD314" s="1" t="str">
        <f>IF(AND(Table13[[#This Row],[Average score]]&gt;80,Table13[[#This Row],[Total rank]]&gt;7.5),"Yes","No")</f>
        <v>No</v>
      </c>
      <c r="AF314" s="8">
        <v>46054</v>
      </c>
      <c r="AG314" s="1">
        <v>3</v>
      </c>
      <c r="AH314" s="27">
        <v>220166</v>
      </c>
      <c r="AI314" s="27">
        <v>195826</v>
      </c>
      <c r="AJ314" s="27">
        <v>195826</v>
      </c>
      <c r="AK314" s="27">
        <f>Table13[[#This Row],[Year 1]]</f>
        <v>220166</v>
      </c>
      <c r="AL314" s="27">
        <f>Table13[[#This Row],[Year 2]]</f>
        <v>195826</v>
      </c>
      <c r="AM314" s="27">
        <f>Table13[[#This Row],[Year 3]]</f>
        <v>195826</v>
      </c>
      <c r="AN314" s="1">
        <v>3</v>
      </c>
    </row>
    <row r="315" spans="1:40" hidden="1" x14ac:dyDescent="0.25">
      <c r="A315" s="1" t="s">
        <v>48</v>
      </c>
      <c r="B315" s="2" t="s">
        <v>2224</v>
      </c>
      <c r="C315" s="1" t="s">
        <v>50</v>
      </c>
      <c r="D315" s="1" t="s">
        <v>2898</v>
      </c>
      <c r="E315" s="1" t="s">
        <v>2899</v>
      </c>
      <c r="F315" s="22" t="s">
        <v>3</v>
      </c>
      <c r="G315" s="1" t="s">
        <v>6085</v>
      </c>
      <c r="H315" s="1" t="s">
        <v>6</v>
      </c>
      <c r="I315" s="1" t="s">
        <v>24</v>
      </c>
      <c r="J315" s="1" t="s">
        <v>25</v>
      </c>
      <c r="K315" s="1" t="s">
        <v>9</v>
      </c>
      <c r="L315" s="1" t="s">
        <v>53</v>
      </c>
      <c r="M315" s="11" t="s">
        <v>188</v>
      </c>
      <c r="N315" s="1" t="s">
        <v>6037</v>
      </c>
      <c r="O315" s="1" t="s">
        <v>13</v>
      </c>
      <c r="P315" s="1" t="s">
        <v>126</v>
      </c>
      <c r="Q315" s="1" t="s">
        <v>5713</v>
      </c>
      <c r="R315" s="1" t="s">
        <v>4259</v>
      </c>
      <c r="S315" s="1" t="s">
        <v>6066</v>
      </c>
      <c r="T315" s="1" t="s">
        <v>6067</v>
      </c>
      <c r="U315" s="1" t="s">
        <v>6103</v>
      </c>
      <c r="V315" s="1" t="s">
        <v>6198</v>
      </c>
      <c r="W315" s="27">
        <v>96.428571428571431</v>
      </c>
      <c r="X315" s="29">
        <f>Table13[[#This Row],[Score 1]]</f>
        <v>96.428571428571431</v>
      </c>
      <c r="Y315" s="33">
        <f>AVERAGE(Table13[[#This Row],[Score 1]],Table13[[#This Row],[Score 2]])</f>
        <v>96.428571428571431</v>
      </c>
      <c r="Z315" s="1">
        <v>4</v>
      </c>
      <c r="AA315" s="2">
        <f>Table13[[#This Row],[Rank 1]]</f>
        <v>4</v>
      </c>
      <c r="AB315" s="22">
        <f>Table13[[#This Row],[Rank 1]]+Table13[[#This Row],[Rank 2]]</f>
        <v>8</v>
      </c>
      <c r="AC315" s="1" t="str">
        <f>IF(AND(Table13[[#This Row],[Average score]]&gt;75,Table13[[#This Row],[Total rank]]&gt;6.5),"Yes","No")</f>
        <v>Yes</v>
      </c>
      <c r="AD315" s="1" t="str">
        <f>IF(AND(Table13[[#This Row],[Average score]]&gt;80,Table13[[#This Row],[Total rank]]&gt;7.5),"Yes","No")</f>
        <v>Yes</v>
      </c>
      <c r="AF315" s="8">
        <v>45678</v>
      </c>
      <c r="AG315" s="1">
        <v>1</v>
      </c>
      <c r="AH315" s="27">
        <v>280000</v>
      </c>
      <c r="AI315" s="30">
        <v>0</v>
      </c>
      <c r="AJ315" s="30">
        <v>0</v>
      </c>
      <c r="AK315" s="30">
        <v>250000</v>
      </c>
      <c r="AL315" s="30">
        <f>Table13[[#This Row],[Year 2]]</f>
        <v>0</v>
      </c>
      <c r="AM315" s="30">
        <f>Table13[[#This Row],[Year 3]]</f>
        <v>0</v>
      </c>
      <c r="AN315" s="1">
        <v>3</v>
      </c>
    </row>
    <row r="316" spans="1:40" hidden="1" x14ac:dyDescent="0.25">
      <c r="A316" s="1" t="s">
        <v>48</v>
      </c>
      <c r="B316" s="1" t="s">
        <v>2225</v>
      </c>
      <c r="C316" s="1" t="s">
        <v>50</v>
      </c>
      <c r="D316" s="1" t="s">
        <v>2900</v>
      </c>
      <c r="E316" s="1" t="s">
        <v>2901</v>
      </c>
      <c r="F316" s="22" t="s">
        <v>3</v>
      </c>
      <c r="G316" s="1" t="s">
        <v>6085</v>
      </c>
      <c r="H316" s="1" t="s">
        <v>5</v>
      </c>
      <c r="I316" s="1" t="s">
        <v>20</v>
      </c>
      <c r="J316" s="1" t="s">
        <v>26</v>
      </c>
      <c r="K316" s="1" t="s">
        <v>9</v>
      </c>
      <c r="L316" s="1" t="s">
        <v>53</v>
      </c>
      <c r="M316" s="11" t="s">
        <v>2091</v>
      </c>
      <c r="N316" s="1" t="s">
        <v>6037</v>
      </c>
      <c r="O316" s="1" t="s">
        <v>19</v>
      </c>
      <c r="P316" s="1" t="s">
        <v>247</v>
      </c>
      <c r="Q316" s="1" t="s">
        <v>5714</v>
      </c>
      <c r="R316" s="1" t="s">
        <v>4260</v>
      </c>
      <c r="S316" s="1" t="s">
        <v>6137</v>
      </c>
      <c r="T316" s="1" t="s">
        <v>6138</v>
      </c>
      <c r="U316" s="1" t="s">
        <v>6160</v>
      </c>
      <c r="V316" s="1" t="s">
        <v>6203</v>
      </c>
      <c r="W316" s="27">
        <v>92.857142857142861</v>
      </c>
      <c r="X316" s="27">
        <v>78.571428571428569</v>
      </c>
      <c r="Y316" s="33">
        <f>AVERAGE(Table13[[#This Row],[Score 1]],Table13[[#This Row],[Score 2]])</f>
        <v>85.714285714285722</v>
      </c>
      <c r="Z316" s="1">
        <v>4</v>
      </c>
      <c r="AA316" s="1">
        <v>4</v>
      </c>
      <c r="AB316" s="22">
        <f>Table13[[#This Row],[Rank 1]]+Table13[[#This Row],[Rank 2]]</f>
        <v>8</v>
      </c>
      <c r="AC316" s="1" t="str">
        <f>IF(AND(Table13[[#This Row],[Average score]]&gt;75,Table13[[#This Row],[Total rank]]&gt;6.5),"Yes","No")</f>
        <v>Yes</v>
      </c>
      <c r="AD316" s="1" t="str">
        <f>IF(AND(Table13[[#This Row],[Average score]]&gt;80,Table13[[#This Row],[Total rank]]&gt;7.5),"Yes","No")</f>
        <v>Yes</v>
      </c>
      <c r="AF316" s="8">
        <v>46035</v>
      </c>
      <c r="AG316" s="1">
        <v>3</v>
      </c>
      <c r="AH316" s="27">
        <v>149000</v>
      </c>
      <c r="AI316" s="27">
        <v>131000</v>
      </c>
      <c r="AJ316" s="27">
        <v>131000</v>
      </c>
      <c r="AK316" s="27">
        <f>Table13[[#This Row],[Year 1]]</f>
        <v>149000</v>
      </c>
      <c r="AL316" s="27">
        <f>Table13[[#This Row],[Year 2]]</f>
        <v>131000</v>
      </c>
      <c r="AM316" s="27">
        <f>Table13[[#This Row],[Year 3]]</f>
        <v>131000</v>
      </c>
      <c r="AN316" s="1">
        <v>3</v>
      </c>
    </row>
    <row r="317" spans="1:40" hidden="1" x14ac:dyDescent="0.25">
      <c r="A317" s="1" t="s">
        <v>48</v>
      </c>
      <c r="B317" s="1" t="s">
        <v>2226</v>
      </c>
      <c r="C317" s="1" t="s">
        <v>50</v>
      </c>
      <c r="D317" s="1" t="s">
        <v>2902</v>
      </c>
      <c r="E317" s="1" t="s">
        <v>2903</v>
      </c>
      <c r="F317" s="22" t="s">
        <v>3</v>
      </c>
      <c r="G317" s="1" t="s">
        <v>6085</v>
      </c>
      <c r="H317" s="1" t="s">
        <v>7</v>
      </c>
      <c r="I317" s="1" t="s">
        <v>24</v>
      </c>
      <c r="J317" s="1" t="s">
        <v>25</v>
      </c>
      <c r="K317" s="1" t="s">
        <v>9</v>
      </c>
      <c r="L317" s="1" t="s">
        <v>53</v>
      </c>
      <c r="M317" s="11" t="s">
        <v>188</v>
      </c>
      <c r="N317" s="1" t="s">
        <v>6037</v>
      </c>
      <c r="O317" s="1" t="s">
        <v>14</v>
      </c>
      <c r="P317" s="1" t="s">
        <v>126</v>
      </c>
      <c r="Q317" s="1" t="s">
        <v>5715</v>
      </c>
      <c r="R317" s="1" t="s">
        <v>4262</v>
      </c>
      <c r="S317" s="1" t="s">
        <v>6141</v>
      </c>
      <c r="T317" s="11" t="s">
        <v>6150</v>
      </c>
      <c r="U317" s="1" t="s">
        <v>6158</v>
      </c>
      <c r="V317" s="1" t="s">
        <v>6165</v>
      </c>
      <c r="W317" s="27">
        <v>88.888888888888886</v>
      </c>
      <c r="X317" s="27">
        <v>75</v>
      </c>
      <c r="Y317" s="33">
        <f>AVERAGE(Table13[[#This Row],[Score 1]],Table13[[#This Row],[Score 2]])</f>
        <v>81.944444444444443</v>
      </c>
      <c r="Z317" s="1">
        <v>3</v>
      </c>
      <c r="AA317" s="1">
        <v>4</v>
      </c>
      <c r="AB317" s="22">
        <f>Table13[[#This Row],[Rank 1]]+Table13[[#This Row],[Rank 2]]</f>
        <v>7</v>
      </c>
      <c r="AC317" s="1" t="str">
        <f>IF(AND(Table13[[#This Row],[Average score]]&gt;75,Table13[[#This Row],[Total rank]]&gt;6.5),"Yes","No")</f>
        <v>Yes</v>
      </c>
      <c r="AD317" s="1" t="str">
        <f>IF(AND(Table13[[#This Row],[Average score]]&gt;80,Table13[[#This Row],[Total rank]]&gt;7.5),"Yes","No")</f>
        <v>No</v>
      </c>
      <c r="AF317" s="8">
        <v>46037</v>
      </c>
      <c r="AG317" s="1">
        <v>2</v>
      </c>
      <c r="AH317" s="27">
        <v>320000</v>
      </c>
      <c r="AI317" s="27">
        <v>300000</v>
      </c>
      <c r="AJ317" s="30">
        <v>0</v>
      </c>
      <c r="AK317" s="30">
        <f>Table13[[#This Row],[Year 1]]</f>
        <v>320000</v>
      </c>
      <c r="AL317" s="30">
        <f>Table13[[#This Row],[Year 2]]</f>
        <v>300000</v>
      </c>
      <c r="AM317" s="30">
        <f>Table13[[#This Row],[Year 3]]</f>
        <v>0</v>
      </c>
      <c r="AN317" s="1">
        <v>3</v>
      </c>
    </row>
    <row r="318" spans="1:40" hidden="1" x14ac:dyDescent="0.25">
      <c r="A318" s="1" t="s">
        <v>48</v>
      </c>
      <c r="B318" s="1" t="s">
        <v>2227</v>
      </c>
      <c r="C318" s="1" t="s">
        <v>50</v>
      </c>
      <c r="D318" s="1" t="s">
        <v>2904</v>
      </c>
      <c r="E318" s="1" t="s">
        <v>2905</v>
      </c>
      <c r="F318" s="22" t="s">
        <v>3</v>
      </c>
      <c r="G318" s="1" t="s">
        <v>6085</v>
      </c>
      <c r="H318" s="1" t="s">
        <v>7</v>
      </c>
      <c r="I318" s="1" t="s">
        <v>20</v>
      </c>
      <c r="J318" s="1" t="s">
        <v>26</v>
      </c>
      <c r="K318" s="1" t="s">
        <v>9</v>
      </c>
      <c r="L318" s="1" t="s">
        <v>53</v>
      </c>
      <c r="M318" s="11" t="s">
        <v>188</v>
      </c>
      <c r="N318" s="1" t="s">
        <v>6037</v>
      </c>
      <c r="O318" s="1" t="s">
        <v>13</v>
      </c>
      <c r="P318" s="1" t="s">
        <v>126</v>
      </c>
      <c r="Q318" s="1" t="s">
        <v>5716</v>
      </c>
      <c r="R318" s="1" t="s">
        <v>4263</v>
      </c>
      <c r="S318" s="1" t="s">
        <v>6064</v>
      </c>
      <c r="T318" s="1" t="s">
        <v>6065</v>
      </c>
      <c r="U318" s="1" t="s">
        <v>6102</v>
      </c>
      <c r="V318" s="1" t="s">
        <v>6197</v>
      </c>
      <c r="W318" s="27">
        <v>69.444444444444443</v>
      </c>
      <c r="X318" s="27">
        <v>75</v>
      </c>
      <c r="Y318" s="33">
        <f>AVERAGE(Table13[[#This Row],[Score 1]],Table13[[#This Row],[Score 2]])</f>
        <v>72.222222222222229</v>
      </c>
      <c r="Z318" s="1">
        <v>2</v>
      </c>
      <c r="AA318" s="1">
        <v>4</v>
      </c>
      <c r="AB318" s="22">
        <f>Table13[[#This Row],[Rank 1]]+Table13[[#This Row],[Rank 2]]</f>
        <v>6</v>
      </c>
      <c r="AC318" s="1" t="str">
        <f>IF(AND(Table13[[#This Row],[Average score]]&gt;75,Table13[[#This Row],[Total rank]]&gt;6.5),"Yes","No")</f>
        <v>No</v>
      </c>
      <c r="AD318" s="1" t="str">
        <f>IF(AND(Table13[[#This Row],[Average score]]&gt;80,Table13[[#This Row],[Total rank]]&gt;7.5),"Yes","No")</f>
        <v>No</v>
      </c>
      <c r="AF318" s="8">
        <v>46113</v>
      </c>
      <c r="AG318" s="1">
        <v>2</v>
      </c>
      <c r="AH318" s="27">
        <v>540000</v>
      </c>
      <c r="AI318" s="27">
        <v>530000</v>
      </c>
      <c r="AJ318" s="30">
        <v>0</v>
      </c>
      <c r="AK318" s="30">
        <f>Table13[[#This Row],[Year 1]]</f>
        <v>540000</v>
      </c>
      <c r="AL318" s="30">
        <f>Table13[[#This Row],[Year 2]]</f>
        <v>530000</v>
      </c>
      <c r="AM318" s="30">
        <f>Table13[[#This Row],[Year 3]]</f>
        <v>0</v>
      </c>
      <c r="AN318" s="1">
        <v>3</v>
      </c>
    </row>
    <row r="319" spans="1:40" hidden="1" x14ac:dyDescent="0.25">
      <c r="A319" s="1" t="s">
        <v>48</v>
      </c>
      <c r="B319" s="1" t="s">
        <v>2228</v>
      </c>
      <c r="C319" s="1" t="s">
        <v>50</v>
      </c>
      <c r="D319" s="1" t="s">
        <v>2906</v>
      </c>
      <c r="E319" s="1" t="s">
        <v>2907</v>
      </c>
      <c r="F319" s="22" t="s">
        <v>3</v>
      </c>
      <c r="G319" s="1" t="s">
        <v>6085</v>
      </c>
      <c r="H319" s="1" t="s">
        <v>6</v>
      </c>
      <c r="I319" s="1" t="s">
        <v>20</v>
      </c>
      <c r="J319" s="1" t="s">
        <v>25</v>
      </c>
      <c r="K319" s="1" t="s">
        <v>9</v>
      </c>
      <c r="L319" s="1" t="s">
        <v>53</v>
      </c>
      <c r="M319" s="11" t="s">
        <v>188</v>
      </c>
      <c r="N319" s="1" t="s">
        <v>6037</v>
      </c>
      <c r="O319" s="1" t="s">
        <v>16</v>
      </c>
      <c r="P319" s="1" t="s">
        <v>267</v>
      </c>
      <c r="Q319" s="1" t="s">
        <v>5717</v>
      </c>
      <c r="R319" s="1" t="s">
        <v>4266</v>
      </c>
      <c r="S319" s="1" t="s">
        <v>6107</v>
      </c>
      <c r="T319" s="1" t="s">
        <v>6108</v>
      </c>
      <c r="U319" s="1" t="s">
        <v>6131</v>
      </c>
      <c r="V319" s="1" t="s">
        <v>6192</v>
      </c>
      <c r="W319" s="27">
        <v>67.857142857142861</v>
      </c>
      <c r="X319" s="27">
        <v>67.857142857142861</v>
      </c>
      <c r="Y319" s="33">
        <f>AVERAGE(Table13[[#This Row],[Score 1]],Table13[[#This Row],[Score 2]])</f>
        <v>67.857142857142861</v>
      </c>
      <c r="Z319" s="1">
        <v>5</v>
      </c>
      <c r="AA319" s="1">
        <v>3</v>
      </c>
      <c r="AB319" s="22">
        <f>Table13[[#This Row],[Rank 1]]+Table13[[#This Row],[Rank 2]]</f>
        <v>8</v>
      </c>
      <c r="AC319" s="1" t="str">
        <f>IF(AND(Table13[[#This Row],[Average score]]&gt;75,Table13[[#This Row],[Total rank]]&gt;6.5),"Yes","No")</f>
        <v>No</v>
      </c>
      <c r="AD319" s="1" t="str">
        <f>IF(AND(Table13[[#This Row],[Average score]]&gt;80,Table13[[#This Row],[Total rank]]&gt;7.5),"Yes","No")</f>
        <v>No</v>
      </c>
      <c r="AF319" s="8">
        <v>46055</v>
      </c>
      <c r="AG319" s="1">
        <v>1</v>
      </c>
      <c r="AH319" s="27">
        <v>150000</v>
      </c>
      <c r="AI319" s="30">
        <v>0</v>
      </c>
      <c r="AJ319" s="30">
        <v>0</v>
      </c>
      <c r="AK319" s="30">
        <f>Table13[[#This Row],[Year 1]]</f>
        <v>150000</v>
      </c>
      <c r="AL319" s="30">
        <f>Table13[[#This Row],[Year 2]]</f>
        <v>0</v>
      </c>
      <c r="AM319" s="30">
        <f>Table13[[#This Row],[Year 3]]</f>
        <v>0</v>
      </c>
      <c r="AN319" s="1">
        <v>3</v>
      </c>
    </row>
    <row r="320" spans="1:40" hidden="1" x14ac:dyDescent="0.25">
      <c r="A320" s="1" t="s">
        <v>48</v>
      </c>
      <c r="B320" s="1" t="s">
        <v>2229</v>
      </c>
      <c r="C320" s="1" t="s">
        <v>50</v>
      </c>
      <c r="D320" s="1" t="s">
        <v>2908</v>
      </c>
      <c r="E320" s="1" t="s">
        <v>2909</v>
      </c>
      <c r="F320" s="22" t="s">
        <v>3</v>
      </c>
      <c r="G320" s="1" t="s">
        <v>6085</v>
      </c>
      <c r="H320" s="1" t="s">
        <v>5</v>
      </c>
      <c r="I320" s="1" t="s">
        <v>24</v>
      </c>
      <c r="J320" s="1" t="s">
        <v>25</v>
      </c>
      <c r="K320" s="1" t="s">
        <v>9</v>
      </c>
      <c r="L320" s="1" t="s">
        <v>53</v>
      </c>
      <c r="M320" s="11" t="s">
        <v>188</v>
      </c>
      <c r="N320" s="1" t="s">
        <v>6037</v>
      </c>
      <c r="O320" s="1" t="s">
        <v>19</v>
      </c>
      <c r="P320" s="1" t="s">
        <v>107</v>
      </c>
      <c r="Q320" s="1" t="s">
        <v>5718</v>
      </c>
      <c r="R320" s="1" t="s">
        <v>4267</v>
      </c>
      <c r="S320" s="1" t="s">
        <v>6139</v>
      </c>
      <c r="T320" s="1" t="s">
        <v>6140</v>
      </c>
      <c r="U320" s="1" t="s">
        <v>6162</v>
      </c>
      <c r="V320" s="1" t="s">
        <v>6187</v>
      </c>
      <c r="W320" s="27">
        <v>71.428571428571431</v>
      </c>
      <c r="X320" s="27">
        <v>82.142857142857139</v>
      </c>
      <c r="Y320" s="33">
        <f>AVERAGE(Table13[[#This Row],[Score 1]],Table13[[#This Row],[Score 2]])</f>
        <v>76.785714285714278</v>
      </c>
      <c r="Z320" s="1">
        <v>3</v>
      </c>
      <c r="AA320" s="1">
        <v>4</v>
      </c>
      <c r="AB320" s="22">
        <f>Table13[[#This Row],[Rank 1]]+Table13[[#This Row],[Rank 2]]</f>
        <v>7</v>
      </c>
      <c r="AC320" s="1" t="str">
        <f>IF(AND(Table13[[#This Row],[Average score]]&gt;75,Table13[[#This Row],[Total rank]]&gt;6.5),"Yes","No")</f>
        <v>Yes</v>
      </c>
      <c r="AD320" s="1" t="str">
        <f>IF(AND(Table13[[#This Row],[Average score]]&gt;80,Table13[[#This Row],[Total rank]]&gt;7.5),"Yes","No")</f>
        <v>No</v>
      </c>
      <c r="AF320" s="8">
        <v>45848</v>
      </c>
      <c r="AG320" s="1">
        <v>2</v>
      </c>
      <c r="AH320" s="27">
        <v>177580</v>
      </c>
      <c r="AI320" s="27">
        <v>193580</v>
      </c>
      <c r="AJ320" s="27">
        <v>10000</v>
      </c>
      <c r="AK320" s="27">
        <f>Table13[[#This Row],[Year 1]]</f>
        <v>177580</v>
      </c>
      <c r="AL320" s="27">
        <f>Table13[[#This Row],[Year 2]]</f>
        <v>193580</v>
      </c>
      <c r="AM320" s="27">
        <f>Table13[[#This Row],[Year 3]]</f>
        <v>10000</v>
      </c>
      <c r="AN320" s="1">
        <v>3</v>
      </c>
    </row>
    <row r="321" spans="1:40" hidden="1" x14ac:dyDescent="0.25">
      <c r="A321" s="1" t="s">
        <v>48</v>
      </c>
      <c r="B321" s="1" t="s">
        <v>2230</v>
      </c>
      <c r="C321" s="1" t="s">
        <v>50</v>
      </c>
      <c r="D321" s="1" t="s">
        <v>2910</v>
      </c>
      <c r="E321" s="1" t="s">
        <v>2911</v>
      </c>
      <c r="F321" s="22" t="s">
        <v>3</v>
      </c>
      <c r="G321" s="1" t="s">
        <v>6085</v>
      </c>
      <c r="H321" s="1" t="s">
        <v>6</v>
      </c>
      <c r="I321" s="1" t="s">
        <v>20</v>
      </c>
      <c r="J321" s="1" t="s">
        <v>26</v>
      </c>
      <c r="K321" s="1" t="s">
        <v>9</v>
      </c>
      <c r="L321" s="1" t="s">
        <v>53</v>
      </c>
      <c r="M321" s="11" t="s">
        <v>188</v>
      </c>
      <c r="N321" s="1" t="s">
        <v>6037</v>
      </c>
      <c r="O321" s="1" t="s">
        <v>14</v>
      </c>
      <c r="P321" s="1" t="s">
        <v>126</v>
      </c>
      <c r="Q321" s="1" t="s">
        <v>5719</v>
      </c>
      <c r="R321" s="1" t="s">
        <v>4271</v>
      </c>
      <c r="S321" s="1" t="s">
        <v>6151</v>
      </c>
      <c r="T321" s="1" t="s">
        <v>6147</v>
      </c>
      <c r="U321" s="1" t="s">
        <v>6151</v>
      </c>
      <c r="V321" s="1" t="s">
        <v>6185</v>
      </c>
      <c r="W321" s="27">
        <v>64.285714285714292</v>
      </c>
      <c r="X321" s="27">
        <v>60.714285714285708</v>
      </c>
      <c r="Y321" s="33">
        <f>AVERAGE(Table13[[#This Row],[Score 1]],Table13[[#This Row],[Score 2]])</f>
        <v>62.5</v>
      </c>
      <c r="Z321" s="1">
        <v>3</v>
      </c>
      <c r="AA321" s="1">
        <v>3</v>
      </c>
      <c r="AB321" s="22">
        <f>Table13[[#This Row],[Rank 1]]+Table13[[#This Row],[Rank 2]]</f>
        <v>6</v>
      </c>
      <c r="AC321" s="1" t="str">
        <f>IF(AND(Table13[[#This Row],[Average score]]&gt;75,Table13[[#This Row],[Total rank]]&gt;6.5),"Yes","No")</f>
        <v>No</v>
      </c>
      <c r="AD321" s="1" t="str">
        <f>IF(AND(Table13[[#This Row],[Average score]]&gt;80,Table13[[#This Row],[Total rank]]&gt;7.5),"Yes","No")</f>
        <v>No</v>
      </c>
      <c r="AF321" s="8">
        <v>46055</v>
      </c>
      <c r="AG321" s="1">
        <v>2</v>
      </c>
      <c r="AH321" s="27">
        <v>202000</v>
      </c>
      <c r="AI321" s="27">
        <v>202000</v>
      </c>
      <c r="AJ321" s="30">
        <v>0</v>
      </c>
      <c r="AK321" s="30">
        <f>Table13[[#This Row],[Year 1]]</f>
        <v>202000</v>
      </c>
      <c r="AL321" s="30">
        <f>Table13[[#This Row],[Year 2]]</f>
        <v>202000</v>
      </c>
      <c r="AM321" s="30">
        <f>Table13[[#This Row],[Year 3]]</f>
        <v>0</v>
      </c>
      <c r="AN321" s="1">
        <v>3</v>
      </c>
    </row>
    <row r="322" spans="1:40" hidden="1" x14ac:dyDescent="0.25">
      <c r="A322" s="1" t="s">
        <v>48</v>
      </c>
      <c r="B322" s="1" t="s">
        <v>2231</v>
      </c>
      <c r="C322" s="1" t="s">
        <v>50</v>
      </c>
      <c r="D322" s="1" t="s">
        <v>2912</v>
      </c>
      <c r="E322" s="1" t="s">
        <v>2913</v>
      </c>
      <c r="F322" s="22" t="s">
        <v>3</v>
      </c>
      <c r="G322" s="1" t="s">
        <v>6085</v>
      </c>
      <c r="H322" s="1" t="s">
        <v>6</v>
      </c>
      <c r="I322" s="1" t="s">
        <v>20</v>
      </c>
      <c r="J322" s="1" t="s">
        <v>25</v>
      </c>
      <c r="K322" s="1" t="s">
        <v>9</v>
      </c>
      <c r="L322" s="1" t="s">
        <v>53</v>
      </c>
      <c r="M322" s="11" t="s">
        <v>188</v>
      </c>
      <c r="N322" s="1" t="s">
        <v>6037</v>
      </c>
      <c r="O322" s="1" t="s">
        <v>14</v>
      </c>
      <c r="P322" s="1" t="s">
        <v>707</v>
      </c>
      <c r="Q322" s="1" t="s">
        <v>5720</v>
      </c>
      <c r="R322" s="1" t="s">
        <v>4272</v>
      </c>
      <c r="S322" s="1" t="s">
        <v>6151</v>
      </c>
      <c r="T322" s="1" t="s">
        <v>6147</v>
      </c>
      <c r="U322" s="1" t="s">
        <v>6151</v>
      </c>
      <c r="V322" s="1" t="s">
        <v>6185</v>
      </c>
      <c r="W322" s="27">
        <v>82.142857142857139</v>
      </c>
      <c r="X322" s="27">
        <v>60.714285714285708</v>
      </c>
      <c r="Y322" s="33">
        <f>AVERAGE(Table13[[#This Row],[Score 1]],Table13[[#This Row],[Score 2]])</f>
        <v>71.428571428571416</v>
      </c>
      <c r="Z322" s="1">
        <v>4</v>
      </c>
      <c r="AA322" s="1">
        <v>3</v>
      </c>
      <c r="AB322" s="22">
        <f>Table13[[#This Row],[Rank 1]]+Table13[[#This Row],[Rank 2]]</f>
        <v>7</v>
      </c>
      <c r="AC322" s="1" t="str">
        <f>IF(AND(Table13[[#This Row],[Average score]]&gt;75,Table13[[#This Row],[Total rank]]&gt;6.5),"Yes","No")</f>
        <v>No</v>
      </c>
      <c r="AD322" s="1" t="str">
        <f>IF(AND(Table13[[#This Row],[Average score]]&gt;80,Table13[[#This Row],[Total rank]]&gt;7.5),"Yes","No")</f>
        <v>No</v>
      </c>
      <c r="AF322" s="8">
        <v>46055</v>
      </c>
      <c r="AG322" s="1">
        <v>2</v>
      </c>
      <c r="AH322" s="27">
        <v>141500</v>
      </c>
      <c r="AI322" s="27">
        <v>131500</v>
      </c>
      <c r="AJ322" s="30">
        <v>0</v>
      </c>
      <c r="AK322" s="30">
        <f>Table13[[#This Row],[Year 1]]</f>
        <v>141500</v>
      </c>
      <c r="AL322" s="30">
        <f>Table13[[#This Row],[Year 2]]</f>
        <v>131500</v>
      </c>
      <c r="AM322" s="30">
        <f>Table13[[#This Row],[Year 3]]</f>
        <v>0</v>
      </c>
      <c r="AN322" s="1">
        <v>3</v>
      </c>
    </row>
    <row r="323" spans="1:40" hidden="1" x14ac:dyDescent="0.25">
      <c r="A323" s="1" t="s">
        <v>48</v>
      </c>
      <c r="B323" s="1" t="s">
        <v>2232</v>
      </c>
      <c r="C323" s="1" t="s">
        <v>50</v>
      </c>
      <c r="D323" s="1" t="s">
        <v>2914</v>
      </c>
      <c r="E323" s="1" t="s">
        <v>2915</v>
      </c>
      <c r="F323" s="22" t="s">
        <v>3</v>
      </c>
      <c r="G323" s="1" t="s">
        <v>6085</v>
      </c>
      <c r="H323" s="1" t="s">
        <v>6</v>
      </c>
      <c r="I323" s="1" t="s">
        <v>24</v>
      </c>
      <c r="J323" s="1" t="s">
        <v>26</v>
      </c>
      <c r="K323" s="1" t="s">
        <v>9</v>
      </c>
      <c r="L323" s="1" t="s">
        <v>53</v>
      </c>
      <c r="M323" s="11" t="s">
        <v>188</v>
      </c>
      <c r="N323" s="1" t="s">
        <v>6037</v>
      </c>
      <c r="O323" s="1" t="s">
        <v>10</v>
      </c>
      <c r="P323" s="1" t="s">
        <v>126</v>
      </c>
      <c r="Q323" s="19" t="s">
        <v>5721</v>
      </c>
      <c r="R323" s="1" t="s">
        <v>4275</v>
      </c>
      <c r="S323" s="1" t="s">
        <v>6045</v>
      </c>
      <c r="T323" s="1" t="s">
        <v>6046</v>
      </c>
      <c r="U323" s="1" t="s">
        <v>6098</v>
      </c>
      <c r="V323" s="1" t="s">
        <v>6190</v>
      </c>
      <c r="W323" s="27">
        <v>75</v>
      </c>
      <c r="X323" s="27">
        <v>89.285714285714292</v>
      </c>
      <c r="Y323" s="33">
        <f>AVERAGE(Table13[[#This Row],[Score 1]],Table13[[#This Row],[Score 2]])</f>
        <v>82.142857142857139</v>
      </c>
      <c r="Z323" s="1">
        <v>4</v>
      </c>
      <c r="AA323" s="1">
        <v>4</v>
      </c>
      <c r="AB323" s="22">
        <f>Table13[[#This Row],[Rank 1]]+Table13[[#This Row],[Rank 2]]</f>
        <v>8</v>
      </c>
      <c r="AC323" s="1" t="str">
        <f>IF(AND(Table13[[#This Row],[Average score]]&gt;75,Table13[[#This Row],[Total rank]]&gt;6.5),"Yes","No")</f>
        <v>Yes</v>
      </c>
      <c r="AD323" s="1" t="str">
        <f>IF(AND(Table13[[#This Row],[Average score]]&gt;80,Table13[[#This Row],[Total rank]]&gt;7.5),"Yes","No")</f>
        <v>Yes</v>
      </c>
      <c r="AF323" s="8">
        <v>46023</v>
      </c>
      <c r="AG323" s="1">
        <v>2</v>
      </c>
      <c r="AH323" s="27">
        <v>165000</v>
      </c>
      <c r="AI323" s="27">
        <v>180000</v>
      </c>
      <c r="AJ323" s="30">
        <v>0</v>
      </c>
      <c r="AK323" s="30">
        <f>Table13[[#This Row],[Year 1]]</f>
        <v>165000</v>
      </c>
      <c r="AL323" s="30">
        <f>Table13[[#This Row],[Year 2]]</f>
        <v>180000</v>
      </c>
      <c r="AM323" s="30">
        <f>Table13[[#This Row],[Year 3]]</f>
        <v>0</v>
      </c>
      <c r="AN323" s="1">
        <v>3</v>
      </c>
    </row>
    <row r="324" spans="1:40" hidden="1" x14ac:dyDescent="0.25">
      <c r="A324" s="1" t="s">
        <v>48</v>
      </c>
      <c r="B324" s="1" t="s">
        <v>2233</v>
      </c>
      <c r="C324" s="1" t="s">
        <v>50</v>
      </c>
      <c r="D324" s="1" t="s">
        <v>2916</v>
      </c>
      <c r="E324" s="1" t="s">
        <v>2917</v>
      </c>
      <c r="F324" s="22" t="s">
        <v>3</v>
      </c>
      <c r="G324" s="1" t="s">
        <v>6085</v>
      </c>
      <c r="H324" s="1" t="s">
        <v>7</v>
      </c>
      <c r="I324" s="1" t="s">
        <v>20</v>
      </c>
      <c r="J324" s="1" t="s">
        <v>26</v>
      </c>
      <c r="K324" s="1" t="s">
        <v>9</v>
      </c>
      <c r="L324" s="1" t="s">
        <v>53</v>
      </c>
      <c r="M324" s="11" t="s">
        <v>2091</v>
      </c>
      <c r="N324" s="1" t="s">
        <v>6037</v>
      </c>
      <c r="O324" s="1" t="s">
        <v>16</v>
      </c>
      <c r="P324" s="1" t="s">
        <v>1801</v>
      </c>
      <c r="Q324" s="1" t="s">
        <v>5546</v>
      </c>
      <c r="R324" s="1" t="s">
        <v>4276</v>
      </c>
      <c r="S324" s="1" t="s">
        <v>6111</v>
      </c>
      <c r="T324" s="1" t="s">
        <v>6112</v>
      </c>
      <c r="U324" s="1" t="s">
        <v>6127</v>
      </c>
      <c r="V324" s="1" t="s">
        <v>6179</v>
      </c>
      <c r="W324" s="27">
        <v>75</v>
      </c>
      <c r="X324" s="27">
        <v>91.666666666666657</v>
      </c>
      <c r="Y324" s="33">
        <f>AVERAGE(Table13[[#This Row],[Score 1]],Table13[[#This Row],[Score 2]])</f>
        <v>83.333333333333329</v>
      </c>
      <c r="Z324" s="1">
        <v>3</v>
      </c>
      <c r="AA324" s="1">
        <v>4</v>
      </c>
      <c r="AB324" s="22">
        <f>Table13[[#This Row],[Rank 1]]+Table13[[#This Row],[Rank 2]]</f>
        <v>7</v>
      </c>
      <c r="AC324" s="1" t="str">
        <f>IF(AND(Table13[[#This Row],[Average score]]&gt;75,Table13[[#This Row],[Total rank]]&gt;6.5),"Yes","No")</f>
        <v>Yes</v>
      </c>
      <c r="AD324" s="1" t="str">
        <f>IF(AND(Table13[[#This Row],[Average score]]&gt;80,Table13[[#This Row],[Total rank]]&gt;7.5),"Yes","No")</f>
        <v>No</v>
      </c>
      <c r="AF324" s="8">
        <v>46055</v>
      </c>
      <c r="AG324" s="1">
        <v>2</v>
      </c>
      <c r="AH324" s="27">
        <v>395000</v>
      </c>
      <c r="AI324" s="27">
        <v>445000</v>
      </c>
      <c r="AJ324" s="30">
        <v>0</v>
      </c>
      <c r="AK324" s="30">
        <f>Table13[[#This Row],[Year 1]]</f>
        <v>395000</v>
      </c>
      <c r="AL324" s="30">
        <f>Table13[[#This Row],[Year 2]]</f>
        <v>445000</v>
      </c>
      <c r="AM324" s="30">
        <f>Table13[[#This Row],[Year 3]]</f>
        <v>0</v>
      </c>
      <c r="AN324" s="1">
        <v>3</v>
      </c>
    </row>
    <row r="325" spans="1:40" hidden="1" x14ac:dyDescent="0.25">
      <c r="A325" s="1" t="s">
        <v>48</v>
      </c>
      <c r="B325" s="1" t="s">
        <v>2234</v>
      </c>
      <c r="C325" s="1" t="s">
        <v>50</v>
      </c>
      <c r="D325" s="1" t="s">
        <v>2918</v>
      </c>
      <c r="E325" s="1" t="s">
        <v>2919</v>
      </c>
      <c r="F325" s="22" t="s">
        <v>3</v>
      </c>
      <c r="G325" s="1" t="s">
        <v>6085</v>
      </c>
      <c r="H325" s="1" t="s">
        <v>7</v>
      </c>
      <c r="I325" s="1" t="s">
        <v>20</v>
      </c>
      <c r="J325" s="1" t="s">
        <v>25</v>
      </c>
      <c r="K325" s="1" t="s">
        <v>9</v>
      </c>
      <c r="L325" s="1" t="s">
        <v>53</v>
      </c>
      <c r="M325" s="11" t="s">
        <v>2091</v>
      </c>
      <c r="N325" s="1" t="s">
        <v>6037</v>
      </c>
      <c r="O325" s="1" t="s">
        <v>13</v>
      </c>
      <c r="P325" s="1" t="s">
        <v>247</v>
      </c>
      <c r="Q325" s="1" t="s">
        <v>734</v>
      </c>
      <c r="R325" s="1" t="s">
        <v>4279</v>
      </c>
      <c r="S325" s="1" t="s">
        <v>6070</v>
      </c>
      <c r="T325" s="1" t="s">
        <v>6071</v>
      </c>
      <c r="U325" s="1" t="s">
        <v>6088</v>
      </c>
      <c r="V325" s="1" t="s">
        <v>6171</v>
      </c>
      <c r="W325" s="27">
        <v>69.444444444444443</v>
      </c>
      <c r="X325" s="27">
        <v>69.444444444444443</v>
      </c>
      <c r="Y325" s="33">
        <f>AVERAGE(Table13[[#This Row],[Score 1]],Table13[[#This Row],[Score 2]])</f>
        <v>69.444444444444443</v>
      </c>
      <c r="Z325" s="1">
        <v>2</v>
      </c>
      <c r="AA325" s="1">
        <v>3</v>
      </c>
      <c r="AB325" s="22">
        <f>Table13[[#This Row],[Rank 1]]+Table13[[#This Row],[Rank 2]]</f>
        <v>5</v>
      </c>
      <c r="AC325" s="1" t="str">
        <f>IF(AND(Table13[[#This Row],[Average score]]&gt;75,Table13[[#This Row],[Total rank]]&gt;6.5),"Yes","No")</f>
        <v>No</v>
      </c>
      <c r="AD325" s="1" t="str">
        <f>IF(AND(Table13[[#This Row],[Average score]]&gt;80,Table13[[#This Row],[Total rank]]&gt;7.5),"Yes","No")</f>
        <v>No</v>
      </c>
      <c r="AF325" s="8">
        <v>46023</v>
      </c>
      <c r="AG325" s="1">
        <v>3</v>
      </c>
      <c r="AH325" s="27">
        <v>450440</v>
      </c>
      <c r="AI325" s="27">
        <v>514450</v>
      </c>
      <c r="AJ325" s="27">
        <v>514450</v>
      </c>
      <c r="AK325" s="27">
        <f>Table13[[#This Row],[Year 1]]</f>
        <v>450440</v>
      </c>
      <c r="AL325" s="27">
        <f>Table13[[#This Row],[Year 2]]</f>
        <v>514450</v>
      </c>
      <c r="AM325" s="27">
        <f>Table13[[#This Row],[Year 3]]</f>
        <v>514450</v>
      </c>
      <c r="AN325" s="1">
        <v>3</v>
      </c>
    </row>
    <row r="326" spans="1:40" hidden="1" x14ac:dyDescent="0.25">
      <c r="A326" s="1" t="s">
        <v>48</v>
      </c>
      <c r="B326" s="1" t="s">
        <v>2235</v>
      </c>
      <c r="C326" s="1" t="s">
        <v>50</v>
      </c>
      <c r="D326" s="1" t="s">
        <v>2920</v>
      </c>
      <c r="E326" s="1" t="s">
        <v>2921</v>
      </c>
      <c r="F326" s="22" t="s">
        <v>3</v>
      </c>
      <c r="G326" s="1" t="s">
        <v>6085</v>
      </c>
      <c r="H326" s="1" t="s">
        <v>6</v>
      </c>
      <c r="I326" s="1" t="s">
        <v>20</v>
      </c>
      <c r="J326" s="1" t="s">
        <v>25</v>
      </c>
      <c r="K326" s="1" t="s">
        <v>9</v>
      </c>
      <c r="L326" s="1" t="s">
        <v>53</v>
      </c>
      <c r="M326" s="11" t="s">
        <v>2091</v>
      </c>
      <c r="N326" s="1" t="s">
        <v>6037</v>
      </c>
      <c r="O326" s="1" t="s">
        <v>14</v>
      </c>
      <c r="P326" s="1" t="s">
        <v>60</v>
      </c>
      <c r="Q326" s="1" t="s">
        <v>5722</v>
      </c>
      <c r="R326" s="1" t="s">
        <v>4282</v>
      </c>
      <c r="S326" s="1" t="s">
        <v>6139</v>
      </c>
      <c r="T326" s="1" t="s">
        <v>6140</v>
      </c>
      <c r="U326" s="1" t="s">
        <v>6162</v>
      </c>
      <c r="V326" s="1" t="s">
        <v>6187</v>
      </c>
      <c r="W326" s="27">
        <v>64.285714285714292</v>
      </c>
      <c r="X326" s="27">
        <v>82.142857142857139</v>
      </c>
      <c r="Y326" s="33">
        <f>AVERAGE(Table13[[#This Row],[Score 1]],Table13[[#This Row],[Score 2]])</f>
        <v>73.214285714285722</v>
      </c>
      <c r="Z326" s="1">
        <v>3</v>
      </c>
      <c r="AA326" s="1">
        <v>4</v>
      </c>
      <c r="AB326" s="22">
        <f>Table13[[#This Row],[Rank 1]]+Table13[[#This Row],[Rank 2]]</f>
        <v>7</v>
      </c>
      <c r="AC326" s="1" t="str">
        <f>IF(AND(Table13[[#This Row],[Average score]]&gt;75,Table13[[#This Row],[Total rank]]&gt;6.5),"Yes","No")</f>
        <v>No</v>
      </c>
      <c r="AD326" s="1" t="str">
        <f>IF(AND(Table13[[#This Row],[Average score]]&gt;80,Table13[[#This Row],[Total rank]]&gt;7.5),"Yes","No")</f>
        <v>No</v>
      </c>
      <c r="AF326" s="8">
        <v>46055</v>
      </c>
      <c r="AG326" s="1">
        <v>2</v>
      </c>
      <c r="AH326" s="27">
        <v>33000</v>
      </c>
      <c r="AI326" s="27">
        <v>30000</v>
      </c>
      <c r="AJ326" s="30">
        <v>0</v>
      </c>
      <c r="AK326" s="30">
        <f>Table13[[#This Row],[Year 1]]</f>
        <v>33000</v>
      </c>
      <c r="AL326" s="30">
        <f>Table13[[#This Row],[Year 2]]</f>
        <v>30000</v>
      </c>
      <c r="AM326" s="30">
        <f>Table13[[#This Row],[Year 3]]</f>
        <v>0</v>
      </c>
      <c r="AN326" s="1">
        <v>3</v>
      </c>
    </row>
    <row r="327" spans="1:40" hidden="1" x14ac:dyDescent="0.25">
      <c r="A327" s="1" t="s">
        <v>48</v>
      </c>
      <c r="B327" s="1" t="s">
        <v>2237</v>
      </c>
      <c r="C327" s="1" t="s">
        <v>50</v>
      </c>
      <c r="D327" s="1" t="s">
        <v>2924</v>
      </c>
      <c r="E327" s="1" t="s">
        <v>2925</v>
      </c>
      <c r="F327" s="22" t="s">
        <v>3</v>
      </c>
      <c r="G327" s="1" t="s">
        <v>6085</v>
      </c>
      <c r="H327" s="1" t="s">
        <v>6</v>
      </c>
      <c r="I327" s="1" t="s">
        <v>20</v>
      </c>
      <c r="J327" s="1" t="s">
        <v>25</v>
      </c>
      <c r="K327" s="1" t="s">
        <v>9</v>
      </c>
      <c r="L327" s="1" t="s">
        <v>53</v>
      </c>
      <c r="M327" s="11" t="s">
        <v>188</v>
      </c>
      <c r="N327" s="1" t="s">
        <v>6037</v>
      </c>
      <c r="O327" s="1" t="s">
        <v>16</v>
      </c>
      <c r="P327" s="1" t="s">
        <v>126</v>
      </c>
      <c r="Q327" s="1" t="s">
        <v>5724</v>
      </c>
      <c r="R327" s="1" t="s">
        <v>4285</v>
      </c>
      <c r="S327" s="1" t="s">
        <v>6119</v>
      </c>
      <c r="T327" s="1" t="s">
        <v>6120</v>
      </c>
      <c r="U327" s="1" t="s">
        <v>6129</v>
      </c>
      <c r="V327" s="1" t="s">
        <v>6189</v>
      </c>
      <c r="W327" s="27">
        <v>71.428571428571431</v>
      </c>
      <c r="X327" s="27">
        <v>67.857142857142861</v>
      </c>
      <c r="Y327" s="33">
        <f>AVERAGE(Table13[[#This Row],[Score 1]],Table13[[#This Row],[Score 2]])</f>
        <v>69.642857142857139</v>
      </c>
      <c r="Z327" s="1">
        <v>3</v>
      </c>
      <c r="AA327" s="1">
        <v>4</v>
      </c>
      <c r="AB327" s="22">
        <f>Table13[[#This Row],[Rank 1]]+Table13[[#This Row],[Rank 2]]</f>
        <v>7</v>
      </c>
      <c r="AC327" s="1" t="str">
        <f>IF(AND(Table13[[#This Row],[Average score]]&gt;75,Table13[[#This Row],[Total rank]]&gt;6.5),"Yes","No")</f>
        <v>No</v>
      </c>
      <c r="AD327" s="1" t="str">
        <f>IF(AND(Table13[[#This Row],[Average score]]&gt;80,Table13[[#This Row],[Total rank]]&gt;7.5),"Yes","No")</f>
        <v>No</v>
      </c>
      <c r="AF327" s="8">
        <v>46053</v>
      </c>
      <c r="AG327" s="1">
        <v>2</v>
      </c>
      <c r="AH327" s="27">
        <v>180000</v>
      </c>
      <c r="AI327" s="27">
        <v>180000</v>
      </c>
      <c r="AJ327" s="30">
        <v>0</v>
      </c>
      <c r="AK327" s="30">
        <f>Table13[[#This Row],[Year 1]]</f>
        <v>180000</v>
      </c>
      <c r="AL327" s="30">
        <f>Table13[[#This Row],[Year 2]]</f>
        <v>180000</v>
      </c>
      <c r="AM327" s="30">
        <f>Table13[[#This Row],[Year 3]]</f>
        <v>0</v>
      </c>
      <c r="AN327" s="1">
        <v>2</v>
      </c>
    </row>
    <row r="328" spans="1:40" hidden="1" x14ac:dyDescent="0.25">
      <c r="A328" s="1" t="s">
        <v>48</v>
      </c>
      <c r="B328" s="2" t="s">
        <v>931</v>
      </c>
      <c r="C328" s="1" t="s">
        <v>50</v>
      </c>
      <c r="D328" s="1" t="s">
        <v>932</v>
      </c>
      <c r="E328" s="1" t="s">
        <v>933</v>
      </c>
      <c r="F328" s="22" t="s">
        <v>3</v>
      </c>
      <c r="G328" s="1" t="s">
        <v>6085</v>
      </c>
      <c r="H328" s="1" t="s">
        <v>6</v>
      </c>
      <c r="I328" s="1" t="s">
        <v>21</v>
      </c>
      <c r="J328" s="1" t="s">
        <v>25</v>
      </c>
      <c r="K328" s="1" t="s">
        <v>9</v>
      </c>
      <c r="L328" s="1" t="s">
        <v>53</v>
      </c>
      <c r="M328" s="11" t="s">
        <v>188</v>
      </c>
      <c r="N328" s="1" t="s">
        <v>6037</v>
      </c>
      <c r="O328" s="1" t="s">
        <v>14</v>
      </c>
      <c r="P328" s="1" t="s">
        <v>60</v>
      </c>
      <c r="Q328" s="1" t="s">
        <v>5417</v>
      </c>
      <c r="R328" s="1" t="s">
        <v>934</v>
      </c>
      <c r="S328" s="1" t="s">
        <v>6135</v>
      </c>
      <c r="T328" s="1" t="s">
        <v>6136</v>
      </c>
      <c r="U328" s="1" t="s">
        <v>6201</v>
      </c>
      <c r="V328" s="1" t="s">
        <v>6163</v>
      </c>
      <c r="W328" s="27">
        <v>57.142857142857139</v>
      </c>
      <c r="X328" s="27">
        <v>100</v>
      </c>
      <c r="Y328" s="33">
        <f>AVERAGE(Table13[[#This Row],[Score 1]],Table13[[#This Row],[Score 2]])</f>
        <v>78.571428571428569</v>
      </c>
      <c r="Z328" s="1">
        <v>3</v>
      </c>
      <c r="AA328" s="1">
        <v>5</v>
      </c>
      <c r="AB328" s="22">
        <f>Table13[[#This Row],[Rank 1]]+Table13[[#This Row],[Rank 2]]</f>
        <v>8</v>
      </c>
      <c r="AC328" s="1" t="str">
        <f>IF(AND(Table13[[#This Row],[Average score]]&gt;75,Table13[[#This Row],[Total rank]]&gt;6.5),"Yes","No")</f>
        <v>Yes</v>
      </c>
      <c r="AD328" s="1" t="str">
        <f>IF(AND(Table13[[#This Row],[Average score]]&gt;80,Table13[[#This Row],[Total rank]]&gt;7.5),"Yes","No")</f>
        <v>No</v>
      </c>
      <c r="AF328" s="8">
        <v>45689</v>
      </c>
      <c r="AG328" s="1">
        <v>1</v>
      </c>
      <c r="AH328" s="27">
        <v>136000</v>
      </c>
      <c r="AI328" s="30">
        <v>0</v>
      </c>
      <c r="AJ328" s="30">
        <v>0</v>
      </c>
      <c r="AK328" s="30">
        <f>Table13[[#This Row],[Year 1]]</f>
        <v>136000</v>
      </c>
      <c r="AL328" s="30">
        <f>Table13[[#This Row],[Year 2]]</f>
        <v>0</v>
      </c>
      <c r="AM328" s="30">
        <f>Table13[[#This Row],[Year 3]]</f>
        <v>0</v>
      </c>
      <c r="AN328" s="1">
        <v>3</v>
      </c>
    </row>
    <row r="329" spans="1:40" hidden="1" x14ac:dyDescent="0.25">
      <c r="A329" s="1" t="s">
        <v>48</v>
      </c>
      <c r="B329" s="10" t="s">
        <v>2239</v>
      </c>
      <c r="C329" s="1" t="s">
        <v>50</v>
      </c>
      <c r="D329" s="1" t="s">
        <v>2928</v>
      </c>
      <c r="E329" s="1" t="s">
        <v>2929</v>
      </c>
      <c r="F329" s="22" t="s">
        <v>3</v>
      </c>
      <c r="G329" s="1" t="s">
        <v>6085</v>
      </c>
      <c r="H329" s="1" t="s">
        <v>6</v>
      </c>
      <c r="I329" s="1" t="s">
        <v>20</v>
      </c>
      <c r="J329" s="1" t="s">
        <v>25</v>
      </c>
      <c r="K329" s="1" t="s">
        <v>9</v>
      </c>
      <c r="L329" s="1" t="s">
        <v>53</v>
      </c>
      <c r="M329" s="11" t="s">
        <v>188</v>
      </c>
      <c r="N329" s="1" t="s">
        <v>6037</v>
      </c>
      <c r="O329" s="1" t="s">
        <v>13</v>
      </c>
      <c r="P329" s="1" t="s">
        <v>4290</v>
      </c>
      <c r="Q329" s="1" t="s">
        <v>5541</v>
      </c>
      <c r="R329" s="1" t="s">
        <v>4291</v>
      </c>
      <c r="S329" s="1" t="s">
        <v>6079</v>
      </c>
      <c r="T329" s="1" t="s">
        <v>6080</v>
      </c>
      <c r="U329" s="1" t="s">
        <v>6089</v>
      </c>
      <c r="V329" s="1" t="s">
        <v>6172</v>
      </c>
      <c r="W329" s="27">
        <v>82.142857142857139</v>
      </c>
      <c r="X329" s="27">
        <v>64.285714285714292</v>
      </c>
      <c r="Y329" s="33">
        <f>AVERAGE(Table13[[#This Row],[Score 1]],Table13[[#This Row],[Score 2]])</f>
        <v>73.214285714285722</v>
      </c>
      <c r="Z329" s="1">
        <v>2</v>
      </c>
      <c r="AA329" s="1">
        <v>2</v>
      </c>
      <c r="AB329" s="22">
        <f>Table13[[#This Row],[Rank 1]]+Table13[[#This Row],[Rank 2]]</f>
        <v>4</v>
      </c>
      <c r="AC329" s="1" t="str">
        <f>IF(AND(Table13[[#This Row],[Average score]]&gt;75,Table13[[#This Row],[Total rank]]&gt;6.5),"Yes","No")</f>
        <v>No</v>
      </c>
      <c r="AD329" s="1" t="str">
        <f>IF(AND(Table13[[#This Row],[Average score]]&gt;80,Table13[[#This Row],[Total rank]]&gt;7.5),"Yes","No")</f>
        <v>No</v>
      </c>
      <c r="AF329" s="8">
        <v>46024</v>
      </c>
      <c r="AG329" s="1">
        <v>2</v>
      </c>
      <c r="AH329" s="27">
        <v>30000</v>
      </c>
      <c r="AI329" s="27">
        <v>30000</v>
      </c>
      <c r="AJ329" s="30">
        <v>0</v>
      </c>
      <c r="AK329" s="30">
        <f>Table13[[#This Row],[Year 1]]</f>
        <v>30000</v>
      </c>
      <c r="AL329" s="30">
        <f>Table13[[#This Row],[Year 2]]</f>
        <v>30000</v>
      </c>
      <c r="AM329" s="30">
        <f>Table13[[#This Row],[Year 3]]</f>
        <v>0</v>
      </c>
      <c r="AN329" s="1">
        <v>2</v>
      </c>
    </row>
    <row r="330" spans="1:40" hidden="1" x14ac:dyDescent="0.25">
      <c r="A330" s="1" t="s">
        <v>48</v>
      </c>
      <c r="B330" s="1" t="s">
        <v>2240</v>
      </c>
      <c r="C330" s="1" t="s">
        <v>50</v>
      </c>
      <c r="D330" s="1" t="s">
        <v>2930</v>
      </c>
      <c r="E330" s="1" t="s">
        <v>2931</v>
      </c>
      <c r="F330" s="22" t="s">
        <v>3</v>
      </c>
      <c r="G330" s="1" t="s">
        <v>6085</v>
      </c>
      <c r="H330" s="1" t="s">
        <v>6</v>
      </c>
      <c r="I330" s="1" t="s">
        <v>24</v>
      </c>
      <c r="J330" s="1" t="s">
        <v>26</v>
      </c>
      <c r="K330" s="1" t="s">
        <v>9</v>
      </c>
      <c r="L330" s="1" t="s">
        <v>53</v>
      </c>
      <c r="M330" s="11" t="s">
        <v>2091</v>
      </c>
      <c r="N330" s="1" t="s">
        <v>6037</v>
      </c>
      <c r="O330" s="1" t="s">
        <v>16</v>
      </c>
      <c r="P330" s="1" t="s">
        <v>247</v>
      </c>
      <c r="Q330" s="1" t="s">
        <v>5281</v>
      </c>
      <c r="R330" s="1" t="s">
        <v>4292</v>
      </c>
      <c r="S330" s="1" t="s">
        <v>6111</v>
      </c>
      <c r="T330" s="1" t="s">
        <v>6112</v>
      </c>
      <c r="U330" s="1" t="s">
        <v>6127</v>
      </c>
      <c r="V330" s="1" t="s">
        <v>6179</v>
      </c>
      <c r="W330" s="27">
        <v>67.857142857142861</v>
      </c>
      <c r="X330" s="27">
        <v>85.714285714285708</v>
      </c>
      <c r="Y330" s="33">
        <f>AVERAGE(Table13[[#This Row],[Score 1]],Table13[[#This Row],[Score 2]])</f>
        <v>76.785714285714278</v>
      </c>
      <c r="Z330" s="1">
        <v>3</v>
      </c>
      <c r="AA330" s="1">
        <v>4</v>
      </c>
      <c r="AB330" s="22">
        <f>Table13[[#This Row],[Rank 1]]+Table13[[#This Row],[Rank 2]]</f>
        <v>7</v>
      </c>
      <c r="AC330" s="1" t="str">
        <f>IF(AND(Table13[[#This Row],[Average score]]&gt;75,Table13[[#This Row],[Total rank]]&gt;6.5),"Yes","No")</f>
        <v>Yes</v>
      </c>
      <c r="AD330" s="1" t="str">
        <f>IF(AND(Table13[[#This Row],[Average score]]&gt;80,Table13[[#This Row],[Total rank]]&gt;7.5),"Yes","No")</f>
        <v>No</v>
      </c>
      <c r="AF330" s="8">
        <v>46023</v>
      </c>
      <c r="AG330" s="1">
        <v>2</v>
      </c>
      <c r="AH330" s="27">
        <v>216000</v>
      </c>
      <c r="AI330" s="27">
        <v>230000</v>
      </c>
      <c r="AJ330" s="30">
        <v>0</v>
      </c>
      <c r="AK330" s="30">
        <f>Table13[[#This Row],[Year 1]]</f>
        <v>216000</v>
      </c>
      <c r="AL330" s="30">
        <f>Table13[[#This Row],[Year 2]]</f>
        <v>230000</v>
      </c>
      <c r="AM330" s="30">
        <f>Table13[[#This Row],[Year 3]]</f>
        <v>0</v>
      </c>
      <c r="AN330" s="1">
        <v>3</v>
      </c>
    </row>
    <row r="331" spans="1:40" hidden="1" x14ac:dyDescent="0.25">
      <c r="A331" s="1" t="s">
        <v>48</v>
      </c>
      <c r="B331" s="1" t="s">
        <v>2242</v>
      </c>
      <c r="C331" s="1" t="s">
        <v>50</v>
      </c>
      <c r="D331" s="1" t="s">
        <v>2934</v>
      </c>
      <c r="E331" s="1" t="s">
        <v>2935</v>
      </c>
      <c r="F331" s="22" t="s">
        <v>3</v>
      </c>
      <c r="G331" s="1" t="s">
        <v>6085</v>
      </c>
      <c r="H331" s="1" t="s">
        <v>5</v>
      </c>
      <c r="I331" s="1" t="s">
        <v>22</v>
      </c>
      <c r="J331" s="1" t="s">
        <v>25</v>
      </c>
      <c r="K331" s="1" t="s">
        <v>9</v>
      </c>
      <c r="L331" s="1" t="s">
        <v>53</v>
      </c>
      <c r="M331" s="11" t="s">
        <v>2091</v>
      </c>
      <c r="N331" s="1" t="s">
        <v>6037</v>
      </c>
      <c r="O331" s="1" t="s">
        <v>13</v>
      </c>
      <c r="P331" s="1" t="s">
        <v>60</v>
      </c>
      <c r="Q331" s="1" t="s">
        <v>5726</v>
      </c>
      <c r="R331" s="1" t="s">
        <v>4294</v>
      </c>
      <c r="S331" s="1" t="s">
        <v>6064</v>
      </c>
      <c r="T331" s="1" t="s">
        <v>6065</v>
      </c>
      <c r="U331" s="1" t="s">
        <v>6102</v>
      </c>
      <c r="V331" s="1" t="s">
        <v>6197</v>
      </c>
      <c r="W331" s="27">
        <v>67.857142857142861</v>
      </c>
      <c r="X331" s="27">
        <v>75</v>
      </c>
      <c r="Y331" s="33">
        <f>AVERAGE(Table13[[#This Row],[Score 1]],Table13[[#This Row],[Score 2]])</f>
        <v>71.428571428571431</v>
      </c>
      <c r="Z331" s="1">
        <v>3</v>
      </c>
      <c r="AA331" s="1">
        <v>4</v>
      </c>
      <c r="AB331" s="22">
        <f>Table13[[#This Row],[Rank 1]]+Table13[[#This Row],[Rank 2]]</f>
        <v>7</v>
      </c>
      <c r="AC331" s="1" t="str">
        <f>IF(AND(Table13[[#This Row],[Average score]]&gt;75,Table13[[#This Row],[Total rank]]&gt;6.5),"Yes","No")</f>
        <v>No</v>
      </c>
      <c r="AD331" s="1" t="str">
        <f>IF(AND(Table13[[#This Row],[Average score]]&gt;80,Table13[[#This Row],[Total rank]]&gt;7.5),"Yes","No")</f>
        <v>No</v>
      </c>
      <c r="AF331" s="8">
        <v>45363</v>
      </c>
      <c r="AG331" s="1">
        <v>2</v>
      </c>
      <c r="AH331" s="27">
        <v>69103</v>
      </c>
      <c r="AI331" s="27">
        <v>47607</v>
      </c>
      <c r="AJ331" s="30">
        <v>0</v>
      </c>
      <c r="AK331" s="30">
        <f>Table13[[#This Row],[Year 1]]</f>
        <v>69103</v>
      </c>
      <c r="AL331" s="30">
        <f>Table13[[#This Row],[Year 2]]</f>
        <v>47607</v>
      </c>
      <c r="AM331" s="30">
        <f>Table13[[#This Row],[Year 3]]</f>
        <v>0</v>
      </c>
      <c r="AN331" s="1">
        <v>3</v>
      </c>
    </row>
    <row r="332" spans="1:40" hidden="1" x14ac:dyDescent="0.25">
      <c r="A332" s="1" t="s">
        <v>48</v>
      </c>
      <c r="B332" s="1" t="s">
        <v>2243</v>
      </c>
      <c r="C332" s="1" t="s">
        <v>50</v>
      </c>
      <c r="D332" s="1" t="s">
        <v>2936</v>
      </c>
      <c r="E332" s="1" t="s">
        <v>2937</v>
      </c>
      <c r="F332" s="22" t="s">
        <v>3</v>
      </c>
      <c r="G332" s="1" t="s">
        <v>6085</v>
      </c>
      <c r="H332" s="1" t="s">
        <v>6</v>
      </c>
      <c r="I332" s="1" t="s">
        <v>20</v>
      </c>
      <c r="J332" s="1" t="s">
        <v>25</v>
      </c>
      <c r="K332" s="1" t="s">
        <v>9</v>
      </c>
      <c r="L332" s="1" t="s">
        <v>53</v>
      </c>
      <c r="M332" s="11" t="s">
        <v>2091</v>
      </c>
      <c r="N332" s="1" t="s">
        <v>6037</v>
      </c>
      <c r="O332" s="1" t="s">
        <v>13</v>
      </c>
      <c r="P332" s="1" t="s">
        <v>126</v>
      </c>
      <c r="Q332" s="1" t="s">
        <v>5727</v>
      </c>
      <c r="R332" s="1" t="s">
        <v>4297</v>
      </c>
      <c r="S332" s="1" t="s">
        <v>6075</v>
      </c>
      <c r="T332" s="1" t="s">
        <v>6074</v>
      </c>
      <c r="U332" s="1" t="s">
        <v>6093</v>
      </c>
      <c r="V332" s="1" t="s">
        <v>6181</v>
      </c>
      <c r="W332" s="27">
        <v>92.857142857142861</v>
      </c>
      <c r="X332" s="27">
        <v>67.857142857142861</v>
      </c>
      <c r="Y332" s="33">
        <f>AVERAGE(Table13[[#This Row],[Score 1]],Table13[[#This Row],[Score 2]])</f>
        <v>80.357142857142861</v>
      </c>
      <c r="Z332" s="1">
        <v>4</v>
      </c>
      <c r="AA332" s="1">
        <v>3</v>
      </c>
      <c r="AB332" s="22">
        <f>Table13[[#This Row],[Rank 1]]+Table13[[#This Row],[Rank 2]]</f>
        <v>7</v>
      </c>
      <c r="AC332" s="1" t="str">
        <f>IF(AND(Table13[[#This Row],[Average score]]&gt;75,Table13[[#This Row],[Total rank]]&gt;6.5),"Yes","No")</f>
        <v>Yes</v>
      </c>
      <c r="AD332" s="1" t="str">
        <f>IF(AND(Table13[[#This Row],[Average score]]&gt;80,Table13[[#This Row],[Total rank]]&gt;7.5),"Yes","No")</f>
        <v>No</v>
      </c>
      <c r="AF332" s="8">
        <v>46054</v>
      </c>
      <c r="AG332" s="1">
        <v>2</v>
      </c>
      <c r="AH332" s="27">
        <v>202030</v>
      </c>
      <c r="AI332" s="27">
        <v>121200</v>
      </c>
      <c r="AJ332" s="30">
        <v>0</v>
      </c>
      <c r="AK332" s="30">
        <f>Table13[[#This Row],[Year 1]]</f>
        <v>202030</v>
      </c>
      <c r="AL332" s="30">
        <f>Table13[[#This Row],[Year 2]]</f>
        <v>121200</v>
      </c>
      <c r="AM332" s="30">
        <f>Table13[[#This Row],[Year 3]]</f>
        <v>0</v>
      </c>
      <c r="AN332" s="1">
        <v>3</v>
      </c>
    </row>
    <row r="333" spans="1:40" hidden="1" x14ac:dyDescent="0.25">
      <c r="A333" s="1" t="s">
        <v>48</v>
      </c>
      <c r="B333" s="2" t="s">
        <v>1226</v>
      </c>
      <c r="C333" s="1" t="s">
        <v>50</v>
      </c>
      <c r="D333" s="1" t="s">
        <v>1325</v>
      </c>
      <c r="E333" s="1" t="s">
        <v>1326</v>
      </c>
      <c r="F333" s="22" t="s">
        <v>3</v>
      </c>
      <c r="G333" s="1" t="s">
        <v>6085</v>
      </c>
      <c r="H333" s="1" t="s">
        <v>7</v>
      </c>
      <c r="I333" s="1" t="s">
        <v>24</v>
      </c>
      <c r="J333" s="1" t="s">
        <v>25</v>
      </c>
      <c r="K333" s="1" t="s">
        <v>9</v>
      </c>
      <c r="L333" s="1" t="s">
        <v>78</v>
      </c>
      <c r="M333" s="11" t="s">
        <v>188</v>
      </c>
      <c r="N333" s="1" t="s">
        <v>6037</v>
      </c>
      <c r="O333" s="1" t="s">
        <v>14</v>
      </c>
      <c r="P333" s="1" t="s">
        <v>1597</v>
      </c>
      <c r="Q333" s="1" t="s">
        <v>4501</v>
      </c>
      <c r="R333" s="1" t="s">
        <v>1598</v>
      </c>
      <c r="S333" s="1" t="s">
        <v>6135</v>
      </c>
      <c r="T333" s="1" t="s">
        <v>6136</v>
      </c>
      <c r="U333" s="1" t="s">
        <v>6201</v>
      </c>
      <c r="V333" s="1" t="s">
        <v>6163</v>
      </c>
      <c r="W333" s="27">
        <v>72.222222222222214</v>
      </c>
      <c r="X333" s="27">
        <v>75</v>
      </c>
      <c r="Y333" s="33">
        <f>AVERAGE(Table13[[#This Row],[Score 1]],Table13[[#This Row],[Score 2]])</f>
        <v>73.611111111111114</v>
      </c>
      <c r="Z333" s="1">
        <v>3</v>
      </c>
      <c r="AA333" s="1">
        <v>3</v>
      </c>
      <c r="AB333" s="22">
        <f>Table13[[#This Row],[Rank 1]]+Table13[[#This Row],[Rank 2]]</f>
        <v>6</v>
      </c>
      <c r="AC333" s="1" t="str">
        <f>IF(AND(Table13[[#This Row],[Average score]]&gt;75,Table13[[#This Row],[Total rank]]&gt;6.5),"Yes","No")</f>
        <v>No</v>
      </c>
      <c r="AD333" s="1" t="str">
        <f>IF(AND(Table13[[#This Row],[Average score]]&gt;80,Table13[[#This Row],[Total rank]]&gt;7.5),"Yes","No")</f>
        <v>No</v>
      </c>
      <c r="AF333" s="8">
        <v>46023</v>
      </c>
      <c r="AG333" s="1">
        <v>2</v>
      </c>
      <c r="AH333" s="27">
        <v>450000</v>
      </c>
      <c r="AI333" s="31">
        <v>0</v>
      </c>
      <c r="AJ333" s="30">
        <v>0</v>
      </c>
      <c r="AK333" s="30">
        <f>Table13[[#This Row],[Year 1]]</f>
        <v>450000</v>
      </c>
      <c r="AL333" s="30">
        <f>Table13[[#This Row],[Year 2]]</f>
        <v>0</v>
      </c>
      <c r="AM333" s="30">
        <f>Table13[[#This Row],[Year 3]]</f>
        <v>0</v>
      </c>
      <c r="AN333" s="1">
        <v>3</v>
      </c>
    </row>
    <row r="334" spans="1:40" x14ac:dyDescent="0.25">
      <c r="A334" s="1" t="s">
        <v>48</v>
      </c>
      <c r="B334" s="2" t="s">
        <v>2245</v>
      </c>
      <c r="C334" s="1" t="s">
        <v>50</v>
      </c>
      <c r="D334" s="1" t="s">
        <v>2940</v>
      </c>
      <c r="E334" s="1" t="s">
        <v>2941</v>
      </c>
      <c r="F334" s="22" t="s">
        <v>3</v>
      </c>
      <c r="G334" s="1" t="s">
        <v>6085</v>
      </c>
      <c r="H334" s="1" t="s">
        <v>6</v>
      </c>
      <c r="I334" s="1" t="s">
        <v>20</v>
      </c>
      <c r="J334" s="1" t="s">
        <v>26</v>
      </c>
      <c r="K334" s="1" t="s">
        <v>8</v>
      </c>
      <c r="L334" s="1" t="s">
        <v>53</v>
      </c>
      <c r="M334" s="11" t="s">
        <v>188</v>
      </c>
      <c r="N334" s="1" t="s">
        <v>6037</v>
      </c>
      <c r="O334" s="1" t="s">
        <v>10</v>
      </c>
      <c r="P334" s="1" t="s">
        <v>4302</v>
      </c>
      <c r="Q334" s="20" t="s">
        <v>5729</v>
      </c>
      <c r="R334" s="1" t="s">
        <v>4303</v>
      </c>
      <c r="S334" s="1" t="s">
        <v>6051</v>
      </c>
      <c r="T334" s="1" t="s">
        <v>6047</v>
      </c>
      <c r="U334" s="1" t="s">
        <v>6106</v>
      </c>
      <c r="V334" s="1" t="s">
        <v>6193</v>
      </c>
      <c r="W334" s="27">
        <v>100</v>
      </c>
      <c r="X334" s="27">
        <v>96.875</v>
      </c>
      <c r="Y334" s="33">
        <f>AVERAGE(Table13[[#This Row],[Score 1]],Table13[[#This Row],[Score 2]])</f>
        <v>98.4375</v>
      </c>
      <c r="Z334" s="1">
        <v>5</v>
      </c>
      <c r="AA334" s="1">
        <v>5</v>
      </c>
      <c r="AB334" s="22">
        <f>Table13[[#This Row],[Rank 1]]+Table13[[#This Row],[Rank 2]]</f>
        <v>10</v>
      </c>
      <c r="AC334" s="1" t="str">
        <f>IF(AND(Table13[[#This Row],[Average score]]&gt;75,Table13[[#This Row],[Total rank]]&gt;6.5),"Yes","No")</f>
        <v>Yes</v>
      </c>
      <c r="AD334" s="1" t="str">
        <f>IF(AND(Table13[[#This Row],[Average score]]&gt;80,Table13[[#This Row],[Total rank]]&gt;7.5),"Yes","No")</f>
        <v>Yes</v>
      </c>
      <c r="AE334" s="1" t="s">
        <v>6221</v>
      </c>
      <c r="AF334" s="8">
        <v>46300</v>
      </c>
      <c r="AG334" s="1">
        <v>1</v>
      </c>
      <c r="AH334" s="27">
        <v>1312306.25</v>
      </c>
      <c r="AI334" s="30">
        <v>0</v>
      </c>
      <c r="AJ334" s="30">
        <v>0</v>
      </c>
      <c r="AK334" s="27">
        <v>750000</v>
      </c>
      <c r="AL334" s="30">
        <f>Table13[[#This Row],[Year 2]]</f>
        <v>0</v>
      </c>
      <c r="AM334" s="30">
        <f>Table13[[#This Row],[Year 3]]</f>
        <v>0</v>
      </c>
      <c r="AN334" s="1">
        <v>3</v>
      </c>
    </row>
    <row r="335" spans="1:40" hidden="1" x14ac:dyDescent="0.25">
      <c r="A335" s="1" t="s">
        <v>48</v>
      </c>
      <c r="B335" s="1" t="s">
        <v>2246</v>
      </c>
      <c r="C335" s="1" t="s">
        <v>50</v>
      </c>
      <c r="D335" s="1" t="s">
        <v>2942</v>
      </c>
      <c r="E335" s="1" t="s">
        <v>2943</v>
      </c>
      <c r="F335" s="22" t="s">
        <v>3</v>
      </c>
      <c r="G335" s="1" t="s">
        <v>6085</v>
      </c>
      <c r="H335" s="1" t="s">
        <v>7</v>
      </c>
      <c r="I335" s="1" t="s">
        <v>20</v>
      </c>
      <c r="J335" s="1" t="s">
        <v>25</v>
      </c>
      <c r="K335" s="1" t="s">
        <v>9</v>
      </c>
      <c r="L335" s="1" t="s">
        <v>53</v>
      </c>
      <c r="M335" s="11" t="s">
        <v>2091</v>
      </c>
      <c r="N335" s="1" t="s">
        <v>6037</v>
      </c>
      <c r="O335" s="1" t="s">
        <v>13</v>
      </c>
      <c r="P335" s="1" t="s">
        <v>126</v>
      </c>
      <c r="Q335" s="1" t="s">
        <v>5730</v>
      </c>
      <c r="R335" s="1" t="s">
        <v>4305</v>
      </c>
      <c r="S335" s="1" t="s">
        <v>6063</v>
      </c>
      <c r="T335" s="1" t="s">
        <v>6076</v>
      </c>
      <c r="U335" s="1" t="s">
        <v>6100</v>
      </c>
      <c r="V335" s="1" t="s">
        <v>6195</v>
      </c>
      <c r="W335" s="27">
        <v>77.777777777777786</v>
      </c>
      <c r="X335" s="27">
        <v>66.666666666666657</v>
      </c>
      <c r="Y335" s="33">
        <f>AVERAGE(Table13[[#This Row],[Score 1]],Table13[[#This Row],[Score 2]])</f>
        <v>72.222222222222229</v>
      </c>
      <c r="Z335" s="1">
        <v>3</v>
      </c>
      <c r="AA335" s="1">
        <v>4</v>
      </c>
      <c r="AB335" s="22">
        <f>Table13[[#This Row],[Rank 1]]+Table13[[#This Row],[Rank 2]]</f>
        <v>7</v>
      </c>
      <c r="AC335" s="1" t="str">
        <f>IF(AND(Table13[[#This Row],[Average score]]&gt;75,Table13[[#This Row],[Total rank]]&gt;6.5),"Yes","No")</f>
        <v>No</v>
      </c>
      <c r="AD335" s="1" t="str">
        <f>IF(AND(Table13[[#This Row],[Average score]]&gt;80,Table13[[#This Row],[Total rank]]&gt;7.5),"Yes","No")</f>
        <v>No</v>
      </c>
      <c r="AF335" s="8">
        <v>46023</v>
      </c>
      <c r="AG335" s="1">
        <v>2</v>
      </c>
      <c r="AH335" s="27">
        <v>398000</v>
      </c>
      <c r="AI335" s="27">
        <v>398000</v>
      </c>
      <c r="AJ335" s="30">
        <v>0</v>
      </c>
      <c r="AK335" s="30">
        <f>Table13[[#This Row],[Year 1]]</f>
        <v>398000</v>
      </c>
      <c r="AL335" s="30">
        <f>Table13[[#This Row],[Year 2]]</f>
        <v>398000</v>
      </c>
      <c r="AM335" s="30">
        <f>Table13[[#This Row],[Year 3]]</f>
        <v>0</v>
      </c>
      <c r="AN335" s="1">
        <v>3</v>
      </c>
    </row>
    <row r="336" spans="1:40" hidden="1" x14ac:dyDescent="0.25">
      <c r="A336" s="1" t="s">
        <v>48</v>
      </c>
      <c r="B336" s="1" t="s">
        <v>2247</v>
      </c>
      <c r="C336" s="1" t="s">
        <v>50</v>
      </c>
      <c r="D336" s="1" t="s">
        <v>2944</v>
      </c>
      <c r="E336" s="1" t="s">
        <v>2945</v>
      </c>
      <c r="F336" s="22" t="s">
        <v>3</v>
      </c>
      <c r="G336" s="1" t="s">
        <v>6085</v>
      </c>
      <c r="H336" s="1" t="s">
        <v>6</v>
      </c>
      <c r="I336" s="1" t="s">
        <v>21</v>
      </c>
      <c r="J336" s="1" t="s">
        <v>26</v>
      </c>
      <c r="K336" s="1" t="s">
        <v>9</v>
      </c>
      <c r="L336" s="1" t="s">
        <v>53</v>
      </c>
      <c r="M336" s="11" t="s">
        <v>188</v>
      </c>
      <c r="N336" s="1" t="s">
        <v>6037</v>
      </c>
      <c r="O336" s="1" t="s">
        <v>14</v>
      </c>
      <c r="P336" s="1" t="s">
        <v>4307</v>
      </c>
      <c r="Q336" s="1" t="s">
        <v>5731</v>
      </c>
      <c r="R336" s="1" t="s">
        <v>4308</v>
      </c>
      <c r="S336" s="1" t="s">
        <v>6151</v>
      </c>
      <c r="T336" s="1" t="s">
        <v>6147</v>
      </c>
      <c r="U336" s="1" t="s">
        <v>6151</v>
      </c>
      <c r="V336" s="1" t="s">
        <v>6185</v>
      </c>
      <c r="W336" s="27">
        <v>82.142857142857139</v>
      </c>
      <c r="X336" s="27">
        <v>75</v>
      </c>
      <c r="Y336" s="33">
        <f>AVERAGE(Table13[[#This Row],[Score 1]],Table13[[#This Row],[Score 2]])</f>
        <v>78.571428571428569</v>
      </c>
      <c r="Z336" s="1">
        <v>4</v>
      </c>
      <c r="AA336" s="1">
        <v>3</v>
      </c>
      <c r="AB336" s="22">
        <f>Table13[[#This Row],[Rank 1]]+Table13[[#This Row],[Rank 2]]</f>
        <v>7</v>
      </c>
      <c r="AC336" s="1" t="str">
        <f>IF(AND(Table13[[#This Row],[Average score]]&gt;75,Table13[[#This Row],[Total rank]]&gt;6.5),"Yes","No")</f>
        <v>Yes</v>
      </c>
      <c r="AD336" s="1" t="str">
        <f>IF(AND(Table13[[#This Row],[Average score]]&gt;80,Table13[[#This Row],[Total rank]]&gt;7.5),"Yes","No")</f>
        <v>No</v>
      </c>
      <c r="AF336" s="8">
        <v>46036</v>
      </c>
      <c r="AG336" s="1">
        <v>1</v>
      </c>
      <c r="AH336" s="27">
        <v>212500</v>
      </c>
      <c r="AI336" s="30">
        <v>0</v>
      </c>
      <c r="AJ336" s="30">
        <v>0</v>
      </c>
      <c r="AK336" s="30">
        <f>Table13[[#This Row],[Year 1]]</f>
        <v>212500</v>
      </c>
      <c r="AL336" s="30">
        <f>Table13[[#This Row],[Year 2]]</f>
        <v>0</v>
      </c>
      <c r="AM336" s="30">
        <f>Table13[[#This Row],[Year 3]]</f>
        <v>0</v>
      </c>
      <c r="AN336" s="1">
        <v>3</v>
      </c>
    </row>
    <row r="337" spans="1:40" hidden="1" x14ac:dyDescent="0.25">
      <c r="A337" s="1" t="s">
        <v>48</v>
      </c>
      <c r="B337" s="2" t="s">
        <v>2248</v>
      </c>
      <c r="C337" s="1" t="s">
        <v>50</v>
      </c>
      <c r="D337" s="1" t="s">
        <v>2946</v>
      </c>
      <c r="E337" s="1" t="s">
        <v>2947</v>
      </c>
      <c r="F337" s="22" t="s">
        <v>3</v>
      </c>
      <c r="G337" s="1" t="s">
        <v>6085</v>
      </c>
      <c r="H337" s="1" t="s">
        <v>5</v>
      </c>
      <c r="I337" s="1" t="s">
        <v>20</v>
      </c>
      <c r="J337" s="1" t="s">
        <v>25</v>
      </c>
      <c r="K337" s="1" t="s">
        <v>9</v>
      </c>
      <c r="L337" s="1" t="s">
        <v>53</v>
      </c>
      <c r="M337" s="11" t="s">
        <v>2091</v>
      </c>
      <c r="N337" s="1" t="s">
        <v>6037</v>
      </c>
      <c r="O337" s="1" t="s">
        <v>13</v>
      </c>
      <c r="P337" s="1" t="s">
        <v>593</v>
      </c>
      <c r="Q337" s="1" t="s">
        <v>5732</v>
      </c>
      <c r="R337" s="1" t="s">
        <v>4310</v>
      </c>
      <c r="S337" s="1" t="s">
        <v>6066</v>
      </c>
      <c r="T337" s="1" t="s">
        <v>6067</v>
      </c>
      <c r="U337" s="1" t="s">
        <v>6103</v>
      </c>
      <c r="V337" s="1" t="s">
        <v>6198</v>
      </c>
      <c r="W337" s="27">
        <v>71.428571428571431</v>
      </c>
      <c r="X337" s="29">
        <f>Table13[[#This Row],[Score 1]]</f>
        <v>71.428571428571431</v>
      </c>
      <c r="Y337" s="33">
        <f>AVERAGE(Table13[[#This Row],[Score 1]],Table13[[#This Row],[Score 2]])</f>
        <v>71.428571428571431</v>
      </c>
      <c r="Z337" s="1">
        <v>4</v>
      </c>
      <c r="AA337" s="2">
        <f>Table13[[#This Row],[Rank 1]]</f>
        <v>4</v>
      </c>
      <c r="AB337" s="22">
        <f>Table13[[#This Row],[Rank 1]]+Table13[[#This Row],[Rank 2]]</f>
        <v>8</v>
      </c>
      <c r="AC337" s="1" t="str">
        <f>IF(AND(Table13[[#This Row],[Average score]]&gt;75,Table13[[#This Row],[Total rank]]&gt;6.5),"Yes","No")</f>
        <v>No</v>
      </c>
      <c r="AD337" s="1" t="str">
        <f>IF(AND(Table13[[#This Row],[Average score]]&gt;80,Table13[[#This Row],[Total rank]]&gt;7.5),"Yes","No")</f>
        <v>No</v>
      </c>
      <c r="AF337" s="8">
        <v>46052</v>
      </c>
      <c r="AG337" s="1">
        <v>3</v>
      </c>
      <c r="AH337" s="27">
        <v>229000</v>
      </c>
      <c r="AI337" s="27">
        <v>231500</v>
      </c>
      <c r="AJ337" s="27">
        <v>234250</v>
      </c>
      <c r="AK337" s="27">
        <f>Table13[[#This Row],[Year 1]]</f>
        <v>229000</v>
      </c>
      <c r="AL337" s="27">
        <f>Table13[[#This Row],[Year 2]]</f>
        <v>231500</v>
      </c>
      <c r="AM337" s="27">
        <f>Table13[[#This Row],[Year 3]]</f>
        <v>234250</v>
      </c>
      <c r="AN337" s="1">
        <v>3</v>
      </c>
    </row>
    <row r="338" spans="1:40" hidden="1" x14ac:dyDescent="0.25">
      <c r="A338" s="1" t="s">
        <v>48</v>
      </c>
      <c r="B338" s="1" t="s">
        <v>2249</v>
      </c>
      <c r="C338" s="1" t="s">
        <v>50</v>
      </c>
      <c r="D338" s="1" t="s">
        <v>2948</v>
      </c>
      <c r="E338" s="1" t="s">
        <v>2949</v>
      </c>
      <c r="F338" s="22" t="s">
        <v>3</v>
      </c>
      <c r="G338" s="1" t="s">
        <v>6085</v>
      </c>
      <c r="H338" s="1" t="s">
        <v>5</v>
      </c>
      <c r="I338" s="1" t="s">
        <v>24</v>
      </c>
      <c r="J338" s="1" t="s">
        <v>27</v>
      </c>
      <c r="K338" s="1" t="s">
        <v>9</v>
      </c>
      <c r="L338" s="1" t="s">
        <v>53</v>
      </c>
      <c r="M338" s="11" t="s">
        <v>188</v>
      </c>
      <c r="N338" s="1" t="s">
        <v>6037</v>
      </c>
      <c r="O338" s="1" t="s">
        <v>13</v>
      </c>
      <c r="P338" s="1" t="s">
        <v>247</v>
      </c>
      <c r="Q338" s="1" t="s">
        <v>5733</v>
      </c>
      <c r="R338" s="1" t="s">
        <v>4314</v>
      </c>
      <c r="S338" s="1" t="s">
        <v>6070</v>
      </c>
      <c r="T338" s="1" t="s">
        <v>6071</v>
      </c>
      <c r="U338" s="1" t="s">
        <v>6088</v>
      </c>
      <c r="V338" s="1" t="s">
        <v>6171</v>
      </c>
      <c r="W338" s="27">
        <v>75</v>
      </c>
      <c r="X338" s="27">
        <v>82.142857142857139</v>
      </c>
      <c r="Y338" s="33">
        <f>AVERAGE(Table13[[#This Row],[Score 1]],Table13[[#This Row],[Score 2]])</f>
        <v>78.571428571428569</v>
      </c>
      <c r="Z338" s="1">
        <v>3</v>
      </c>
      <c r="AA338" s="1">
        <v>4</v>
      </c>
      <c r="AB338" s="22">
        <f>Table13[[#This Row],[Rank 1]]+Table13[[#This Row],[Rank 2]]</f>
        <v>7</v>
      </c>
      <c r="AC338" s="1" t="str">
        <f>IF(AND(Table13[[#This Row],[Average score]]&gt;75,Table13[[#This Row],[Total rank]]&gt;6.5),"Yes","No")</f>
        <v>Yes</v>
      </c>
      <c r="AD338" s="1" t="str">
        <f>IF(AND(Table13[[#This Row],[Average score]]&gt;80,Table13[[#This Row],[Total rank]]&gt;7.5),"Yes","No")</f>
        <v>No</v>
      </c>
      <c r="AF338" s="8">
        <v>45668</v>
      </c>
      <c r="AG338" s="1">
        <v>2</v>
      </c>
      <c r="AH338" s="27">
        <v>143835</v>
      </c>
      <c r="AI338" s="27">
        <v>68482</v>
      </c>
      <c r="AJ338" s="30">
        <v>0</v>
      </c>
      <c r="AK338" s="30">
        <f>Table13[[#This Row],[Year 1]]</f>
        <v>143835</v>
      </c>
      <c r="AL338" s="30">
        <f>Table13[[#This Row],[Year 2]]</f>
        <v>68482</v>
      </c>
      <c r="AM338" s="30">
        <f>Table13[[#This Row],[Year 3]]</f>
        <v>0</v>
      </c>
      <c r="AN338" s="1">
        <v>3</v>
      </c>
    </row>
    <row r="339" spans="1:40" hidden="1" x14ac:dyDescent="0.25">
      <c r="A339" s="1" t="s">
        <v>48</v>
      </c>
      <c r="B339" s="1" t="s">
        <v>2252</v>
      </c>
      <c r="C339" s="1" t="s">
        <v>50</v>
      </c>
      <c r="D339" s="1" t="s">
        <v>2954</v>
      </c>
      <c r="E339" s="1" t="s">
        <v>2955</v>
      </c>
      <c r="F339" s="22" t="s">
        <v>3</v>
      </c>
      <c r="G339" s="1" t="s">
        <v>6085</v>
      </c>
      <c r="H339" s="1" t="s">
        <v>5</v>
      </c>
      <c r="I339" s="1" t="s">
        <v>20</v>
      </c>
      <c r="J339" s="1" t="s">
        <v>25</v>
      </c>
      <c r="K339" s="1" t="s">
        <v>9</v>
      </c>
      <c r="L339" s="1" t="s">
        <v>53</v>
      </c>
      <c r="M339" s="11" t="s">
        <v>188</v>
      </c>
      <c r="N339" s="1" t="s">
        <v>6037</v>
      </c>
      <c r="O339" s="1" t="s">
        <v>14</v>
      </c>
      <c r="P339" s="1" t="s">
        <v>4321</v>
      </c>
      <c r="Q339" s="1" t="s">
        <v>5736</v>
      </c>
      <c r="R339" s="1" t="s">
        <v>4322</v>
      </c>
      <c r="S339" s="1" t="s">
        <v>6151</v>
      </c>
      <c r="T339" s="1" t="s">
        <v>6147</v>
      </c>
      <c r="U339" s="1" t="s">
        <v>6151</v>
      </c>
      <c r="V339" s="1" t="s">
        <v>6185</v>
      </c>
      <c r="W339" s="27">
        <v>85.714285714285708</v>
      </c>
      <c r="X339" s="27">
        <v>92.857142857142861</v>
      </c>
      <c r="Y339" s="33">
        <f>AVERAGE(Table13[[#This Row],[Score 1]],Table13[[#This Row],[Score 2]])</f>
        <v>89.285714285714278</v>
      </c>
      <c r="Z339" s="1">
        <v>4</v>
      </c>
      <c r="AA339" s="1">
        <v>5</v>
      </c>
      <c r="AB339" s="22">
        <f>Table13[[#This Row],[Rank 1]]+Table13[[#This Row],[Rank 2]]</f>
        <v>9</v>
      </c>
      <c r="AC339" s="1" t="str">
        <f>IF(AND(Table13[[#This Row],[Average score]]&gt;75,Table13[[#This Row],[Total rank]]&gt;6.5),"Yes","No")</f>
        <v>Yes</v>
      </c>
      <c r="AD339" s="1" t="str">
        <f>IF(AND(Table13[[#This Row],[Average score]]&gt;80,Table13[[#This Row],[Total rank]]&gt;7.5),"Yes","No")</f>
        <v>Yes</v>
      </c>
      <c r="AF339" s="8">
        <v>46055</v>
      </c>
      <c r="AG339" s="1">
        <v>3</v>
      </c>
      <c r="AH339" s="27">
        <v>184536</v>
      </c>
      <c r="AI339" s="27">
        <v>248553</v>
      </c>
      <c r="AJ339" s="27">
        <v>275582</v>
      </c>
      <c r="AK339" s="27">
        <f>Table13[[#This Row],[Year 1]]</f>
        <v>184536</v>
      </c>
      <c r="AL339" s="27">
        <f>Table13[[#This Row],[Year 2]]</f>
        <v>248553</v>
      </c>
      <c r="AM339" s="27">
        <f>Table13[[#This Row],[Year 3]]</f>
        <v>275582</v>
      </c>
      <c r="AN339" s="1">
        <v>3</v>
      </c>
    </row>
    <row r="340" spans="1:40" hidden="1" x14ac:dyDescent="0.25">
      <c r="A340" s="1" t="s">
        <v>48</v>
      </c>
      <c r="B340" s="1" t="s">
        <v>2254</v>
      </c>
      <c r="C340" s="1" t="s">
        <v>50</v>
      </c>
      <c r="D340" s="1" t="s">
        <v>2958</v>
      </c>
      <c r="E340" s="1" t="s">
        <v>2959</v>
      </c>
      <c r="F340" s="22" t="s">
        <v>3</v>
      </c>
      <c r="G340" s="1" t="s">
        <v>6085</v>
      </c>
      <c r="H340" s="1" t="s">
        <v>6</v>
      </c>
      <c r="I340" s="1" t="s">
        <v>20</v>
      </c>
      <c r="J340" s="1" t="s">
        <v>25</v>
      </c>
      <c r="K340" s="1" t="s">
        <v>9</v>
      </c>
      <c r="L340" s="1" t="s">
        <v>53</v>
      </c>
      <c r="M340" s="11" t="s">
        <v>188</v>
      </c>
      <c r="N340" s="1" t="s">
        <v>6037</v>
      </c>
      <c r="O340" s="1" t="s">
        <v>14</v>
      </c>
      <c r="P340" s="1" t="s">
        <v>247</v>
      </c>
      <c r="Q340" s="1" t="s">
        <v>5737</v>
      </c>
      <c r="R340" s="1" t="s">
        <v>4328</v>
      </c>
      <c r="S340" s="1" t="s">
        <v>6151</v>
      </c>
      <c r="T340" s="1" t="s">
        <v>6147</v>
      </c>
      <c r="U340" s="1" t="s">
        <v>6151</v>
      </c>
      <c r="V340" s="1" t="s">
        <v>6185</v>
      </c>
      <c r="W340" s="27">
        <v>82.142857142857139</v>
      </c>
      <c r="X340" s="27">
        <v>82.142857142857139</v>
      </c>
      <c r="Y340" s="33">
        <f>AVERAGE(Table13[[#This Row],[Score 1]],Table13[[#This Row],[Score 2]])</f>
        <v>82.142857142857139</v>
      </c>
      <c r="Z340" s="1">
        <v>4</v>
      </c>
      <c r="AA340" s="1">
        <v>4</v>
      </c>
      <c r="AB340" s="22">
        <f>Table13[[#This Row],[Rank 1]]+Table13[[#This Row],[Rank 2]]</f>
        <v>8</v>
      </c>
      <c r="AC340" s="1" t="str">
        <f>IF(AND(Table13[[#This Row],[Average score]]&gt;75,Table13[[#This Row],[Total rank]]&gt;6.5),"Yes","No")</f>
        <v>Yes</v>
      </c>
      <c r="AD340" s="1" t="str">
        <f>IF(AND(Table13[[#This Row],[Average score]]&gt;80,Table13[[#This Row],[Total rank]]&gt;7.5),"Yes","No")</f>
        <v>Yes</v>
      </c>
      <c r="AF340" s="8">
        <v>46068</v>
      </c>
      <c r="AG340" s="1">
        <v>2</v>
      </c>
      <c r="AH340" s="27">
        <v>28850</v>
      </c>
      <c r="AI340" s="27">
        <v>28850</v>
      </c>
      <c r="AJ340" s="30">
        <v>0</v>
      </c>
      <c r="AK340" s="30">
        <f>Table13[[#This Row],[Year 1]]</f>
        <v>28850</v>
      </c>
      <c r="AL340" s="30">
        <f>Table13[[#This Row],[Year 2]]</f>
        <v>28850</v>
      </c>
      <c r="AM340" s="30">
        <f>Table13[[#This Row],[Year 3]]</f>
        <v>0</v>
      </c>
      <c r="AN340" s="1">
        <v>3</v>
      </c>
    </row>
    <row r="341" spans="1:40" hidden="1" x14ac:dyDescent="0.25">
      <c r="A341" s="1" t="s">
        <v>48</v>
      </c>
      <c r="B341" s="1" t="s">
        <v>2255</v>
      </c>
      <c r="C341" s="1" t="s">
        <v>50</v>
      </c>
      <c r="D341" s="1" t="s">
        <v>2960</v>
      </c>
      <c r="E341" s="1" t="s">
        <v>2961</v>
      </c>
      <c r="F341" s="22" t="s">
        <v>3</v>
      </c>
      <c r="G341" s="1" t="s">
        <v>6085</v>
      </c>
      <c r="H341" s="1" t="s">
        <v>6</v>
      </c>
      <c r="I341" s="1" t="s">
        <v>20</v>
      </c>
      <c r="J341" s="1" t="s">
        <v>26</v>
      </c>
      <c r="K341" s="1" t="s">
        <v>9</v>
      </c>
      <c r="L341" s="1" t="s">
        <v>53</v>
      </c>
      <c r="M341" s="11" t="s">
        <v>188</v>
      </c>
      <c r="N341" s="1" t="s">
        <v>6037</v>
      </c>
      <c r="O341" s="1" t="s">
        <v>19</v>
      </c>
      <c r="P341" s="1" t="s">
        <v>707</v>
      </c>
      <c r="Q341" s="1" t="s">
        <v>5738</v>
      </c>
      <c r="R341" s="1" t="s">
        <v>4330</v>
      </c>
      <c r="S341" s="1" t="s">
        <v>6151</v>
      </c>
      <c r="T341" s="1" t="s">
        <v>6147</v>
      </c>
      <c r="U341" s="1" t="s">
        <v>6151</v>
      </c>
      <c r="V341" s="1" t="s">
        <v>6185</v>
      </c>
      <c r="W341" s="27">
        <v>60.714285714285708</v>
      </c>
      <c r="X341" s="27">
        <v>57.142857142857139</v>
      </c>
      <c r="Y341" s="33">
        <f>AVERAGE(Table13[[#This Row],[Score 1]],Table13[[#This Row],[Score 2]])</f>
        <v>58.928571428571423</v>
      </c>
      <c r="Z341" s="1">
        <v>2</v>
      </c>
      <c r="AA341" s="1">
        <v>2</v>
      </c>
      <c r="AB341" s="22">
        <f>Table13[[#This Row],[Rank 1]]+Table13[[#This Row],[Rank 2]]</f>
        <v>4</v>
      </c>
      <c r="AC341" s="1" t="str">
        <f>IF(AND(Table13[[#This Row],[Average score]]&gt;75,Table13[[#This Row],[Total rank]]&gt;6.5),"Yes","No")</f>
        <v>No</v>
      </c>
      <c r="AD341" s="1" t="str">
        <f>IF(AND(Table13[[#This Row],[Average score]]&gt;80,Table13[[#This Row],[Total rank]]&gt;7.5),"Yes","No")</f>
        <v>No</v>
      </c>
      <c r="AF341" s="8">
        <v>46054</v>
      </c>
      <c r="AG341" s="1">
        <v>2</v>
      </c>
      <c r="AH341" s="27">
        <v>71000</v>
      </c>
      <c r="AI341" s="27">
        <v>71000</v>
      </c>
      <c r="AJ341" s="30">
        <v>0</v>
      </c>
      <c r="AK341" s="30">
        <f>Table13[[#This Row],[Year 1]]</f>
        <v>71000</v>
      </c>
      <c r="AL341" s="30">
        <f>Table13[[#This Row],[Year 2]]</f>
        <v>71000</v>
      </c>
      <c r="AM341" s="30">
        <f>Table13[[#This Row],[Year 3]]</f>
        <v>0</v>
      </c>
      <c r="AN341" s="1">
        <v>3</v>
      </c>
    </row>
    <row r="342" spans="1:40" x14ac:dyDescent="0.25">
      <c r="A342" s="1" t="s">
        <v>48</v>
      </c>
      <c r="B342" s="1" t="s">
        <v>2256</v>
      </c>
      <c r="C342" s="1" t="s">
        <v>50</v>
      </c>
      <c r="D342" s="1" t="s">
        <v>2962</v>
      </c>
      <c r="E342" s="1" t="s">
        <v>2963</v>
      </c>
      <c r="F342" s="22" t="s">
        <v>3</v>
      </c>
      <c r="G342" s="1" t="s">
        <v>6085</v>
      </c>
      <c r="H342" s="1" t="s">
        <v>6</v>
      </c>
      <c r="I342" s="1" t="s">
        <v>20</v>
      </c>
      <c r="J342" s="1" t="s">
        <v>26</v>
      </c>
      <c r="K342" s="1" t="s">
        <v>9</v>
      </c>
      <c r="L342" s="1" t="s">
        <v>53</v>
      </c>
      <c r="M342" s="11" t="s">
        <v>188</v>
      </c>
      <c r="N342" s="1" t="s">
        <v>6037</v>
      </c>
      <c r="O342" s="1" t="s">
        <v>19</v>
      </c>
      <c r="P342" s="1" t="s">
        <v>656</v>
      </c>
      <c r="Q342" s="1" t="s">
        <v>5739</v>
      </c>
      <c r="R342" s="1" t="s">
        <v>4332</v>
      </c>
      <c r="S342" s="1" t="s">
        <v>6137</v>
      </c>
      <c r="T342" s="1" t="s">
        <v>6138</v>
      </c>
      <c r="U342" s="1" t="s">
        <v>6160</v>
      </c>
      <c r="V342" s="1" t="s">
        <v>6203</v>
      </c>
      <c r="W342" s="27">
        <v>100</v>
      </c>
      <c r="X342" s="27">
        <v>100</v>
      </c>
      <c r="Y342" s="33">
        <f>AVERAGE(Table13[[#This Row],[Score 1]],Table13[[#This Row],[Score 2]])</f>
        <v>100</v>
      </c>
      <c r="Z342" s="1">
        <v>5</v>
      </c>
      <c r="AA342" s="1">
        <v>5</v>
      </c>
      <c r="AB342" s="22">
        <f>Table13[[#This Row],[Rank 1]]+Table13[[#This Row],[Rank 2]]</f>
        <v>10</v>
      </c>
      <c r="AC342" s="1" t="str">
        <f>IF(AND(Table13[[#This Row],[Average score]]&gt;75,Table13[[#This Row],[Total rank]]&gt;6.5),"Yes","No")</f>
        <v>Yes</v>
      </c>
      <c r="AD342" s="1" t="str">
        <f>IF(AND(Table13[[#This Row],[Average score]]&gt;80,Table13[[#This Row],[Total rank]]&gt;7.5),"Yes","No")</f>
        <v>Yes</v>
      </c>
      <c r="AE342" s="1" t="s">
        <v>6221</v>
      </c>
      <c r="AF342" s="8">
        <v>46055</v>
      </c>
      <c r="AG342" s="1">
        <v>2</v>
      </c>
      <c r="AH342" s="27">
        <v>240000</v>
      </c>
      <c r="AI342" s="27">
        <v>240000</v>
      </c>
      <c r="AJ342" s="30">
        <v>0</v>
      </c>
      <c r="AK342" s="30">
        <f>Table13[[#This Row],[Year 1]]</f>
        <v>240000</v>
      </c>
      <c r="AL342" s="30">
        <f>Table13[[#This Row],[Year 2]]</f>
        <v>240000</v>
      </c>
      <c r="AM342" s="30">
        <f>Table13[[#This Row],[Year 3]]</f>
        <v>0</v>
      </c>
      <c r="AN342" s="1">
        <v>3</v>
      </c>
    </row>
    <row r="343" spans="1:40" hidden="1" x14ac:dyDescent="0.25">
      <c r="A343" s="1" t="s">
        <v>48</v>
      </c>
      <c r="B343" s="10" t="s">
        <v>2258</v>
      </c>
      <c r="C343" s="1" t="s">
        <v>50</v>
      </c>
      <c r="D343" s="1" t="s">
        <v>2966</v>
      </c>
      <c r="E343" s="1" t="s">
        <v>2967</v>
      </c>
      <c r="F343" s="22" t="s">
        <v>3</v>
      </c>
      <c r="G343" s="1" t="s">
        <v>6085</v>
      </c>
      <c r="H343" s="1" t="s">
        <v>5</v>
      </c>
      <c r="I343" s="1" t="s">
        <v>20</v>
      </c>
      <c r="J343" s="1" t="s">
        <v>25</v>
      </c>
      <c r="K343" s="1" t="s">
        <v>9</v>
      </c>
      <c r="L343" s="1" t="s">
        <v>53</v>
      </c>
      <c r="M343" s="11" t="s">
        <v>188</v>
      </c>
      <c r="N343" s="1" t="s">
        <v>6037</v>
      </c>
      <c r="O343" s="1" t="s">
        <v>13</v>
      </c>
      <c r="P343" s="1" t="s">
        <v>126</v>
      </c>
      <c r="Q343" s="1" t="s">
        <v>5741</v>
      </c>
      <c r="R343" s="1" t="s">
        <v>4336</v>
      </c>
      <c r="S343" s="1" t="s">
        <v>6079</v>
      </c>
      <c r="T343" s="1" t="s">
        <v>6080</v>
      </c>
      <c r="U343" s="1" t="s">
        <v>6089</v>
      </c>
      <c r="V343" s="1" t="s">
        <v>6172</v>
      </c>
      <c r="W343" s="27">
        <v>75</v>
      </c>
      <c r="X343" s="27">
        <v>50</v>
      </c>
      <c r="Y343" s="33">
        <f>AVERAGE(Table13[[#This Row],[Score 1]],Table13[[#This Row],[Score 2]])</f>
        <v>62.5</v>
      </c>
      <c r="Z343" s="1">
        <v>3</v>
      </c>
      <c r="AA343" s="1">
        <v>2</v>
      </c>
      <c r="AB343" s="22">
        <f>Table13[[#This Row],[Rank 1]]+Table13[[#This Row],[Rank 2]]</f>
        <v>5</v>
      </c>
      <c r="AC343" s="1" t="str">
        <f>IF(AND(Table13[[#This Row],[Average score]]&gt;75,Table13[[#This Row],[Total rank]]&gt;6.5),"Yes","No")</f>
        <v>No</v>
      </c>
      <c r="AD343" s="1" t="str">
        <f>IF(AND(Table13[[#This Row],[Average score]]&gt;80,Table13[[#This Row],[Total rank]]&gt;7.5),"Yes","No")</f>
        <v>No</v>
      </c>
      <c r="AF343" s="8">
        <v>46034</v>
      </c>
      <c r="AG343" s="1">
        <v>3</v>
      </c>
      <c r="AH343" s="27">
        <v>281170</v>
      </c>
      <c r="AI343" s="27">
        <v>273520</v>
      </c>
      <c r="AJ343" s="27">
        <v>286961.59999999998</v>
      </c>
      <c r="AK343" s="27">
        <f>Table13[[#This Row],[Year 1]]</f>
        <v>281170</v>
      </c>
      <c r="AL343" s="27">
        <f>Table13[[#This Row],[Year 2]]</f>
        <v>273520</v>
      </c>
      <c r="AM343" s="27">
        <f>Table13[[#This Row],[Year 3]]</f>
        <v>286961.59999999998</v>
      </c>
      <c r="AN343" s="1">
        <v>3</v>
      </c>
    </row>
    <row r="344" spans="1:40" hidden="1" x14ac:dyDescent="0.25">
      <c r="A344" s="1" t="s">
        <v>48</v>
      </c>
      <c r="B344" s="10" t="s">
        <v>2259</v>
      </c>
      <c r="C344" s="1" t="s">
        <v>50</v>
      </c>
      <c r="D344" s="2" t="s">
        <v>2968</v>
      </c>
      <c r="E344" s="1" t="s">
        <v>2969</v>
      </c>
      <c r="F344" s="22" t="s">
        <v>3</v>
      </c>
      <c r="G344" s="1" t="s">
        <v>6085</v>
      </c>
      <c r="H344" s="2" t="s">
        <v>6</v>
      </c>
      <c r="I344" s="2" t="s">
        <v>20</v>
      </c>
      <c r="J344" s="2" t="s">
        <v>26</v>
      </c>
      <c r="K344" s="2" t="s">
        <v>9</v>
      </c>
      <c r="L344" s="2" t="s">
        <v>53</v>
      </c>
      <c r="M344" s="2" t="s">
        <v>6038</v>
      </c>
      <c r="N344" s="1" t="s">
        <v>6037</v>
      </c>
      <c r="O344" s="2" t="s">
        <v>11</v>
      </c>
      <c r="P344" s="2" t="s">
        <v>4340</v>
      </c>
      <c r="Q344" s="2" t="s">
        <v>5742</v>
      </c>
      <c r="R344" s="2" t="s">
        <v>4341</v>
      </c>
      <c r="S344" s="1" t="s">
        <v>6055</v>
      </c>
      <c r="T344" s="1" t="s">
        <v>6056</v>
      </c>
      <c r="U344" s="1" t="s">
        <v>6105</v>
      </c>
      <c r="V344" s="1" t="s">
        <v>6199</v>
      </c>
      <c r="W344" s="27">
        <v>75</v>
      </c>
      <c r="X344" s="27">
        <v>57.142857142857139</v>
      </c>
      <c r="Y344" s="33">
        <f>AVERAGE(Table13[[#This Row],[Score 1]],Table13[[#This Row],[Score 2]])</f>
        <v>66.071428571428569</v>
      </c>
      <c r="Z344" s="1">
        <v>3</v>
      </c>
      <c r="AA344" s="1">
        <v>1</v>
      </c>
      <c r="AB344" s="22">
        <f>Table13[[#This Row],[Rank 1]]+Table13[[#This Row],[Rank 2]]</f>
        <v>4</v>
      </c>
      <c r="AC344" s="1" t="str">
        <f>IF(AND(Table13[[#This Row],[Average score]]&gt;75,Table13[[#This Row],[Total rank]]&gt;6.5),"Yes","No")</f>
        <v>No</v>
      </c>
      <c r="AD344" s="1" t="str">
        <f>IF(AND(Table13[[#This Row],[Average score]]&gt;80,Table13[[#This Row],[Total rank]]&gt;7.5),"Yes","No")</f>
        <v>No</v>
      </c>
      <c r="AF344" s="9">
        <v>46055</v>
      </c>
      <c r="AG344" s="2">
        <v>2</v>
      </c>
      <c r="AH344" s="29">
        <v>172000</v>
      </c>
      <c r="AI344" s="29">
        <v>172000</v>
      </c>
      <c r="AJ344" s="30">
        <v>0</v>
      </c>
      <c r="AK344" s="30">
        <f>Table13[[#This Row],[Year 1]]</f>
        <v>172000</v>
      </c>
      <c r="AL344" s="30">
        <f>Table13[[#This Row],[Year 2]]</f>
        <v>172000</v>
      </c>
      <c r="AM344" s="30">
        <f>Table13[[#This Row],[Year 3]]</f>
        <v>0</v>
      </c>
      <c r="AN344" s="2">
        <v>1</v>
      </c>
    </row>
    <row r="345" spans="1:40" hidden="1" x14ac:dyDescent="0.25">
      <c r="A345" s="1" t="s">
        <v>48</v>
      </c>
      <c r="B345" s="1" t="s">
        <v>2260</v>
      </c>
      <c r="C345" s="1" t="s">
        <v>50</v>
      </c>
      <c r="D345" s="1" t="s">
        <v>2970</v>
      </c>
      <c r="E345" s="1" t="s">
        <v>2971</v>
      </c>
      <c r="F345" s="22" t="s">
        <v>3</v>
      </c>
      <c r="G345" s="1" t="s">
        <v>6085</v>
      </c>
      <c r="H345" s="1" t="s">
        <v>6</v>
      </c>
      <c r="I345" s="1" t="s">
        <v>20</v>
      </c>
      <c r="J345" s="1" t="s">
        <v>25</v>
      </c>
      <c r="K345" s="1" t="s">
        <v>9</v>
      </c>
      <c r="L345" s="1" t="s">
        <v>53</v>
      </c>
      <c r="M345" s="11" t="s">
        <v>188</v>
      </c>
      <c r="N345" s="1" t="s">
        <v>6037</v>
      </c>
      <c r="O345" s="1" t="s">
        <v>14</v>
      </c>
      <c r="P345" s="1" t="s">
        <v>1456</v>
      </c>
      <c r="Q345" s="1" t="s">
        <v>5743</v>
      </c>
      <c r="R345" s="1" t="s">
        <v>4342</v>
      </c>
      <c r="S345" s="1" t="s">
        <v>6139</v>
      </c>
      <c r="T345" s="1" t="s">
        <v>6140</v>
      </c>
      <c r="U345" s="1" t="s">
        <v>6162</v>
      </c>
      <c r="V345" s="1" t="s">
        <v>6187</v>
      </c>
      <c r="W345" s="27">
        <v>75</v>
      </c>
      <c r="X345" s="27">
        <v>85.714285714285708</v>
      </c>
      <c r="Y345" s="33">
        <f>AVERAGE(Table13[[#This Row],[Score 1]],Table13[[#This Row],[Score 2]])</f>
        <v>80.357142857142861</v>
      </c>
      <c r="Z345" s="1">
        <v>3</v>
      </c>
      <c r="AA345" s="1">
        <v>5</v>
      </c>
      <c r="AB345" s="22">
        <f>Table13[[#This Row],[Rank 1]]+Table13[[#This Row],[Rank 2]]</f>
        <v>8</v>
      </c>
      <c r="AC345" s="1" t="str">
        <f>IF(AND(Table13[[#This Row],[Average score]]&gt;75,Table13[[#This Row],[Total rank]]&gt;6.5),"Yes","No")</f>
        <v>Yes</v>
      </c>
      <c r="AD345" s="1" t="str">
        <f>IF(AND(Table13[[#This Row],[Average score]]&gt;80,Table13[[#This Row],[Total rank]]&gt;7.5),"Yes","No")</f>
        <v>Yes</v>
      </c>
      <c r="AF345" s="8">
        <v>46054</v>
      </c>
      <c r="AG345" s="1">
        <v>2</v>
      </c>
      <c r="AH345" s="27">
        <v>227000</v>
      </c>
      <c r="AI345" s="27">
        <v>259000</v>
      </c>
      <c r="AJ345" s="30">
        <v>0</v>
      </c>
      <c r="AK345" s="30">
        <f>Table13[[#This Row],[Year 1]]</f>
        <v>227000</v>
      </c>
      <c r="AL345" s="30">
        <f>Table13[[#This Row],[Year 2]]</f>
        <v>259000</v>
      </c>
      <c r="AM345" s="30">
        <f>Table13[[#This Row],[Year 3]]</f>
        <v>0</v>
      </c>
      <c r="AN345" s="1">
        <v>3</v>
      </c>
    </row>
    <row r="346" spans="1:40" hidden="1" x14ac:dyDescent="0.25">
      <c r="A346" s="1" t="s">
        <v>48</v>
      </c>
      <c r="B346" s="1" t="s">
        <v>2261</v>
      </c>
      <c r="C346" s="1" t="s">
        <v>50</v>
      </c>
      <c r="D346" s="1" t="s">
        <v>2972</v>
      </c>
      <c r="E346" s="1" t="s">
        <v>2973</v>
      </c>
      <c r="F346" s="22" t="s">
        <v>3</v>
      </c>
      <c r="G346" s="1" t="s">
        <v>6085</v>
      </c>
      <c r="H346" s="1" t="s">
        <v>7</v>
      </c>
      <c r="I346" s="1" t="s">
        <v>24</v>
      </c>
      <c r="J346" s="1" t="s">
        <v>25</v>
      </c>
      <c r="K346" s="1" t="s">
        <v>9</v>
      </c>
      <c r="L346" s="1" t="s">
        <v>53</v>
      </c>
      <c r="M346" s="11" t="s">
        <v>188</v>
      </c>
      <c r="N346" s="1" t="s">
        <v>6037</v>
      </c>
      <c r="O346" s="1" t="s">
        <v>14</v>
      </c>
      <c r="P346" s="1" t="s">
        <v>60</v>
      </c>
      <c r="Q346" s="1" t="s">
        <v>5546</v>
      </c>
      <c r="R346" s="1" t="s">
        <v>4344</v>
      </c>
      <c r="S346" s="1" t="s">
        <v>6141</v>
      </c>
      <c r="T346" s="11" t="s">
        <v>6146</v>
      </c>
      <c r="U346" s="1" t="s">
        <v>6165</v>
      </c>
      <c r="V346" s="1" t="s">
        <v>6169</v>
      </c>
      <c r="W346" s="27">
        <v>75</v>
      </c>
      <c r="X346" s="27">
        <v>69.444444444444443</v>
      </c>
      <c r="Y346" s="33">
        <f>AVERAGE(Table13[[#This Row],[Score 1]],Table13[[#This Row],[Score 2]])</f>
        <v>72.222222222222229</v>
      </c>
      <c r="Z346" s="1">
        <v>4</v>
      </c>
      <c r="AA346" s="1">
        <v>3</v>
      </c>
      <c r="AB346" s="22">
        <f>Table13[[#This Row],[Rank 1]]+Table13[[#This Row],[Rank 2]]</f>
        <v>7</v>
      </c>
      <c r="AC346" s="1" t="str">
        <f>IF(AND(Table13[[#This Row],[Average score]]&gt;75,Table13[[#This Row],[Total rank]]&gt;6.5),"Yes","No")</f>
        <v>No</v>
      </c>
      <c r="AD346" s="1" t="str">
        <f>IF(AND(Table13[[#This Row],[Average score]]&gt;80,Table13[[#This Row],[Total rank]]&gt;7.5),"Yes","No")</f>
        <v>No</v>
      </c>
      <c r="AF346" s="8">
        <v>46113</v>
      </c>
      <c r="AG346" s="1">
        <v>2</v>
      </c>
      <c r="AH346" s="27">
        <v>394680</v>
      </c>
      <c r="AI346" s="27">
        <v>392493</v>
      </c>
      <c r="AJ346" s="30">
        <v>0</v>
      </c>
      <c r="AK346" s="30">
        <f>Table13[[#This Row],[Year 1]]</f>
        <v>394680</v>
      </c>
      <c r="AL346" s="30">
        <f>Table13[[#This Row],[Year 2]]</f>
        <v>392493</v>
      </c>
      <c r="AM346" s="30">
        <f>Table13[[#This Row],[Year 3]]</f>
        <v>0</v>
      </c>
      <c r="AN346" s="1">
        <v>3</v>
      </c>
    </row>
    <row r="347" spans="1:40" hidden="1" x14ac:dyDescent="0.25">
      <c r="A347" s="1" t="s">
        <v>48</v>
      </c>
      <c r="B347" s="1" t="s">
        <v>2263</v>
      </c>
      <c r="C347" s="1" t="s">
        <v>50</v>
      </c>
      <c r="D347" s="1" t="s">
        <v>2976</v>
      </c>
      <c r="E347" s="1" t="s">
        <v>2977</v>
      </c>
      <c r="F347" s="22" t="s">
        <v>3</v>
      </c>
      <c r="G347" s="1" t="s">
        <v>6085</v>
      </c>
      <c r="H347" s="1" t="s">
        <v>6</v>
      </c>
      <c r="I347" s="1" t="s">
        <v>20</v>
      </c>
      <c r="J347" s="1" t="s">
        <v>25</v>
      </c>
      <c r="K347" s="1" t="s">
        <v>9</v>
      </c>
      <c r="L347" s="1" t="s">
        <v>53</v>
      </c>
      <c r="M347" s="11" t="s">
        <v>188</v>
      </c>
      <c r="N347" s="1" t="s">
        <v>6037</v>
      </c>
      <c r="O347" s="1" t="s">
        <v>14</v>
      </c>
      <c r="P347" s="1" t="s">
        <v>4043</v>
      </c>
      <c r="Q347" s="1" t="s">
        <v>5745</v>
      </c>
      <c r="R347" s="1" t="s">
        <v>4349</v>
      </c>
      <c r="S347" s="1" t="s">
        <v>6150</v>
      </c>
      <c r="T347" s="1" t="s">
        <v>6147</v>
      </c>
      <c r="U347" s="1" t="s">
        <v>6158</v>
      </c>
      <c r="V347" s="1" t="s">
        <v>6185</v>
      </c>
      <c r="W347" s="27">
        <v>64.285714285714292</v>
      </c>
      <c r="X347" s="27">
        <v>60.714285714285708</v>
      </c>
      <c r="Y347" s="33">
        <f>AVERAGE(Table13[[#This Row],[Score 1]],Table13[[#This Row],[Score 2]])</f>
        <v>62.5</v>
      </c>
      <c r="Z347" s="1">
        <v>3</v>
      </c>
      <c r="AA347" s="1">
        <v>2</v>
      </c>
      <c r="AB347" s="22">
        <f>Table13[[#This Row],[Rank 1]]+Table13[[#This Row],[Rank 2]]</f>
        <v>5</v>
      </c>
      <c r="AC347" s="1" t="str">
        <f>IF(AND(Table13[[#This Row],[Average score]]&gt;75,Table13[[#This Row],[Total rank]]&gt;6.5),"Yes","No")</f>
        <v>No</v>
      </c>
      <c r="AD347" s="1" t="str">
        <f>IF(AND(Table13[[#This Row],[Average score]]&gt;80,Table13[[#This Row],[Total rank]]&gt;7.5),"Yes","No")</f>
        <v>No</v>
      </c>
      <c r="AF347" s="8">
        <v>45716</v>
      </c>
      <c r="AG347" s="1">
        <v>1</v>
      </c>
      <c r="AH347" s="27">
        <v>207194.9</v>
      </c>
      <c r="AI347" s="30">
        <v>0</v>
      </c>
      <c r="AJ347" s="30">
        <v>0</v>
      </c>
      <c r="AK347" s="30">
        <f>Table13[[#This Row],[Year 1]]</f>
        <v>207194.9</v>
      </c>
      <c r="AL347" s="30">
        <f>Table13[[#This Row],[Year 2]]</f>
        <v>0</v>
      </c>
      <c r="AM347" s="30">
        <f>Table13[[#This Row],[Year 3]]</f>
        <v>0</v>
      </c>
      <c r="AN347" s="1">
        <v>2</v>
      </c>
    </row>
    <row r="348" spans="1:40" x14ac:dyDescent="0.25">
      <c r="A348" s="1" t="s">
        <v>48</v>
      </c>
      <c r="B348" s="1" t="s">
        <v>2264</v>
      </c>
      <c r="C348" s="1" t="s">
        <v>50</v>
      </c>
      <c r="D348" s="1" t="s">
        <v>2978</v>
      </c>
      <c r="E348" s="1" t="s">
        <v>2979</v>
      </c>
      <c r="F348" s="22" t="s">
        <v>3</v>
      </c>
      <c r="G348" s="1" t="s">
        <v>6085</v>
      </c>
      <c r="H348" s="1" t="s">
        <v>7</v>
      </c>
      <c r="I348" s="1" t="s">
        <v>22</v>
      </c>
      <c r="J348" s="1" t="s">
        <v>25</v>
      </c>
      <c r="K348" s="1" t="s">
        <v>9</v>
      </c>
      <c r="L348" s="1" t="s">
        <v>53</v>
      </c>
      <c r="M348" s="11" t="s">
        <v>188</v>
      </c>
      <c r="N348" s="1" t="s">
        <v>6037</v>
      </c>
      <c r="O348" s="1" t="s">
        <v>13</v>
      </c>
      <c r="P348" s="1" t="s">
        <v>126</v>
      </c>
      <c r="Q348" s="1" t="s">
        <v>5746</v>
      </c>
      <c r="R348" s="1" t="s">
        <v>4351</v>
      </c>
      <c r="S348" s="1" t="s">
        <v>6070</v>
      </c>
      <c r="T348" s="1" t="s">
        <v>6071</v>
      </c>
      <c r="U348" s="1" t="s">
        <v>6088</v>
      </c>
      <c r="V348" s="1" t="s">
        <v>6171</v>
      </c>
      <c r="W348" s="27">
        <v>91.666666666666657</v>
      </c>
      <c r="X348" s="27">
        <v>91.666666666666657</v>
      </c>
      <c r="Y348" s="33">
        <f>AVERAGE(Table13[[#This Row],[Score 1]],Table13[[#This Row],[Score 2]])</f>
        <v>91.666666666666657</v>
      </c>
      <c r="Z348" s="1">
        <v>4</v>
      </c>
      <c r="AA348" s="1">
        <v>5</v>
      </c>
      <c r="AB348" s="22">
        <f>Table13[[#This Row],[Rank 1]]+Table13[[#This Row],[Rank 2]]</f>
        <v>9</v>
      </c>
      <c r="AC348" s="1" t="str">
        <f>IF(AND(Table13[[#This Row],[Average score]]&gt;75,Table13[[#This Row],[Total rank]]&gt;6.5),"Yes","No")</f>
        <v>Yes</v>
      </c>
      <c r="AD348" s="1" t="str">
        <f>IF(AND(Table13[[#This Row],[Average score]]&gt;80,Table13[[#This Row],[Total rank]]&gt;7.5),"Yes","No")</f>
        <v>Yes</v>
      </c>
      <c r="AE348" s="1" t="s">
        <v>6221</v>
      </c>
      <c r="AF348" s="8">
        <v>46055</v>
      </c>
      <c r="AG348" s="1">
        <v>2</v>
      </c>
      <c r="AH348" s="27">
        <v>450000</v>
      </c>
      <c r="AI348" s="27">
        <v>490000</v>
      </c>
      <c r="AJ348" s="30">
        <v>0</v>
      </c>
      <c r="AK348" s="30">
        <f>Table13[[#This Row],[Year 1]]</f>
        <v>450000</v>
      </c>
      <c r="AL348" s="30">
        <f>Table13[[#This Row],[Year 2]]</f>
        <v>490000</v>
      </c>
      <c r="AM348" s="30">
        <f>Table13[[#This Row],[Year 3]]</f>
        <v>0</v>
      </c>
      <c r="AN348" s="1">
        <v>3</v>
      </c>
    </row>
    <row r="349" spans="1:40" hidden="1" x14ac:dyDescent="0.25">
      <c r="A349" s="1" t="s">
        <v>48</v>
      </c>
      <c r="B349" s="1" t="s">
        <v>2265</v>
      </c>
      <c r="C349" s="1" t="s">
        <v>50</v>
      </c>
      <c r="D349" s="1" t="s">
        <v>2980</v>
      </c>
      <c r="E349" s="1" t="s">
        <v>2981</v>
      </c>
      <c r="F349" s="22" t="s">
        <v>3</v>
      </c>
      <c r="G349" s="1" t="s">
        <v>6085</v>
      </c>
      <c r="H349" s="1" t="s">
        <v>6</v>
      </c>
      <c r="I349" s="1" t="s">
        <v>24</v>
      </c>
      <c r="J349" s="1" t="s">
        <v>26</v>
      </c>
      <c r="K349" s="1" t="s">
        <v>9</v>
      </c>
      <c r="L349" s="1" t="s">
        <v>53</v>
      </c>
      <c r="M349" s="11" t="s">
        <v>188</v>
      </c>
      <c r="N349" s="1" t="s">
        <v>6037</v>
      </c>
      <c r="O349" s="1" t="s">
        <v>10</v>
      </c>
      <c r="P349" s="1" t="s">
        <v>126</v>
      </c>
      <c r="Q349" s="17" t="s">
        <v>5306</v>
      </c>
      <c r="R349" s="1" t="s">
        <v>4352</v>
      </c>
      <c r="S349" s="1" t="s">
        <v>6043</v>
      </c>
      <c r="T349" s="1" t="s">
        <v>6044</v>
      </c>
      <c r="U349" s="1" t="s">
        <v>6091</v>
      </c>
      <c r="V349" s="1" t="s">
        <v>6175</v>
      </c>
      <c r="W349" s="27">
        <v>82.142857142857139</v>
      </c>
      <c r="X349" s="27">
        <v>92.857142857142861</v>
      </c>
      <c r="Y349" s="33">
        <f>AVERAGE(Table13[[#This Row],[Score 1]],Table13[[#This Row],[Score 2]])</f>
        <v>87.5</v>
      </c>
      <c r="Z349" s="1">
        <v>4</v>
      </c>
      <c r="AA349" s="1">
        <v>4</v>
      </c>
      <c r="AB349" s="22">
        <f>Table13[[#This Row],[Rank 1]]+Table13[[#This Row],[Rank 2]]</f>
        <v>8</v>
      </c>
      <c r="AC349" s="1" t="str">
        <f>IF(AND(Table13[[#This Row],[Average score]]&gt;75,Table13[[#This Row],[Total rank]]&gt;6.5),"Yes","No")</f>
        <v>Yes</v>
      </c>
      <c r="AD349" s="1" t="str">
        <f>IF(AND(Table13[[#This Row],[Average score]]&gt;80,Table13[[#This Row],[Total rank]]&gt;7.5),"Yes","No")</f>
        <v>Yes</v>
      </c>
      <c r="AF349" s="8">
        <v>46053</v>
      </c>
      <c r="AG349" s="1">
        <v>2</v>
      </c>
      <c r="AH349" s="27">
        <v>247500</v>
      </c>
      <c r="AI349" s="27">
        <v>247500</v>
      </c>
      <c r="AJ349" s="30">
        <v>0</v>
      </c>
      <c r="AK349" s="30">
        <f>Table13[[#This Row],[Year 1]]</f>
        <v>247500</v>
      </c>
      <c r="AL349" s="30">
        <f>Table13[[#This Row],[Year 2]]</f>
        <v>247500</v>
      </c>
      <c r="AM349" s="30">
        <f>Table13[[#This Row],[Year 3]]</f>
        <v>0</v>
      </c>
      <c r="AN349" s="1">
        <v>3</v>
      </c>
    </row>
    <row r="350" spans="1:40" hidden="1" x14ac:dyDescent="0.25">
      <c r="A350" s="1" t="s">
        <v>48</v>
      </c>
      <c r="B350" s="1" t="s">
        <v>2267</v>
      </c>
      <c r="C350" s="1" t="s">
        <v>50</v>
      </c>
      <c r="D350" s="1" t="s">
        <v>2984</v>
      </c>
      <c r="E350" s="1" t="s">
        <v>2985</v>
      </c>
      <c r="F350" s="22" t="s">
        <v>3</v>
      </c>
      <c r="G350" s="1" t="s">
        <v>6085</v>
      </c>
      <c r="H350" s="1" t="s">
        <v>5</v>
      </c>
      <c r="I350" s="1" t="s">
        <v>24</v>
      </c>
      <c r="J350" s="1" t="s">
        <v>25</v>
      </c>
      <c r="K350" s="1" t="s">
        <v>9</v>
      </c>
      <c r="L350" s="1" t="s">
        <v>53</v>
      </c>
      <c r="M350" s="11" t="s">
        <v>188</v>
      </c>
      <c r="N350" s="1" t="s">
        <v>6037</v>
      </c>
      <c r="O350" s="1" t="s">
        <v>13</v>
      </c>
      <c r="P350" s="1" t="s">
        <v>126</v>
      </c>
      <c r="Q350" s="1" t="s">
        <v>5748</v>
      </c>
      <c r="R350" s="1" t="s">
        <v>4355</v>
      </c>
      <c r="S350" s="1" t="s">
        <v>6063</v>
      </c>
      <c r="T350" s="1" t="s">
        <v>6076</v>
      </c>
      <c r="U350" s="1" t="s">
        <v>6100</v>
      </c>
      <c r="V350" s="1" t="s">
        <v>6195</v>
      </c>
      <c r="W350" s="27">
        <v>75</v>
      </c>
      <c r="X350" s="27">
        <v>85.714285714285708</v>
      </c>
      <c r="Y350" s="33">
        <f>AVERAGE(Table13[[#This Row],[Score 1]],Table13[[#This Row],[Score 2]])</f>
        <v>80.357142857142861</v>
      </c>
      <c r="Z350" s="1">
        <v>3</v>
      </c>
      <c r="AA350" s="1">
        <v>4</v>
      </c>
      <c r="AB350" s="22">
        <f>Table13[[#This Row],[Rank 1]]+Table13[[#This Row],[Rank 2]]</f>
        <v>7</v>
      </c>
      <c r="AC350" s="1" t="str">
        <f>IF(AND(Table13[[#This Row],[Average score]]&gt;75,Table13[[#This Row],[Total rank]]&gt;6.5),"Yes","No")</f>
        <v>Yes</v>
      </c>
      <c r="AD350" s="1" t="str">
        <f>IF(AND(Table13[[#This Row],[Average score]]&gt;80,Table13[[#This Row],[Total rank]]&gt;7.5),"Yes","No")</f>
        <v>No</v>
      </c>
      <c r="AF350" s="8">
        <v>46083</v>
      </c>
      <c r="AG350" s="1">
        <v>3</v>
      </c>
      <c r="AH350" s="27">
        <v>274743.59999999998</v>
      </c>
      <c r="AI350" s="27">
        <v>273027.89</v>
      </c>
      <c r="AJ350" s="27">
        <v>286959.33</v>
      </c>
      <c r="AK350" s="27">
        <f>Table13[[#This Row],[Year 1]]</f>
        <v>274743.59999999998</v>
      </c>
      <c r="AL350" s="27">
        <f>Table13[[#This Row],[Year 2]]</f>
        <v>273027.89</v>
      </c>
      <c r="AM350" s="27">
        <f>Table13[[#This Row],[Year 3]]</f>
        <v>286959.33</v>
      </c>
      <c r="AN350" s="1">
        <v>3</v>
      </c>
    </row>
    <row r="351" spans="1:40" hidden="1" x14ac:dyDescent="0.25">
      <c r="A351" s="1" t="s">
        <v>48</v>
      </c>
      <c r="B351" s="1" t="s">
        <v>2268</v>
      </c>
      <c r="C351" s="1" t="s">
        <v>50</v>
      </c>
      <c r="D351" s="1" t="s">
        <v>2986</v>
      </c>
      <c r="E351" s="1" t="s">
        <v>2987</v>
      </c>
      <c r="F351" s="22" t="s">
        <v>3</v>
      </c>
      <c r="G351" s="1" t="s">
        <v>6085</v>
      </c>
      <c r="H351" s="1" t="s">
        <v>5</v>
      </c>
      <c r="I351" s="1" t="s">
        <v>24</v>
      </c>
      <c r="J351" s="1" t="s">
        <v>25</v>
      </c>
      <c r="K351" s="1" t="s">
        <v>9</v>
      </c>
      <c r="L351" s="1" t="s">
        <v>53</v>
      </c>
      <c r="M351" s="11" t="s">
        <v>188</v>
      </c>
      <c r="N351" s="1" t="s">
        <v>6037</v>
      </c>
      <c r="O351" s="1" t="s">
        <v>13</v>
      </c>
      <c r="P351" s="1" t="s">
        <v>247</v>
      </c>
      <c r="Q351" s="1" t="s">
        <v>5749</v>
      </c>
      <c r="R351" s="1" t="s">
        <v>4359</v>
      </c>
      <c r="S351" s="1" t="s">
        <v>6068</v>
      </c>
      <c r="T351" s="1" t="s">
        <v>6069</v>
      </c>
      <c r="U351" s="1" t="s">
        <v>6099</v>
      </c>
      <c r="V351" s="1" t="s">
        <v>6194</v>
      </c>
      <c r="W351" s="27">
        <v>75</v>
      </c>
      <c r="X351" s="27">
        <v>67.857142857142861</v>
      </c>
      <c r="Y351" s="33">
        <f>AVERAGE(Table13[[#This Row],[Score 1]],Table13[[#This Row],[Score 2]])</f>
        <v>71.428571428571431</v>
      </c>
      <c r="Z351" s="1">
        <v>3</v>
      </c>
      <c r="AA351" s="1">
        <v>3</v>
      </c>
      <c r="AB351" s="22">
        <f>Table13[[#This Row],[Rank 1]]+Table13[[#This Row],[Rank 2]]</f>
        <v>6</v>
      </c>
      <c r="AC351" s="1" t="str">
        <f>IF(AND(Table13[[#This Row],[Average score]]&gt;75,Table13[[#This Row],[Total rank]]&gt;6.5),"Yes","No")</f>
        <v>No</v>
      </c>
      <c r="AD351" s="1" t="str">
        <f>IF(AND(Table13[[#This Row],[Average score]]&gt;80,Table13[[#This Row],[Total rank]]&gt;7.5),"Yes","No")</f>
        <v>No</v>
      </c>
      <c r="AF351" s="8">
        <v>46054</v>
      </c>
      <c r="AG351" s="1">
        <v>3</v>
      </c>
      <c r="AH351" s="27">
        <v>235696</v>
      </c>
      <c r="AI351" s="27">
        <v>235696</v>
      </c>
      <c r="AJ351" s="27">
        <v>235696</v>
      </c>
      <c r="AK351" s="27">
        <f>Table13[[#This Row],[Year 1]]</f>
        <v>235696</v>
      </c>
      <c r="AL351" s="27">
        <f>Table13[[#This Row],[Year 2]]</f>
        <v>235696</v>
      </c>
      <c r="AM351" s="27">
        <f>Table13[[#This Row],[Year 3]]</f>
        <v>235696</v>
      </c>
      <c r="AN351" s="1">
        <v>3</v>
      </c>
    </row>
    <row r="352" spans="1:40" hidden="1" x14ac:dyDescent="0.25">
      <c r="A352" s="1" t="s">
        <v>48</v>
      </c>
      <c r="B352" s="2" t="s">
        <v>2269</v>
      </c>
      <c r="C352" s="1" t="s">
        <v>50</v>
      </c>
      <c r="D352" s="1" t="s">
        <v>2988</v>
      </c>
      <c r="E352" s="1" t="s">
        <v>2989</v>
      </c>
      <c r="F352" s="22" t="s">
        <v>3</v>
      </c>
      <c r="G352" s="1" t="s">
        <v>6085</v>
      </c>
      <c r="H352" s="1" t="s">
        <v>6</v>
      </c>
      <c r="I352" s="1" t="s">
        <v>20</v>
      </c>
      <c r="J352" s="1" t="s">
        <v>26</v>
      </c>
      <c r="K352" s="1" t="s">
        <v>9</v>
      </c>
      <c r="L352" s="1" t="s">
        <v>53</v>
      </c>
      <c r="M352" s="11" t="s">
        <v>188</v>
      </c>
      <c r="N352" s="1" t="s">
        <v>6037</v>
      </c>
      <c r="O352" s="1" t="s">
        <v>14</v>
      </c>
      <c r="P352" s="1" t="s">
        <v>199</v>
      </c>
      <c r="Q352" s="1" t="s">
        <v>5750</v>
      </c>
      <c r="R352" s="1" t="s">
        <v>4361</v>
      </c>
      <c r="S352" s="1" t="s">
        <v>6141</v>
      </c>
      <c r="T352" s="11" t="s">
        <v>6211</v>
      </c>
      <c r="U352" s="1" t="s">
        <v>6165</v>
      </c>
      <c r="V352" s="1" t="s">
        <v>6163</v>
      </c>
      <c r="W352" s="27">
        <v>75</v>
      </c>
      <c r="X352" s="27">
        <v>92.857142857142861</v>
      </c>
      <c r="Y352" s="33">
        <f>AVERAGE(Table13[[#This Row],[Score 1]],Table13[[#This Row],[Score 2]])</f>
        <v>83.928571428571431</v>
      </c>
      <c r="Z352" s="1">
        <v>3</v>
      </c>
      <c r="AA352" s="1">
        <v>3</v>
      </c>
      <c r="AB352" s="22">
        <f>Table13[[#This Row],[Rank 1]]+Table13[[#This Row],[Rank 2]]</f>
        <v>6</v>
      </c>
      <c r="AC352" s="1" t="str">
        <f>IF(AND(Table13[[#This Row],[Average score]]&gt;75,Table13[[#This Row],[Total rank]]&gt;6.5),"Yes","No")</f>
        <v>No</v>
      </c>
      <c r="AD352" s="1" t="str">
        <f>IF(AND(Table13[[#This Row],[Average score]]&gt;80,Table13[[#This Row],[Total rank]]&gt;7.5),"Yes","No")</f>
        <v>No</v>
      </c>
      <c r="AF352" s="8">
        <v>46069</v>
      </c>
      <c r="AG352" s="1">
        <v>1</v>
      </c>
      <c r="AH352" s="27">
        <v>87346</v>
      </c>
      <c r="AI352" s="30">
        <v>0</v>
      </c>
      <c r="AJ352" s="30">
        <v>0</v>
      </c>
      <c r="AK352" s="30">
        <f>Table13[[#This Row],[Year 1]]</f>
        <v>87346</v>
      </c>
      <c r="AL352" s="30">
        <f>Table13[[#This Row],[Year 2]]</f>
        <v>0</v>
      </c>
      <c r="AM352" s="30">
        <f>Table13[[#This Row],[Year 3]]</f>
        <v>0</v>
      </c>
      <c r="AN352" s="1">
        <v>3</v>
      </c>
    </row>
    <row r="353" spans="1:40" hidden="1" x14ac:dyDescent="0.25">
      <c r="A353" s="1" t="s">
        <v>48</v>
      </c>
      <c r="B353" s="2" t="s">
        <v>2271</v>
      </c>
      <c r="C353" s="1" t="s">
        <v>50</v>
      </c>
      <c r="D353" s="1" t="s">
        <v>2992</v>
      </c>
      <c r="E353" s="1" t="s">
        <v>2993</v>
      </c>
      <c r="F353" s="22" t="s">
        <v>3</v>
      </c>
      <c r="G353" s="1" t="s">
        <v>6085</v>
      </c>
      <c r="H353" s="1" t="s">
        <v>5</v>
      </c>
      <c r="I353" s="1" t="s">
        <v>20</v>
      </c>
      <c r="J353" s="1" t="s">
        <v>26</v>
      </c>
      <c r="K353" s="1" t="s">
        <v>8</v>
      </c>
      <c r="L353" s="1" t="s">
        <v>53</v>
      </c>
      <c r="M353" s="11" t="s">
        <v>2091</v>
      </c>
      <c r="N353" s="1" t="s">
        <v>6037</v>
      </c>
      <c r="O353" s="1" t="s">
        <v>18</v>
      </c>
      <c r="P353" s="1" t="s">
        <v>4365</v>
      </c>
      <c r="Q353" s="1" t="s">
        <v>5752</v>
      </c>
      <c r="R353" s="20" t="s">
        <v>4366</v>
      </c>
      <c r="S353" s="1" t="s">
        <v>6059</v>
      </c>
      <c r="T353" s="1" t="s">
        <v>6060</v>
      </c>
      <c r="U353" s="1" t="s">
        <v>6096</v>
      </c>
      <c r="V353" s="1" t="s">
        <v>6214</v>
      </c>
      <c r="W353" s="27">
        <v>70</v>
      </c>
      <c r="X353" s="29">
        <f>Table13[[#This Row],[Score 1]]</f>
        <v>70</v>
      </c>
      <c r="Y353" s="33">
        <f>AVERAGE(Table13[[#This Row],[Score 1]],Table13[[#This Row],[Score 2]])</f>
        <v>70</v>
      </c>
      <c r="Z353" s="1">
        <v>4</v>
      </c>
      <c r="AA353" s="2">
        <f>Table13[[#This Row],[Rank 1]]</f>
        <v>4</v>
      </c>
      <c r="AB353" s="22">
        <f>Table13[[#This Row],[Rank 1]]+Table13[[#This Row],[Rank 2]]</f>
        <v>8</v>
      </c>
      <c r="AC353" s="1" t="str">
        <f>IF(AND(Table13[[#This Row],[Average score]]&gt;75,Table13[[#This Row],[Total rank]]&gt;6.5),"Yes","No")</f>
        <v>No</v>
      </c>
      <c r="AD353" s="1" t="str">
        <f>IF(AND(Table13[[#This Row],[Average score]]&gt;80,Table13[[#This Row],[Total rank]]&gt;7.5),"Yes","No")</f>
        <v>No</v>
      </c>
      <c r="AF353" s="8">
        <v>46031</v>
      </c>
      <c r="AG353" s="1">
        <v>3</v>
      </c>
      <c r="AH353" s="27">
        <v>-61037.5</v>
      </c>
      <c r="AI353" s="27">
        <v>-92777</v>
      </c>
      <c r="AJ353" s="27">
        <v>-92777</v>
      </c>
      <c r="AK353" s="27">
        <f>Table13[[#This Row],[Year 1]]</f>
        <v>-61037.5</v>
      </c>
      <c r="AL353" s="27">
        <f>Table13[[#This Row],[Year 2]]</f>
        <v>-92777</v>
      </c>
      <c r="AM353" s="27">
        <f>Table13[[#This Row],[Year 3]]</f>
        <v>-92777</v>
      </c>
      <c r="AN353" s="1">
        <v>3</v>
      </c>
    </row>
    <row r="354" spans="1:40" hidden="1" x14ac:dyDescent="0.25">
      <c r="A354" s="1" t="s">
        <v>48</v>
      </c>
      <c r="B354" s="1" t="s">
        <v>2272</v>
      </c>
      <c r="C354" s="1" t="s">
        <v>50</v>
      </c>
      <c r="D354" s="1" t="s">
        <v>2994</v>
      </c>
      <c r="E354" s="1" t="s">
        <v>2995</v>
      </c>
      <c r="F354" s="22" t="s">
        <v>3</v>
      </c>
      <c r="G354" s="1" t="s">
        <v>6085</v>
      </c>
      <c r="H354" s="1" t="s">
        <v>5</v>
      </c>
      <c r="I354" s="1" t="s">
        <v>20</v>
      </c>
      <c r="J354" s="1" t="s">
        <v>25</v>
      </c>
      <c r="K354" s="1" t="s">
        <v>9</v>
      </c>
      <c r="L354" s="1" t="s">
        <v>53</v>
      </c>
      <c r="M354" s="11" t="s">
        <v>2091</v>
      </c>
      <c r="N354" s="1" t="s">
        <v>6037</v>
      </c>
      <c r="O354" s="1" t="s">
        <v>13</v>
      </c>
      <c r="P354" s="1" t="s">
        <v>60</v>
      </c>
      <c r="Q354" s="1" t="s">
        <v>5708</v>
      </c>
      <c r="R354" s="1" t="s">
        <v>4369</v>
      </c>
      <c r="S354" s="1" t="s">
        <v>6068</v>
      </c>
      <c r="T354" s="1" t="s">
        <v>6069</v>
      </c>
      <c r="U354" s="1" t="s">
        <v>6099</v>
      </c>
      <c r="V354" s="1" t="s">
        <v>6194</v>
      </c>
      <c r="W354" s="27">
        <v>78.571428571428569</v>
      </c>
      <c r="X354" s="27">
        <v>64.285714285714292</v>
      </c>
      <c r="Y354" s="33">
        <f>AVERAGE(Table13[[#This Row],[Score 1]],Table13[[#This Row],[Score 2]])</f>
        <v>71.428571428571431</v>
      </c>
      <c r="Z354" s="1">
        <v>4</v>
      </c>
      <c r="AA354" s="1">
        <v>2</v>
      </c>
      <c r="AB354" s="22">
        <f>Table13[[#This Row],[Rank 1]]+Table13[[#This Row],[Rank 2]]</f>
        <v>6</v>
      </c>
      <c r="AC354" s="1" t="str">
        <f>IF(AND(Table13[[#This Row],[Average score]]&gt;75,Table13[[#This Row],[Total rank]]&gt;6.5),"Yes","No")</f>
        <v>No</v>
      </c>
      <c r="AD354" s="1" t="str">
        <f>IF(AND(Table13[[#This Row],[Average score]]&gt;80,Table13[[#This Row],[Total rank]]&gt;7.5),"Yes","No")</f>
        <v>No</v>
      </c>
      <c r="AF354" s="8">
        <v>46041</v>
      </c>
      <c r="AG354" s="1">
        <v>2</v>
      </c>
      <c r="AH354" s="27">
        <v>175000</v>
      </c>
      <c r="AI354" s="27">
        <v>175000</v>
      </c>
      <c r="AJ354" s="30">
        <v>0</v>
      </c>
      <c r="AK354" s="30">
        <f>Table13[[#This Row],[Year 1]]</f>
        <v>175000</v>
      </c>
      <c r="AL354" s="30">
        <f>Table13[[#This Row],[Year 2]]</f>
        <v>175000</v>
      </c>
      <c r="AM354" s="30">
        <f>Table13[[#This Row],[Year 3]]</f>
        <v>0</v>
      </c>
      <c r="AN354" s="1">
        <v>3</v>
      </c>
    </row>
    <row r="355" spans="1:40" hidden="1" x14ac:dyDescent="0.25">
      <c r="A355" s="1" t="s">
        <v>48</v>
      </c>
      <c r="B355" s="1" t="s">
        <v>2273</v>
      </c>
      <c r="C355" s="1" t="s">
        <v>50</v>
      </c>
      <c r="D355" s="1" t="s">
        <v>2996</v>
      </c>
      <c r="E355" s="1" t="s">
        <v>2997</v>
      </c>
      <c r="F355" s="22" t="s">
        <v>3</v>
      </c>
      <c r="G355" s="1" t="s">
        <v>6085</v>
      </c>
      <c r="H355" s="1" t="s">
        <v>7</v>
      </c>
      <c r="I355" s="1" t="s">
        <v>20</v>
      </c>
      <c r="J355" s="1" t="s">
        <v>26</v>
      </c>
      <c r="K355" s="1" t="s">
        <v>9</v>
      </c>
      <c r="L355" s="1" t="s">
        <v>53</v>
      </c>
      <c r="M355" s="11" t="s">
        <v>188</v>
      </c>
      <c r="N355" s="1" t="s">
        <v>6037</v>
      </c>
      <c r="O355" s="1" t="s">
        <v>16</v>
      </c>
      <c r="P355" s="1" t="s">
        <v>1814</v>
      </c>
      <c r="Q355" s="1" t="s">
        <v>4630</v>
      </c>
      <c r="R355" s="1" t="s">
        <v>4370</v>
      </c>
      <c r="S355" s="1" t="s">
        <v>6107</v>
      </c>
      <c r="T355" s="1" t="s">
        <v>6108</v>
      </c>
      <c r="U355" s="1" t="s">
        <v>6131</v>
      </c>
      <c r="V355" s="1" t="s">
        <v>6192</v>
      </c>
      <c r="W355" s="27">
        <v>88.888888888888886</v>
      </c>
      <c r="X355" s="27">
        <v>69.444444444444443</v>
      </c>
      <c r="Y355" s="33">
        <f>AVERAGE(Table13[[#This Row],[Score 1]],Table13[[#This Row],[Score 2]])</f>
        <v>79.166666666666657</v>
      </c>
      <c r="Z355" s="1">
        <v>4</v>
      </c>
      <c r="AA355" s="1">
        <v>3</v>
      </c>
      <c r="AB355" s="22">
        <f>Table13[[#This Row],[Rank 1]]+Table13[[#This Row],[Rank 2]]</f>
        <v>7</v>
      </c>
      <c r="AC355" s="1" t="str">
        <f>IF(AND(Table13[[#This Row],[Average score]]&gt;75,Table13[[#This Row],[Total rank]]&gt;6.5),"Yes","No")</f>
        <v>Yes</v>
      </c>
      <c r="AD355" s="1" t="str">
        <f>IF(AND(Table13[[#This Row],[Average score]]&gt;80,Table13[[#This Row],[Total rank]]&gt;7.5),"Yes","No")</f>
        <v>No</v>
      </c>
      <c r="AF355" s="8">
        <v>46041</v>
      </c>
      <c r="AG355" s="1">
        <v>2</v>
      </c>
      <c r="AH355" s="27">
        <v>202000</v>
      </c>
      <c r="AI355" s="27">
        <v>145000</v>
      </c>
      <c r="AJ355" s="30">
        <v>0</v>
      </c>
      <c r="AK355" s="30">
        <f>Table13[[#This Row],[Year 1]]</f>
        <v>202000</v>
      </c>
      <c r="AL355" s="30">
        <f>Table13[[#This Row],[Year 2]]</f>
        <v>145000</v>
      </c>
      <c r="AM355" s="30">
        <f>Table13[[#This Row],[Year 3]]</f>
        <v>0</v>
      </c>
      <c r="AN355" s="1">
        <v>2</v>
      </c>
    </row>
    <row r="356" spans="1:40" hidden="1" x14ac:dyDescent="0.25">
      <c r="A356" s="1" t="s">
        <v>48</v>
      </c>
      <c r="B356" s="1" t="s">
        <v>2274</v>
      </c>
      <c r="C356" s="1" t="s">
        <v>50</v>
      </c>
      <c r="D356" s="1" t="s">
        <v>2998</v>
      </c>
      <c r="E356" s="1" t="s">
        <v>2999</v>
      </c>
      <c r="F356" s="22" t="s">
        <v>3</v>
      </c>
      <c r="G356" s="1" t="s">
        <v>6085</v>
      </c>
      <c r="H356" s="1" t="s">
        <v>7</v>
      </c>
      <c r="I356" s="1" t="s">
        <v>22</v>
      </c>
      <c r="J356" s="1" t="s">
        <v>26</v>
      </c>
      <c r="K356" s="1" t="s">
        <v>9</v>
      </c>
      <c r="L356" s="1" t="s">
        <v>53</v>
      </c>
      <c r="M356" s="11" t="s">
        <v>2091</v>
      </c>
      <c r="N356" s="1" t="s">
        <v>6037</v>
      </c>
      <c r="O356" s="1" t="s">
        <v>10</v>
      </c>
      <c r="P356" s="1" t="s">
        <v>4371</v>
      </c>
      <c r="Q356" s="18" t="s">
        <v>5753</v>
      </c>
      <c r="R356" s="1" t="s">
        <v>4372</v>
      </c>
      <c r="S356" s="1" t="s">
        <v>6049</v>
      </c>
      <c r="T356" s="1" t="s">
        <v>6050</v>
      </c>
      <c r="U356" s="1" t="s">
        <v>6104</v>
      </c>
      <c r="V356" s="1" t="s">
        <v>6200</v>
      </c>
      <c r="W356" s="27">
        <v>80.555555555555557</v>
      </c>
      <c r="X356" s="27">
        <v>83.333333333333343</v>
      </c>
      <c r="Y356" s="33">
        <f>AVERAGE(Table13[[#This Row],[Score 1]],Table13[[#This Row],[Score 2]])</f>
        <v>81.944444444444457</v>
      </c>
      <c r="Z356" s="1">
        <v>4</v>
      </c>
      <c r="AA356" s="1">
        <v>4</v>
      </c>
      <c r="AB356" s="22">
        <f>Table13[[#This Row],[Rank 1]]+Table13[[#This Row],[Rank 2]]</f>
        <v>8</v>
      </c>
      <c r="AC356" s="1" t="str">
        <f>IF(AND(Table13[[#This Row],[Average score]]&gt;75,Table13[[#This Row],[Total rank]]&gt;6.5),"Yes","No")</f>
        <v>Yes</v>
      </c>
      <c r="AD356" s="1" t="str">
        <f>IF(AND(Table13[[#This Row],[Average score]]&gt;80,Table13[[#This Row],[Total rank]]&gt;7.5),"Yes","No")</f>
        <v>Yes</v>
      </c>
      <c r="AF356" s="8">
        <v>46023</v>
      </c>
      <c r="AG356" s="1">
        <v>1</v>
      </c>
      <c r="AH356" s="27">
        <v>225000</v>
      </c>
      <c r="AI356" s="30">
        <v>0</v>
      </c>
      <c r="AJ356" s="30">
        <v>0</v>
      </c>
      <c r="AK356" s="30">
        <f>Table13[[#This Row],[Year 1]]</f>
        <v>225000</v>
      </c>
      <c r="AL356" s="30">
        <f>Table13[[#This Row],[Year 2]]</f>
        <v>0</v>
      </c>
      <c r="AM356" s="30">
        <f>Table13[[#This Row],[Year 3]]</f>
        <v>0</v>
      </c>
      <c r="AN356" s="1">
        <v>3</v>
      </c>
    </row>
    <row r="357" spans="1:40" hidden="1" x14ac:dyDescent="0.25">
      <c r="A357" s="1" t="s">
        <v>48</v>
      </c>
      <c r="B357" s="2" t="s">
        <v>2275</v>
      </c>
      <c r="C357" s="1" t="s">
        <v>50</v>
      </c>
      <c r="D357" s="1" t="s">
        <v>3000</v>
      </c>
      <c r="E357" s="1" t="s">
        <v>3001</v>
      </c>
      <c r="F357" s="22" t="s">
        <v>3</v>
      </c>
      <c r="G357" s="1" t="s">
        <v>6085</v>
      </c>
      <c r="H357" s="1" t="s">
        <v>6</v>
      </c>
      <c r="I357" s="1" t="s">
        <v>20</v>
      </c>
      <c r="J357" s="1" t="s">
        <v>25</v>
      </c>
      <c r="K357" s="1" t="s">
        <v>9</v>
      </c>
      <c r="L357" s="1" t="s">
        <v>53</v>
      </c>
      <c r="M357" s="11" t="s">
        <v>188</v>
      </c>
      <c r="N357" s="1" t="s">
        <v>6037</v>
      </c>
      <c r="O357" s="1" t="s">
        <v>16</v>
      </c>
      <c r="P357" s="1" t="s">
        <v>656</v>
      </c>
      <c r="Q357" s="1" t="s">
        <v>5754</v>
      </c>
      <c r="R357" s="1" t="s">
        <v>4373</v>
      </c>
      <c r="S357" s="1" t="s">
        <v>6122</v>
      </c>
      <c r="T357" s="1" t="s">
        <v>6121</v>
      </c>
      <c r="U357" s="1" t="s">
        <v>6122</v>
      </c>
      <c r="V357" s="1" t="s">
        <v>6180</v>
      </c>
      <c r="W357" s="27">
        <v>78.571428571428569</v>
      </c>
      <c r="X357" s="27">
        <v>85.714285714285708</v>
      </c>
      <c r="Y357" s="33">
        <f>AVERAGE(Table13[[#This Row],[Score 1]],Table13[[#This Row],[Score 2]])</f>
        <v>82.142857142857139</v>
      </c>
      <c r="Z357" s="1">
        <v>4</v>
      </c>
      <c r="AA357" s="1">
        <v>5</v>
      </c>
      <c r="AB357" s="22">
        <f>Table13[[#This Row],[Rank 1]]+Table13[[#This Row],[Rank 2]]</f>
        <v>9</v>
      </c>
      <c r="AC357" s="1" t="str">
        <f>IF(AND(Table13[[#This Row],[Average score]]&gt;75,Table13[[#This Row],[Total rank]]&gt;6.5),"Yes","No")</f>
        <v>Yes</v>
      </c>
      <c r="AD357" s="1" t="str">
        <f>IF(AND(Table13[[#This Row],[Average score]]&gt;80,Table13[[#This Row],[Total rank]]&gt;7.5),"Yes","No")</f>
        <v>Yes</v>
      </c>
      <c r="AF357" s="8">
        <v>46034</v>
      </c>
      <c r="AG357" s="1">
        <v>2</v>
      </c>
      <c r="AH357" s="27">
        <v>300333.33</v>
      </c>
      <c r="AI357" s="27">
        <v>233666.67</v>
      </c>
      <c r="AJ357" s="30">
        <v>0</v>
      </c>
      <c r="AK357" s="30">
        <v>250000</v>
      </c>
      <c r="AL357" s="30">
        <f>Table13[[#This Row],[Year 2]]</f>
        <v>233666.67</v>
      </c>
      <c r="AM357" s="30">
        <f>Table13[[#This Row],[Year 3]]</f>
        <v>0</v>
      </c>
      <c r="AN357" s="1">
        <v>3</v>
      </c>
    </row>
    <row r="358" spans="1:40" hidden="1" x14ac:dyDescent="0.25">
      <c r="A358" s="1" t="s">
        <v>48</v>
      </c>
      <c r="B358" s="10" t="s">
        <v>2276</v>
      </c>
      <c r="C358" s="1" t="s">
        <v>50</v>
      </c>
      <c r="D358" s="1" t="s">
        <v>3002</v>
      </c>
      <c r="E358" s="1" t="s">
        <v>3003</v>
      </c>
      <c r="F358" s="22" t="s">
        <v>3</v>
      </c>
      <c r="G358" s="1" t="s">
        <v>6085</v>
      </c>
      <c r="H358" s="1" t="s">
        <v>5</v>
      </c>
      <c r="I358" s="1" t="s">
        <v>21</v>
      </c>
      <c r="J358" s="1" t="s">
        <v>25</v>
      </c>
      <c r="K358" s="1" t="s">
        <v>9</v>
      </c>
      <c r="L358" s="1" t="s">
        <v>53</v>
      </c>
      <c r="M358" s="11" t="s">
        <v>2091</v>
      </c>
      <c r="N358" s="1" t="s">
        <v>6037</v>
      </c>
      <c r="O358" s="1" t="s">
        <v>13</v>
      </c>
      <c r="P358" s="1" t="s">
        <v>126</v>
      </c>
      <c r="Q358" s="1" t="s">
        <v>5755</v>
      </c>
      <c r="R358" s="1" t="s">
        <v>4376</v>
      </c>
      <c r="S358" s="1" t="s">
        <v>6079</v>
      </c>
      <c r="T358" s="1" t="s">
        <v>6080</v>
      </c>
      <c r="U358" s="1" t="s">
        <v>6089</v>
      </c>
      <c r="V358" s="1" t="s">
        <v>6172</v>
      </c>
      <c r="W358" s="27">
        <v>92.857142857142861</v>
      </c>
      <c r="X358" s="27">
        <v>89.285714285714292</v>
      </c>
      <c r="Y358" s="33">
        <f>AVERAGE(Table13[[#This Row],[Score 1]],Table13[[#This Row],[Score 2]])</f>
        <v>91.071428571428584</v>
      </c>
      <c r="Z358" s="1">
        <v>4</v>
      </c>
      <c r="AA358" s="1">
        <v>4</v>
      </c>
      <c r="AB358" s="22">
        <f>Table13[[#This Row],[Rank 1]]+Table13[[#This Row],[Rank 2]]</f>
        <v>8</v>
      </c>
      <c r="AC358" s="1" t="str">
        <f>IF(AND(Table13[[#This Row],[Average score]]&gt;75,Table13[[#This Row],[Total rank]]&gt;6.5),"Yes","No")</f>
        <v>Yes</v>
      </c>
      <c r="AD358" s="1" t="str">
        <f>IF(AND(Table13[[#This Row],[Average score]]&gt;80,Table13[[#This Row],[Total rank]]&gt;7.5),"Yes","No")</f>
        <v>Yes</v>
      </c>
      <c r="AF358" s="8">
        <v>45474</v>
      </c>
      <c r="AG358" s="1">
        <v>2</v>
      </c>
      <c r="AH358" s="27">
        <v>430000</v>
      </c>
      <c r="AI358" s="27">
        <v>430000</v>
      </c>
      <c r="AJ358" s="30">
        <v>0</v>
      </c>
      <c r="AK358" s="27">
        <v>350000</v>
      </c>
      <c r="AL358" s="27">
        <v>350000</v>
      </c>
      <c r="AM358" s="30">
        <f>Table13[[#This Row],[Year 3]]</f>
        <v>0</v>
      </c>
      <c r="AN358" s="1">
        <v>3</v>
      </c>
    </row>
    <row r="359" spans="1:40" hidden="1" x14ac:dyDescent="0.25">
      <c r="A359" s="1" t="s">
        <v>48</v>
      </c>
      <c r="B359" s="2" t="s">
        <v>2277</v>
      </c>
      <c r="C359" s="1" t="s">
        <v>50</v>
      </c>
      <c r="D359" s="1" t="s">
        <v>3004</v>
      </c>
      <c r="E359" s="1" t="s">
        <v>3005</v>
      </c>
      <c r="F359" s="22" t="s">
        <v>3</v>
      </c>
      <c r="G359" s="1" t="s">
        <v>6085</v>
      </c>
      <c r="H359" s="1" t="s">
        <v>7</v>
      </c>
      <c r="I359" s="1" t="s">
        <v>20</v>
      </c>
      <c r="J359" s="1" t="s">
        <v>26</v>
      </c>
      <c r="K359" s="1" t="s">
        <v>9</v>
      </c>
      <c r="L359" s="1" t="s">
        <v>53</v>
      </c>
      <c r="M359" s="11" t="s">
        <v>188</v>
      </c>
      <c r="N359" s="1" t="s">
        <v>6037</v>
      </c>
      <c r="O359" s="1" t="s">
        <v>16</v>
      </c>
      <c r="P359" s="1" t="s">
        <v>3944</v>
      </c>
      <c r="Q359" s="1" t="s">
        <v>5756</v>
      </c>
      <c r="R359" s="1" t="s">
        <v>4378</v>
      </c>
      <c r="S359" s="1" t="s">
        <v>6107</v>
      </c>
      <c r="T359" s="1" t="s">
        <v>6121</v>
      </c>
      <c r="U359" s="1" t="s">
        <v>6131</v>
      </c>
      <c r="V359" s="1" t="s">
        <v>6180</v>
      </c>
      <c r="W359" s="27">
        <v>94.444444444444443</v>
      </c>
      <c r="X359" s="27">
        <v>77.777777777777786</v>
      </c>
      <c r="Y359" s="33">
        <f>AVERAGE(Table13[[#This Row],[Score 1]],Table13[[#This Row],[Score 2]])</f>
        <v>86.111111111111114</v>
      </c>
      <c r="Z359" s="1">
        <v>4</v>
      </c>
      <c r="AA359" s="1">
        <v>5</v>
      </c>
      <c r="AB359" s="22">
        <f>Table13[[#This Row],[Rank 1]]+Table13[[#This Row],[Rank 2]]</f>
        <v>9</v>
      </c>
      <c r="AC359" s="1" t="str">
        <f>IF(AND(Table13[[#This Row],[Average score]]&gt;75,Table13[[#This Row],[Total rank]]&gt;6.5),"Yes","No")</f>
        <v>Yes</v>
      </c>
      <c r="AD359" s="1" t="str">
        <f>IF(AND(Table13[[#This Row],[Average score]]&gt;80,Table13[[#This Row],[Total rank]]&gt;7.5),"Yes","No")</f>
        <v>Yes</v>
      </c>
      <c r="AF359" s="8">
        <v>45930</v>
      </c>
      <c r="AG359" s="1">
        <v>2</v>
      </c>
      <c r="AH359" s="27">
        <v>440408</v>
      </c>
      <c r="AI359" s="27">
        <v>180000</v>
      </c>
      <c r="AJ359" s="30">
        <v>0</v>
      </c>
      <c r="AK359" s="30">
        <f>Table13[[#This Row],[Year 1]]</f>
        <v>440408</v>
      </c>
      <c r="AL359" s="30">
        <f>Table13[[#This Row],[Year 2]]</f>
        <v>180000</v>
      </c>
      <c r="AM359" s="30">
        <f>Table13[[#This Row],[Year 3]]</f>
        <v>0</v>
      </c>
      <c r="AN359" s="1">
        <v>3</v>
      </c>
    </row>
    <row r="360" spans="1:40" hidden="1" x14ac:dyDescent="0.25">
      <c r="A360" s="1" t="s">
        <v>48</v>
      </c>
      <c r="B360" s="2" t="s">
        <v>2278</v>
      </c>
      <c r="C360" s="1" t="s">
        <v>50</v>
      </c>
      <c r="D360" s="1" t="s">
        <v>3006</v>
      </c>
      <c r="E360" s="1" t="s">
        <v>3007</v>
      </c>
      <c r="F360" s="22" t="s">
        <v>3</v>
      </c>
      <c r="G360" s="1" t="s">
        <v>6085</v>
      </c>
      <c r="H360" s="1" t="s">
        <v>5</v>
      </c>
      <c r="I360" s="1" t="s">
        <v>21</v>
      </c>
      <c r="J360" s="1" t="s">
        <v>25</v>
      </c>
      <c r="K360" s="1" t="s">
        <v>9</v>
      </c>
      <c r="L360" s="1" t="s">
        <v>53</v>
      </c>
      <c r="M360" s="11" t="s">
        <v>188</v>
      </c>
      <c r="N360" s="1" t="s">
        <v>6037</v>
      </c>
      <c r="O360" s="1" t="s">
        <v>13</v>
      </c>
      <c r="P360" s="1" t="s">
        <v>60</v>
      </c>
      <c r="Q360" s="1" t="s">
        <v>5757</v>
      </c>
      <c r="R360" s="1" t="s">
        <v>4380</v>
      </c>
      <c r="S360" s="1" t="s">
        <v>6066</v>
      </c>
      <c r="T360" s="1" t="s">
        <v>6067</v>
      </c>
      <c r="U360" s="1" t="s">
        <v>6103</v>
      </c>
      <c r="V360" s="1" t="s">
        <v>6198</v>
      </c>
      <c r="W360" s="27">
        <v>85.714285714285708</v>
      </c>
      <c r="X360" s="29">
        <f>Table13[[#This Row],[Score 1]]</f>
        <v>85.714285714285708</v>
      </c>
      <c r="Y360" s="33">
        <f>AVERAGE(Table13[[#This Row],[Score 1]],Table13[[#This Row],[Score 2]])</f>
        <v>85.714285714285708</v>
      </c>
      <c r="Z360" s="1">
        <v>5</v>
      </c>
      <c r="AA360" s="2">
        <f>Table13[[#This Row],[Rank 1]]</f>
        <v>5</v>
      </c>
      <c r="AB360" s="22">
        <f>Table13[[#This Row],[Rank 1]]+Table13[[#This Row],[Rank 2]]</f>
        <v>10</v>
      </c>
      <c r="AC360" s="1" t="str">
        <f>IF(AND(Table13[[#This Row],[Average score]]&gt;75,Table13[[#This Row],[Total rank]]&gt;6.5),"Yes","No")</f>
        <v>Yes</v>
      </c>
      <c r="AD360" s="1" t="str">
        <f>IF(AND(Table13[[#This Row],[Average score]]&gt;80,Table13[[#This Row],[Total rank]]&gt;7.5),"Yes","No")</f>
        <v>Yes</v>
      </c>
      <c r="AF360" s="8">
        <v>46023</v>
      </c>
      <c r="AG360" s="1">
        <v>3</v>
      </c>
      <c r="AH360" s="27">
        <v>409693</v>
      </c>
      <c r="AI360" s="27">
        <v>401438</v>
      </c>
      <c r="AJ360" s="27">
        <v>459410</v>
      </c>
      <c r="AK360" s="27">
        <v>350000</v>
      </c>
      <c r="AL360" s="27">
        <v>350000</v>
      </c>
      <c r="AM360" s="27">
        <v>350000</v>
      </c>
      <c r="AN360" s="1">
        <v>3</v>
      </c>
    </row>
    <row r="361" spans="1:40" hidden="1" x14ac:dyDescent="0.25">
      <c r="A361" s="1" t="s">
        <v>48</v>
      </c>
      <c r="B361" s="1" t="s">
        <v>2280</v>
      </c>
      <c r="C361" s="1" t="s">
        <v>50</v>
      </c>
      <c r="D361" s="1" t="s">
        <v>3010</v>
      </c>
      <c r="E361" s="1" t="s">
        <v>3011</v>
      </c>
      <c r="F361" s="22" t="s">
        <v>3</v>
      </c>
      <c r="G361" s="1" t="s">
        <v>6085</v>
      </c>
      <c r="H361" s="1" t="s">
        <v>6</v>
      </c>
      <c r="I361" s="1" t="s">
        <v>20</v>
      </c>
      <c r="J361" s="1" t="s">
        <v>25</v>
      </c>
      <c r="K361" s="1" t="s">
        <v>9</v>
      </c>
      <c r="L361" s="1" t="s">
        <v>53</v>
      </c>
      <c r="M361" s="11" t="s">
        <v>188</v>
      </c>
      <c r="N361" s="1" t="s">
        <v>6037</v>
      </c>
      <c r="O361" s="1" t="s">
        <v>13</v>
      </c>
      <c r="P361" s="1" t="s">
        <v>247</v>
      </c>
      <c r="Q361" s="1" t="s">
        <v>5759</v>
      </c>
      <c r="R361" s="1" t="s">
        <v>4386</v>
      </c>
      <c r="S361" s="1" t="s">
        <v>6063</v>
      </c>
      <c r="T361" s="1" t="s">
        <v>6076</v>
      </c>
      <c r="U361" s="1" t="s">
        <v>6100</v>
      </c>
      <c r="V361" s="1" t="s">
        <v>6195</v>
      </c>
      <c r="W361" s="27">
        <v>39.285714285714285</v>
      </c>
      <c r="X361" s="27">
        <v>57.142857142857139</v>
      </c>
      <c r="Y361" s="33">
        <f>AVERAGE(Table13[[#This Row],[Score 1]],Table13[[#This Row],[Score 2]])</f>
        <v>48.214285714285708</v>
      </c>
      <c r="Z361" s="1">
        <v>1</v>
      </c>
      <c r="AA361" s="1">
        <v>2</v>
      </c>
      <c r="AB361" s="22">
        <f>Table13[[#This Row],[Rank 1]]+Table13[[#This Row],[Rank 2]]</f>
        <v>3</v>
      </c>
      <c r="AC361" s="1" t="str">
        <f>IF(AND(Table13[[#This Row],[Average score]]&gt;75,Table13[[#This Row],[Total rank]]&gt;6.5),"Yes","No")</f>
        <v>No</v>
      </c>
      <c r="AD361" s="1" t="str">
        <f>IF(AND(Table13[[#This Row],[Average score]]&gt;80,Table13[[#This Row],[Total rank]]&gt;7.5),"Yes","No")</f>
        <v>No</v>
      </c>
      <c r="AF361" s="8">
        <v>46054</v>
      </c>
      <c r="AG361" s="1">
        <v>2</v>
      </c>
      <c r="AH361" s="27">
        <v>197887.9</v>
      </c>
      <c r="AI361" s="27">
        <v>197887.9</v>
      </c>
      <c r="AJ361" s="30">
        <v>0</v>
      </c>
      <c r="AK361" s="30">
        <f>Table13[[#This Row],[Year 1]]</f>
        <v>197887.9</v>
      </c>
      <c r="AL361" s="30">
        <f>Table13[[#This Row],[Year 2]]</f>
        <v>197887.9</v>
      </c>
      <c r="AM361" s="30">
        <f>Table13[[#This Row],[Year 3]]</f>
        <v>0</v>
      </c>
      <c r="AN361" s="1">
        <v>3</v>
      </c>
    </row>
    <row r="362" spans="1:40" hidden="1" x14ac:dyDescent="0.25">
      <c r="A362" s="1" t="s">
        <v>48</v>
      </c>
      <c r="B362" s="2" t="s">
        <v>2281</v>
      </c>
      <c r="C362" s="1" t="s">
        <v>50</v>
      </c>
      <c r="D362" s="1" t="s">
        <v>3012</v>
      </c>
      <c r="E362" s="1" t="s">
        <v>3013</v>
      </c>
      <c r="F362" s="22" t="s">
        <v>3</v>
      </c>
      <c r="G362" s="1" t="s">
        <v>6085</v>
      </c>
      <c r="H362" s="1" t="s">
        <v>6</v>
      </c>
      <c r="I362" s="1" t="s">
        <v>21</v>
      </c>
      <c r="J362" s="1" t="s">
        <v>25</v>
      </c>
      <c r="K362" s="1" t="s">
        <v>9</v>
      </c>
      <c r="L362" s="1" t="s">
        <v>53</v>
      </c>
      <c r="M362" s="11" t="s">
        <v>2091</v>
      </c>
      <c r="N362" s="1" t="s">
        <v>6037</v>
      </c>
      <c r="O362" s="1" t="s">
        <v>18</v>
      </c>
      <c r="P362" s="1" t="s">
        <v>60</v>
      </c>
      <c r="Q362" s="1" t="s">
        <v>5760</v>
      </c>
      <c r="R362" s="20" t="s">
        <v>4388</v>
      </c>
      <c r="S362" s="1" t="s">
        <v>6059</v>
      </c>
      <c r="T362" s="1" t="s">
        <v>6060</v>
      </c>
      <c r="U362" s="1" t="s">
        <v>6096</v>
      </c>
      <c r="V362" s="1" t="s">
        <v>6214</v>
      </c>
      <c r="W362" s="27">
        <v>67.857142857142861</v>
      </c>
      <c r="X362" s="29">
        <f>Table13[[#This Row],[Score 1]]</f>
        <v>67.857142857142861</v>
      </c>
      <c r="Y362" s="33">
        <f>AVERAGE(Table13[[#This Row],[Score 1]],Table13[[#This Row],[Score 2]])</f>
        <v>67.857142857142861</v>
      </c>
      <c r="Z362" s="1">
        <v>3</v>
      </c>
      <c r="AA362" s="2">
        <f>Table13[[#This Row],[Rank 1]]</f>
        <v>3</v>
      </c>
      <c r="AB362" s="22">
        <f>Table13[[#This Row],[Rank 1]]+Table13[[#This Row],[Rank 2]]</f>
        <v>6</v>
      </c>
      <c r="AC362" s="1" t="str">
        <f>IF(AND(Table13[[#This Row],[Average score]]&gt;75,Table13[[#This Row],[Total rank]]&gt;6.5),"Yes","No")</f>
        <v>No</v>
      </c>
      <c r="AD362" s="1" t="str">
        <f>IF(AND(Table13[[#This Row],[Average score]]&gt;80,Table13[[#This Row],[Total rank]]&gt;7.5),"Yes","No")</f>
        <v>No</v>
      </c>
      <c r="AF362" s="8">
        <v>46055</v>
      </c>
      <c r="AG362" s="1">
        <v>2</v>
      </c>
      <c r="AH362" s="27">
        <v>213810</v>
      </c>
      <c r="AI362" s="27">
        <v>223810</v>
      </c>
      <c r="AJ362" s="30">
        <v>0</v>
      </c>
      <c r="AK362" s="30">
        <f>Table13[[#This Row],[Year 1]]</f>
        <v>213810</v>
      </c>
      <c r="AL362" s="30">
        <f>Table13[[#This Row],[Year 2]]</f>
        <v>223810</v>
      </c>
      <c r="AM362" s="30">
        <f>Table13[[#This Row],[Year 3]]</f>
        <v>0</v>
      </c>
      <c r="AN362" s="1">
        <v>3</v>
      </c>
    </row>
    <row r="363" spans="1:40" hidden="1" x14ac:dyDescent="0.25">
      <c r="A363" s="1" t="s">
        <v>48</v>
      </c>
      <c r="B363" s="2" t="s">
        <v>2282</v>
      </c>
      <c r="C363" s="1" t="s">
        <v>50</v>
      </c>
      <c r="D363" s="1" t="s">
        <v>3014</v>
      </c>
      <c r="E363" s="1" t="s">
        <v>3015</v>
      </c>
      <c r="F363" s="22" t="s">
        <v>3</v>
      </c>
      <c r="G363" s="1" t="s">
        <v>6085</v>
      </c>
      <c r="H363" s="1" t="s">
        <v>5</v>
      </c>
      <c r="I363" s="1" t="s">
        <v>24</v>
      </c>
      <c r="J363" s="1" t="s">
        <v>25</v>
      </c>
      <c r="K363" s="1" t="s">
        <v>9</v>
      </c>
      <c r="L363" s="1" t="s">
        <v>53</v>
      </c>
      <c r="M363" s="11" t="s">
        <v>2091</v>
      </c>
      <c r="N363" s="1" t="s">
        <v>6037</v>
      </c>
      <c r="O363" s="1" t="s">
        <v>16</v>
      </c>
      <c r="P363" s="1" t="s">
        <v>60</v>
      </c>
      <c r="Q363" s="1" t="s">
        <v>5761</v>
      </c>
      <c r="R363" s="1" t="s">
        <v>4391</v>
      </c>
      <c r="S363" s="1" t="s">
        <v>6122</v>
      </c>
      <c r="T363" s="1" t="s">
        <v>6121</v>
      </c>
      <c r="U363" s="1" t="s">
        <v>6122</v>
      </c>
      <c r="V363" s="1" t="s">
        <v>6180</v>
      </c>
      <c r="W363" s="27">
        <v>92.857142857142861</v>
      </c>
      <c r="X363" s="27">
        <v>82.142857142857139</v>
      </c>
      <c r="Y363" s="33">
        <f>AVERAGE(Table13[[#This Row],[Score 1]],Table13[[#This Row],[Score 2]])</f>
        <v>87.5</v>
      </c>
      <c r="Z363" s="1">
        <v>5</v>
      </c>
      <c r="AA363" s="1">
        <v>5</v>
      </c>
      <c r="AB363" s="22">
        <f>Table13[[#This Row],[Rank 1]]+Table13[[#This Row],[Rank 2]]</f>
        <v>10</v>
      </c>
      <c r="AC363" s="1" t="str">
        <f>IF(AND(Table13[[#This Row],[Average score]]&gt;75,Table13[[#This Row],[Total rank]]&gt;6.5),"Yes","No")</f>
        <v>Yes</v>
      </c>
      <c r="AD363" s="1" t="str">
        <f>IF(AND(Table13[[#This Row],[Average score]]&gt;80,Table13[[#This Row],[Total rank]]&gt;7.5),"Yes","No")</f>
        <v>Yes</v>
      </c>
      <c r="AF363" s="8">
        <v>46027</v>
      </c>
      <c r="AG363" s="1">
        <v>3</v>
      </c>
      <c r="AH363" s="27">
        <v>179915</v>
      </c>
      <c r="AI363" s="27">
        <v>179915</v>
      </c>
      <c r="AJ363" s="27">
        <v>179915</v>
      </c>
      <c r="AK363" s="27">
        <f>Table13[[#This Row],[Year 1]]</f>
        <v>179915</v>
      </c>
      <c r="AL363" s="27">
        <f>Table13[[#This Row],[Year 2]]</f>
        <v>179915</v>
      </c>
      <c r="AM363" s="27">
        <f>Table13[[#This Row],[Year 3]]</f>
        <v>179915</v>
      </c>
      <c r="AN363" s="1">
        <v>3</v>
      </c>
    </row>
    <row r="364" spans="1:40" hidden="1" x14ac:dyDescent="0.25">
      <c r="A364" s="1" t="s">
        <v>48</v>
      </c>
      <c r="B364" s="2" t="s">
        <v>1252</v>
      </c>
      <c r="C364" s="1" t="s">
        <v>50</v>
      </c>
      <c r="D364" s="1" t="s">
        <v>1377</v>
      </c>
      <c r="E364" s="1" t="s">
        <v>1378</v>
      </c>
      <c r="F364" s="22" t="s">
        <v>3</v>
      </c>
      <c r="G364" s="1" t="s">
        <v>6085</v>
      </c>
      <c r="H364" s="1" t="s">
        <v>5</v>
      </c>
      <c r="I364" s="1" t="s">
        <v>21</v>
      </c>
      <c r="J364" s="1" t="s">
        <v>25</v>
      </c>
      <c r="K364" s="1" t="s">
        <v>9</v>
      </c>
      <c r="L364" s="1" t="s">
        <v>78</v>
      </c>
      <c r="M364" s="11" t="s">
        <v>188</v>
      </c>
      <c r="N364" s="1" t="s">
        <v>6037</v>
      </c>
      <c r="O364" s="1" t="s">
        <v>14</v>
      </c>
      <c r="P364" s="1" t="s">
        <v>107</v>
      </c>
      <c r="Q364" s="1" t="s">
        <v>5501</v>
      </c>
      <c r="R364" s="1" t="s">
        <v>1657</v>
      </c>
      <c r="S364" s="1" t="s">
        <v>6135</v>
      </c>
      <c r="T364" s="1" t="s">
        <v>6136</v>
      </c>
      <c r="U364" s="1" t="s">
        <v>6201</v>
      </c>
      <c r="V364" s="1" t="s">
        <v>6163</v>
      </c>
      <c r="W364" s="27">
        <v>67.857142857142861</v>
      </c>
      <c r="X364" s="27">
        <v>82.142857142857139</v>
      </c>
      <c r="Y364" s="33">
        <f>AVERAGE(Table13[[#This Row],[Score 1]],Table13[[#This Row],[Score 2]])</f>
        <v>75</v>
      </c>
      <c r="Z364" s="1">
        <v>3</v>
      </c>
      <c r="AA364" s="1">
        <v>2</v>
      </c>
      <c r="AB364" s="22">
        <f>Table13[[#This Row],[Rank 1]]+Table13[[#This Row],[Rank 2]]</f>
        <v>5</v>
      </c>
      <c r="AC364" s="1" t="str">
        <f>IF(AND(Table13[[#This Row],[Average score]]&gt;75,Table13[[#This Row],[Total rank]]&gt;6.5),"Yes","No")</f>
        <v>No</v>
      </c>
      <c r="AD364" s="1" t="str">
        <f>IF(AND(Table13[[#This Row],[Average score]]&gt;80,Table13[[#This Row],[Total rank]]&gt;7.5),"Yes","No")</f>
        <v>No</v>
      </c>
      <c r="AF364" s="8">
        <v>45719</v>
      </c>
      <c r="AG364" s="1">
        <v>3</v>
      </c>
      <c r="AH364" s="27">
        <v>89000</v>
      </c>
      <c r="AI364" s="27">
        <v>104900</v>
      </c>
      <c r="AJ364" s="27">
        <v>104900</v>
      </c>
      <c r="AK364" s="27">
        <f>Table13[[#This Row],[Year 1]]</f>
        <v>89000</v>
      </c>
      <c r="AL364" s="27">
        <f>Table13[[#This Row],[Year 2]]</f>
        <v>104900</v>
      </c>
      <c r="AM364" s="27">
        <f>Table13[[#This Row],[Year 3]]</f>
        <v>104900</v>
      </c>
      <c r="AN364" s="1">
        <v>3</v>
      </c>
    </row>
    <row r="365" spans="1:40" hidden="1" x14ac:dyDescent="0.25">
      <c r="A365" s="1" t="s">
        <v>48</v>
      </c>
      <c r="B365" s="1" t="s">
        <v>2285</v>
      </c>
      <c r="C365" s="1" t="s">
        <v>50</v>
      </c>
      <c r="D365" s="1" t="s">
        <v>3020</v>
      </c>
      <c r="E365" s="1" t="s">
        <v>3021</v>
      </c>
      <c r="F365" s="22" t="s">
        <v>3</v>
      </c>
      <c r="G365" s="1" t="s">
        <v>6085</v>
      </c>
      <c r="H365" s="1" t="s">
        <v>5</v>
      </c>
      <c r="I365" s="1" t="s">
        <v>24</v>
      </c>
      <c r="J365" s="1" t="s">
        <v>25</v>
      </c>
      <c r="K365" s="1" t="s">
        <v>9</v>
      </c>
      <c r="L365" s="1" t="s">
        <v>53</v>
      </c>
      <c r="M365" s="11" t="s">
        <v>188</v>
      </c>
      <c r="N365" s="1" t="s">
        <v>6037</v>
      </c>
      <c r="O365" s="1" t="s">
        <v>16</v>
      </c>
      <c r="P365" s="1" t="s">
        <v>247</v>
      </c>
      <c r="Q365" s="1" t="s">
        <v>5714</v>
      </c>
      <c r="R365" s="1" t="s">
        <v>4396</v>
      </c>
      <c r="S365" s="1" t="s">
        <v>6119</v>
      </c>
      <c r="T365" s="1" t="s">
        <v>6120</v>
      </c>
      <c r="U365" s="1" t="s">
        <v>6129</v>
      </c>
      <c r="V365" s="1" t="s">
        <v>6189</v>
      </c>
      <c r="W365" s="27">
        <v>75</v>
      </c>
      <c r="X365" s="27">
        <v>92.857142857142861</v>
      </c>
      <c r="Y365" s="33">
        <f>AVERAGE(Table13[[#This Row],[Score 1]],Table13[[#This Row],[Score 2]])</f>
        <v>83.928571428571431</v>
      </c>
      <c r="Z365" s="1">
        <v>3</v>
      </c>
      <c r="AA365" s="1">
        <v>4</v>
      </c>
      <c r="AB365" s="22">
        <f>Table13[[#This Row],[Rank 1]]+Table13[[#This Row],[Rank 2]]</f>
        <v>7</v>
      </c>
      <c r="AC365" s="1" t="str">
        <f>IF(AND(Table13[[#This Row],[Average score]]&gt;75,Table13[[#This Row],[Total rank]]&gt;6.5),"Yes","No")</f>
        <v>Yes</v>
      </c>
      <c r="AD365" s="1" t="str">
        <f>IF(AND(Table13[[#This Row],[Average score]]&gt;80,Table13[[#This Row],[Total rank]]&gt;7.5),"Yes","No")</f>
        <v>No</v>
      </c>
      <c r="AF365" s="8">
        <v>46023</v>
      </c>
      <c r="AG365" s="1">
        <v>1</v>
      </c>
      <c r="AH365" s="27">
        <v>346500</v>
      </c>
      <c r="AI365" s="30">
        <v>0</v>
      </c>
      <c r="AJ365" s="30">
        <v>0</v>
      </c>
      <c r="AK365" s="30">
        <f>Table13[[#This Row],[Year 1]]</f>
        <v>346500</v>
      </c>
      <c r="AL365" s="30">
        <f>Table13[[#This Row],[Year 2]]</f>
        <v>0</v>
      </c>
      <c r="AM365" s="30">
        <f>Table13[[#This Row],[Year 3]]</f>
        <v>0</v>
      </c>
      <c r="AN365" s="1">
        <v>3</v>
      </c>
    </row>
    <row r="366" spans="1:40" hidden="1" x14ac:dyDescent="0.25">
      <c r="A366" s="1" t="s">
        <v>48</v>
      </c>
      <c r="B366" s="1" t="s">
        <v>2286</v>
      </c>
      <c r="C366" s="1" t="s">
        <v>50</v>
      </c>
      <c r="D366" s="1" t="s">
        <v>3022</v>
      </c>
      <c r="E366" s="1" t="s">
        <v>3023</v>
      </c>
      <c r="F366" s="22" t="s">
        <v>3</v>
      </c>
      <c r="G366" s="1" t="s">
        <v>6085</v>
      </c>
      <c r="H366" s="1" t="s">
        <v>5</v>
      </c>
      <c r="I366" s="1" t="s">
        <v>20</v>
      </c>
      <c r="J366" s="1" t="s">
        <v>25</v>
      </c>
      <c r="K366" s="1" t="s">
        <v>9</v>
      </c>
      <c r="L366" s="1" t="s">
        <v>53</v>
      </c>
      <c r="M366" s="11" t="s">
        <v>2091</v>
      </c>
      <c r="N366" s="1" t="s">
        <v>6037</v>
      </c>
      <c r="O366" s="1" t="s">
        <v>15</v>
      </c>
      <c r="P366" s="1" t="s">
        <v>1519</v>
      </c>
      <c r="Q366" s="1" t="s">
        <v>5764</v>
      </c>
      <c r="R366" s="1" t="s">
        <v>4398</v>
      </c>
      <c r="S366" s="1" t="s">
        <v>6057</v>
      </c>
      <c r="T366" s="1" t="s">
        <v>6058</v>
      </c>
      <c r="U366" s="1" t="s">
        <v>6095</v>
      </c>
      <c r="V366" s="1" t="s">
        <v>6186</v>
      </c>
      <c r="W366" s="27">
        <v>64.285714285714292</v>
      </c>
      <c r="X366" s="27">
        <v>85.714285714285708</v>
      </c>
      <c r="Y366" s="33">
        <f>AVERAGE(Table13[[#This Row],[Score 1]],Table13[[#This Row],[Score 2]])</f>
        <v>75</v>
      </c>
      <c r="Z366" s="1">
        <v>3</v>
      </c>
      <c r="AA366" s="1">
        <v>3</v>
      </c>
      <c r="AB366" s="22">
        <f>Table13[[#This Row],[Rank 1]]+Table13[[#This Row],[Rank 2]]</f>
        <v>6</v>
      </c>
      <c r="AC366" s="1" t="str">
        <f>IF(AND(Table13[[#This Row],[Average score]]&gt;75,Table13[[#This Row],[Total rank]]&gt;6.5),"Yes","No")</f>
        <v>No</v>
      </c>
      <c r="AD366" s="1" t="str">
        <f>IF(AND(Table13[[#This Row],[Average score]]&gt;80,Table13[[#This Row],[Total rank]]&gt;7.5),"Yes","No")</f>
        <v>No</v>
      </c>
      <c r="AF366" s="8">
        <v>46041</v>
      </c>
      <c r="AG366" s="1">
        <v>3</v>
      </c>
      <c r="AH366" s="27">
        <v>180000</v>
      </c>
      <c r="AI366" s="27">
        <v>180000</v>
      </c>
      <c r="AJ366" s="27">
        <v>180000</v>
      </c>
      <c r="AK366" s="27">
        <f>Table13[[#This Row],[Year 1]]</f>
        <v>180000</v>
      </c>
      <c r="AL366" s="27">
        <f>Table13[[#This Row],[Year 2]]</f>
        <v>180000</v>
      </c>
      <c r="AM366" s="27">
        <f>Table13[[#This Row],[Year 3]]</f>
        <v>180000</v>
      </c>
      <c r="AN366" s="1">
        <v>3</v>
      </c>
    </row>
    <row r="367" spans="1:40" hidden="1" x14ac:dyDescent="0.25">
      <c r="A367" s="1" t="s">
        <v>48</v>
      </c>
      <c r="B367" s="1" t="s">
        <v>2288</v>
      </c>
      <c r="C367" s="1" t="s">
        <v>50</v>
      </c>
      <c r="D367" s="1" t="s">
        <v>3026</v>
      </c>
      <c r="E367" s="1" t="s">
        <v>3027</v>
      </c>
      <c r="F367" s="22" t="s">
        <v>3</v>
      </c>
      <c r="G367" s="1" t="s">
        <v>6085</v>
      </c>
      <c r="H367" s="1" t="s">
        <v>5</v>
      </c>
      <c r="I367" s="1" t="s">
        <v>20</v>
      </c>
      <c r="J367" s="1" t="s">
        <v>26</v>
      </c>
      <c r="K367" s="1" t="s">
        <v>9</v>
      </c>
      <c r="L367" s="1" t="s">
        <v>53</v>
      </c>
      <c r="M367" s="11" t="s">
        <v>2091</v>
      </c>
      <c r="N367" s="1" t="s">
        <v>6037</v>
      </c>
      <c r="O367" s="1" t="s">
        <v>11</v>
      </c>
      <c r="P367" s="1" t="s">
        <v>1456</v>
      </c>
      <c r="Q367" s="1" t="s">
        <v>5418</v>
      </c>
      <c r="R367" s="1" t="s">
        <v>4402</v>
      </c>
      <c r="S367" s="1" t="s">
        <v>6055</v>
      </c>
      <c r="T367" s="1" t="s">
        <v>6056</v>
      </c>
      <c r="U367" s="1" t="s">
        <v>6105</v>
      </c>
      <c r="V367" s="1" t="s">
        <v>6199</v>
      </c>
      <c r="W367" s="27">
        <v>71.428571428571431</v>
      </c>
      <c r="X367" s="27">
        <v>64.285714285714292</v>
      </c>
      <c r="Y367" s="33">
        <f>AVERAGE(Table13[[#This Row],[Score 1]],Table13[[#This Row],[Score 2]])</f>
        <v>67.857142857142861</v>
      </c>
      <c r="Z367" s="1">
        <v>4</v>
      </c>
      <c r="AA367" s="1">
        <v>2</v>
      </c>
      <c r="AB367" s="22">
        <f>Table13[[#This Row],[Rank 1]]+Table13[[#This Row],[Rank 2]]</f>
        <v>6</v>
      </c>
      <c r="AC367" s="1" t="str">
        <f>IF(AND(Table13[[#This Row],[Average score]]&gt;75,Table13[[#This Row],[Total rank]]&gt;6.5),"Yes","No")</f>
        <v>No</v>
      </c>
      <c r="AD367" s="1" t="str">
        <f>IF(AND(Table13[[#This Row],[Average score]]&gt;80,Table13[[#This Row],[Total rank]]&gt;7.5),"Yes","No")</f>
        <v>No</v>
      </c>
      <c r="AF367" s="8">
        <v>46069</v>
      </c>
      <c r="AG367" s="1">
        <v>3</v>
      </c>
      <c r="AH367" s="27">
        <v>237500</v>
      </c>
      <c r="AI367" s="27">
        <v>229500</v>
      </c>
      <c r="AJ367" s="27">
        <v>256500</v>
      </c>
      <c r="AK367" s="27">
        <f>Table13[[#This Row],[Year 1]]</f>
        <v>237500</v>
      </c>
      <c r="AL367" s="27">
        <f>Table13[[#This Row],[Year 2]]</f>
        <v>229500</v>
      </c>
      <c r="AM367" s="27">
        <f>Table13[[#This Row],[Year 3]]</f>
        <v>256500</v>
      </c>
      <c r="AN367" s="1">
        <v>3</v>
      </c>
    </row>
    <row r="368" spans="1:40" hidden="1" x14ac:dyDescent="0.25">
      <c r="A368" s="1" t="s">
        <v>48</v>
      </c>
      <c r="B368" s="1" t="s">
        <v>2289</v>
      </c>
      <c r="C368" s="1" t="s">
        <v>50</v>
      </c>
      <c r="D368" s="1" t="s">
        <v>3028</v>
      </c>
      <c r="E368" s="1" t="s">
        <v>3029</v>
      </c>
      <c r="F368" s="22" t="s">
        <v>3</v>
      </c>
      <c r="G368" s="1" t="s">
        <v>6085</v>
      </c>
      <c r="H368" s="1" t="s">
        <v>5</v>
      </c>
      <c r="I368" s="1" t="s">
        <v>22</v>
      </c>
      <c r="J368" s="1" t="s">
        <v>25</v>
      </c>
      <c r="K368" s="1" t="s">
        <v>9</v>
      </c>
      <c r="L368" s="1" t="s">
        <v>53</v>
      </c>
      <c r="M368" s="11" t="s">
        <v>188</v>
      </c>
      <c r="N368" s="1" t="s">
        <v>6037</v>
      </c>
      <c r="O368" s="1" t="s">
        <v>18</v>
      </c>
      <c r="P368" s="1" t="s">
        <v>126</v>
      </c>
      <c r="Q368" s="1" t="s">
        <v>5766</v>
      </c>
      <c r="R368" s="18" t="s">
        <v>4406</v>
      </c>
      <c r="S368" s="1" t="s">
        <v>6061</v>
      </c>
      <c r="T368" s="1" t="s">
        <v>6062</v>
      </c>
      <c r="U368" s="1" t="s">
        <v>6101</v>
      </c>
      <c r="V368" s="1" t="s">
        <v>6196</v>
      </c>
      <c r="W368" s="27">
        <v>72.222222222222214</v>
      </c>
      <c r="X368" s="27">
        <v>66.666666666666657</v>
      </c>
      <c r="Y368" s="33">
        <f>AVERAGE(Table13[[#This Row],[Score 1]],Table13[[#This Row],[Score 2]])</f>
        <v>69.444444444444429</v>
      </c>
      <c r="Z368" s="1">
        <v>5</v>
      </c>
      <c r="AA368" s="1">
        <v>3</v>
      </c>
      <c r="AB368" s="22">
        <f>Table13[[#This Row],[Rank 1]]+Table13[[#This Row],[Rank 2]]</f>
        <v>8</v>
      </c>
      <c r="AC368" s="1" t="str">
        <f>IF(AND(Table13[[#This Row],[Average score]]&gt;75,Table13[[#This Row],[Total rank]]&gt;6.5),"Yes","No")</f>
        <v>No</v>
      </c>
      <c r="AD368" s="1" t="str">
        <f>IF(AND(Table13[[#This Row],[Average score]]&gt;80,Table13[[#This Row],[Total rank]]&gt;7.5),"Yes","No")</f>
        <v>No</v>
      </c>
      <c r="AF368" s="8">
        <v>45845</v>
      </c>
      <c r="AG368" s="1">
        <v>3</v>
      </c>
      <c r="AH368" s="27">
        <v>188163</v>
      </c>
      <c r="AI368" s="27">
        <v>312363</v>
      </c>
      <c r="AJ368" s="27">
        <v>298363</v>
      </c>
      <c r="AK368" s="27">
        <f>Table13[[#This Row],[Year 1]]</f>
        <v>188163</v>
      </c>
      <c r="AL368" s="27">
        <f>Table13[[#This Row],[Year 2]]</f>
        <v>312363</v>
      </c>
      <c r="AM368" s="27">
        <f>Table13[[#This Row],[Year 3]]</f>
        <v>298363</v>
      </c>
      <c r="AN368" s="1">
        <v>3</v>
      </c>
    </row>
    <row r="369" spans="1:40" hidden="1" x14ac:dyDescent="0.25">
      <c r="A369" s="1" t="s">
        <v>48</v>
      </c>
      <c r="B369" s="1" t="s">
        <v>2290</v>
      </c>
      <c r="C369" s="1" t="s">
        <v>50</v>
      </c>
      <c r="D369" s="1" t="s">
        <v>3030</v>
      </c>
      <c r="E369" s="1" t="s">
        <v>3031</v>
      </c>
      <c r="F369" s="22" t="s">
        <v>3</v>
      </c>
      <c r="G369" s="1" t="s">
        <v>6085</v>
      </c>
      <c r="H369" s="1" t="s">
        <v>5</v>
      </c>
      <c r="I369" s="1" t="s">
        <v>22</v>
      </c>
      <c r="J369" s="1" t="s">
        <v>25</v>
      </c>
      <c r="K369" s="1" t="s">
        <v>9</v>
      </c>
      <c r="L369" s="1" t="s">
        <v>53</v>
      </c>
      <c r="M369" s="11" t="s">
        <v>188</v>
      </c>
      <c r="N369" s="1" t="s">
        <v>6037</v>
      </c>
      <c r="O369" s="1" t="s">
        <v>19</v>
      </c>
      <c r="P369" s="1" t="s">
        <v>4410</v>
      </c>
      <c r="Q369" s="18" t="s">
        <v>5767</v>
      </c>
      <c r="R369" s="1" t="s">
        <v>4411</v>
      </c>
      <c r="S369" s="1" t="s">
        <v>6133</v>
      </c>
      <c r="T369" s="1" t="s">
        <v>6134</v>
      </c>
      <c r="U369" s="1" t="s">
        <v>6094</v>
      </c>
      <c r="V369" s="1" t="s">
        <v>6184</v>
      </c>
      <c r="W369" s="27">
        <v>71.428571428571431</v>
      </c>
      <c r="X369" s="27">
        <v>57.142857142857139</v>
      </c>
      <c r="Y369" s="33">
        <f>AVERAGE(Table13[[#This Row],[Score 1]],Table13[[#This Row],[Score 2]])</f>
        <v>64.285714285714278</v>
      </c>
      <c r="Z369" s="1">
        <v>4</v>
      </c>
      <c r="AA369" s="1">
        <v>2</v>
      </c>
      <c r="AB369" s="22">
        <f>Table13[[#This Row],[Rank 1]]+Table13[[#This Row],[Rank 2]]</f>
        <v>6</v>
      </c>
      <c r="AC369" s="1" t="str">
        <f>IF(AND(Table13[[#This Row],[Average score]]&gt;75,Table13[[#This Row],[Total rank]]&gt;6.5),"Yes","No")</f>
        <v>No</v>
      </c>
      <c r="AD369" s="1" t="str">
        <f>IF(AND(Table13[[#This Row],[Average score]]&gt;80,Table13[[#This Row],[Total rank]]&gt;7.5),"Yes","No")</f>
        <v>No</v>
      </c>
      <c r="AF369" s="8">
        <v>46027</v>
      </c>
      <c r="AG369" s="1">
        <v>3</v>
      </c>
      <c r="AH369" s="27">
        <v>285000</v>
      </c>
      <c r="AI369" s="27">
        <v>306000</v>
      </c>
      <c r="AJ369" s="27">
        <v>353000</v>
      </c>
      <c r="AK369" s="27">
        <f>Table13[[#This Row],[Year 1]]</f>
        <v>285000</v>
      </c>
      <c r="AL369" s="27">
        <f>Table13[[#This Row],[Year 2]]</f>
        <v>306000</v>
      </c>
      <c r="AM369" s="27">
        <f>Table13[[#This Row],[Year 3]]</f>
        <v>353000</v>
      </c>
      <c r="AN369" s="1">
        <v>3</v>
      </c>
    </row>
    <row r="370" spans="1:40" hidden="1" x14ac:dyDescent="0.25">
      <c r="A370" s="1" t="s">
        <v>48</v>
      </c>
      <c r="B370" s="1" t="s">
        <v>2291</v>
      </c>
      <c r="C370" s="1" t="s">
        <v>50</v>
      </c>
      <c r="D370" s="1" t="s">
        <v>3032</v>
      </c>
      <c r="E370" s="1" t="s">
        <v>3033</v>
      </c>
      <c r="F370" s="22" t="s">
        <v>3</v>
      </c>
      <c r="G370" s="1" t="s">
        <v>6085</v>
      </c>
      <c r="H370" s="1" t="s">
        <v>5</v>
      </c>
      <c r="I370" s="1" t="s">
        <v>24</v>
      </c>
      <c r="J370" s="1" t="s">
        <v>25</v>
      </c>
      <c r="K370" s="1" t="s">
        <v>9</v>
      </c>
      <c r="L370" s="1" t="s">
        <v>53</v>
      </c>
      <c r="M370" s="11" t="s">
        <v>188</v>
      </c>
      <c r="N370" s="1" t="s">
        <v>6037</v>
      </c>
      <c r="O370" s="1" t="s">
        <v>16</v>
      </c>
      <c r="P370" s="1" t="s">
        <v>4414</v>
      </c>
      <c r="Q370" s="1" t="s">
        <v>5768</v>
      </c>
      <c r="R370" s="1" t="s">
        <v>4415</v>
      </c>
      <c r="S370" s="1" t="s">
        <v>6117</v>
      </c>
      <c r="T370" s="1" t="s">
        <v>6118</v>
      </c>
      <c r="U370" s="1" t="s">
        <v>6126</v>
      </c>
      <c r="V370" s="1" t="s">
        <v>6177</v>
      </c>
      <c r="W370" s="27">
        <v>60.714285714285708</v>
      </c>
      <c r="X370" s="27">
        <v>78.571428571428569</v>
      </c>
      <c r="Y370" s="33">
        <f>AVERAGE(Table13[[#This Row],[Score 1]],Table13[[#This Row],[Score 2]])</f>
        <v>69.642857142857139</v>
      </c>
      <c r="Z370" s="1">
        <v>3</v>
      </c>
      <c r="AA370" s="1">
        <v>4</v>
      </c>
      <c r="AB370" s="22">
        <f>Table13[[#This Row],[Rank 1]]+Table13[[#This Row],[Rank 2]]</f>
        <v>7</v>
      </c>
      <c r="AC370" s="1" t="str">
        <f>IF(AND(Table13[[#This Row],[Average score]]&gt;75,Table13[[#This Row],[Total rank]]&gt;6.5),"Yes","No")</f>
        <v>No</v>
      </c>
      <c r="AD370" s="1" t="str">
        <f>IF(AND(Table13[[#This Row],[Average score]]&gt;80,Table13[[#This Row],[Total rank]]&gt;7.5),"Yes","No")</f>
        <v>No</v>
      </c>
      <c r="AF370" s="8">
        <v>45658</v>
      </c>
      <c r="AG370" s="1">
        <v>3</v>
      </c>
      <c r="AH370" s="27">
        <v>146000</v>
      </c>
      <c r="AI370" s="27">
        <v>152000</v>
      </c>
      <c r="AJ370" s="27">
        <v>152000</v>
      </c>
      <c r="AK370" s="27">
        <f>Table13[[#This Row],[Year 1]]</f>
        <v>146000</v>
      </c>
      <c r="AL370" s="27">
        <f>Table13[[#This Row],[Year 2]]</f>
        <v>152000</v>
      </c>
      <c r="AM370" s="27">
        <f>Table13[[#This Row],[Year 3]]</f>
        <v>152000</v>
      </c>
      <c r="AN370" s="1">
        <v>3</v>
      </c>
    </row>
    <row r="371" spans="1:40" x14ac:dyDescent="0.25">
      <c r="A371" s="1" t="s">
        <v>48</v>
      </c>
      <c r="B371" s="1" t="s">
        <v>2292</v>
      </c>
      <c r="C371" s="1" t="s">
        <v>50</v>
      </c>
      <c r="D371" s="1" t="s">
        <v>3034</v>
      </c>
      <c r="E371" s="1" t="s">
        <v>3035</v>
      </c>
      <c r="F371" s="22" t="s">
        <v>3</v>
      </c>
      <c r="G371" s="1" t="s">
        <v>6085</v>
      </c>
      <c r="H371" s="1" t="s">
        <v>6</v>
      </c>
      <c r="I371" s="1" t="s">
        <v>24</v>
      </c>
      <c r="J371" s="1" t="s">
        <v>25</v>
      </c>
      <c r="K371" s="1" t="s">
        <v>9</v>
      </c>
      <c r="L371" s="1" t="s">
        <v>53</v>
      </c>
      <c r="M371" s="11" t="s">
        <v>188</v>
      </c>
      <c r="N371" s="1" t="s">
        <v>6037</v>
      </c>
      <c r="O371" s="1" t="s">
        <v>13</v>
      </c>
      <c r="P371" s="1" t="s">
        <v>126</v>
      </c>
      <c r="Q371" s="1" t="s">
        <v>5769</v>
      </c>
      <c r="R371" s="1" t="s">
        <v>4417</v>
      </c>
      <c r="S371" s="1" t="s">
        <v>6070</v>
      </c>
      <c r="T371" s="1" t="s">
        <v>6071</v>
      </c>
      <c r="U371" s="1" t="s">
        <v>6088</v>
      </c>
      <c r="V371" s="1" t="s">
        <v>6171</v>
      </c>
      <c r="W371" s="27">
        <v>92.857142857142861</v>
      </c>
      <c r="X371" s="27">
        <v>92.857142857142861</v>
      </c>
      <c r="Y371" s="33">
        <f>AVERAGE(Table13[[#This Row],[Score 1]],Table13[[#This Row],[Score 2]])</f>
        <v>92.857142857142861</v>
      </c>
      <c r="Z371" s="1">
        <v>5</v>
      </c>
      <c r="AA371" s="1">
        <v>5</v>
      </c>
      <c r="AB371" s="22">
        <f>Table13[[#This Row],[Rank 1]]+Table13[[#This Row],[Rank 2]]</f>
        <v>10</v>
      </c>
      <c r="AC371" s="1" t="str">
        <f>IF(AND(Table13[[#This Row],[Average score]]&gt;75,Table13[[#This Row],[Total rank]]&gt;6.5),"Yes","No")</f>
        <v>Yes</v>
      </c>
      <c r="AD371" s="1" t="str">
        <f>IF(AND(Table13[[#This Row],[Average score]]&gt;80,Table13[[#This Row],[Total rank]]&gt;7.5),"Yes","No")</f>
        <v>Yes</v>
      </c>
      <c r="AE371" s="1" t="s">
        <v>6221</v>
      </c>
      <c r="AF371" s="8">
        <v>45706</v>
      </c>
      <c r="AG371" s="1">
        <v>1</v>
      </c>
      <c r="AH371" s="27">
        <v>247166.45</v>
      </c>
      <c r="AI371" s="30">
        <v>0</v>
      </c>
      <c r="AJ371" s="30">
        <v>0</v>
      </c>
      <c r="AK371" s="30">
        <v>248000</v>
      </c>
      <c r="AL371" s="30">
        <f>Table13[[#This Row],[Year 2]]</f>
        <v>0</v>
      </c>
      <c r="AM371" s="30">
        <f>Table13[[#This Row],[Year 3]]</f>
        <v>0</v>
      </c>
      <c r="AN371" s="1">
        <v>3</v>
      </c>
    </row>
    <row r="372" spans="1:40" hidden="1" x14ac:dyDescent="0.25">
      <c r="A372" s="1" t="s">
        <v>48</v>
      </c>
      <c r="B372" s="1" t="s">
        <v>2293</v>
      </c>
      <c r="C372" s="1" t="s">
        <v>50</v>
      </c>
      <c r="D372" s="1" t="s">
        <v>3036</v>
      </c>
      <c r="E372" s="1" t="s">
        <v>3037</v>
      </c>
      <c r="F372" s="22" t="s">
        <v>3</v>
      </c>
      <c r="G372" s="1" t="s">
        <v>6085</v>
      </c>
      <c r="H372" s="1" t="s">
        <v>5</v>
      </c>
      <c r="I372" s="1" t="s">
        <v>20</v>
      </c>
      <c r="J372" s="1" t="s">
        <v>25</v>
      </c>
      <c r="K372" s="1" t="s">
        <v>9</v>
      </c>
      <c r="L372" s="1" t="s">
        <v>53</v>
      </c>
      <c r="M372" s="11" t="s">
        <v>188</v>
      </c>
      <c r="N372" s="1" t="s">
        <v>6037</v>
      </c>
      <c r="O372" s="1" t="s">
        <v>14</v>
      </c>
      <c r="P372" s="1" t="s">
        <v>247</v>
      </c>
      <c r="Q372" s="1" t="s">
        <v>5770</v>
      </c>
      <c r="R372" s="1" t="s">
        <v>4419</v>
      </c>
      <c r="S372" s="1" t="s">
        <v>6141</v>
      </c>
      <c r="T372" s="11" t="s">
        <v>6144</v>
      </c>
      <c r="U372" s="1" t="s">
        <v>6161</v>
      </c>
      <c r="V372" s="1" t="s">
        <v>6165</v>
      </c>
      <c r="W372" s="27">
        <v>89.285714285714292</v>
      </c>
      <c r="X372" s="27">
        <v>89.285714285714292</v>
      </c>
      <c r="Y372" s="33">
        <f>AVERAGE(Table13[[#This Row],[Score 1]],Table13[[#This Row],[Score 2]])</f>
        <v>89.285714285714292</v>
      </c>
      <c r="Z372" s="1">
        <v>5</v>
      </c>
      <c r="AA372" s="1">
        <v>4</v>
      </c>
      <c r="AB372" s="22">
        <f>Table13[[#This Row],[Rank 1]]+Table13[[#This Row],[Rank 2]]</f>
        <v>9</v>
      </c>
      <c r="AC372" s="1" t="str">
        <f>IF(AND(Table13[[#This Row],[Average score]]&gt;75,Table13[[#This Row],[Total rank]]&gt;6.5),"Yes","No")</f>
        <v>Yes</v>
      </c>
      <c r="AD372" s="1" t="str">
        <f>IF(AND(Table13[[#This Row],[Average score]]&gt;80,Table13[[#This Row],[Total rank]]&gt;7.5),"Yes","No")</f>
        <v>Yes</v>
      </c>
      <c r="AF372" s="8">
        <v>45748</v>
      </c>
      <c r="AG372" s="1">
        <v>2</v>
      </c>
      <c r="AH372" s="27">
        <v>107286</v>
      </c>
      <c r="AI372" s="27">
        <v>107286</v>
      </c>
      <c r="AJ372" s="30">
        <v>0</v>
      </c>
      <c r="AK372" s="30">
        <f>Table13[[#This Row],[Year 1]]</f>
        <v>107286</v>
      </c>
      <c r="AL372" s="30">
        <f>Table13[[#This Row],[Year 2]]</f>
        <v>107286</v>
      </c>
      <c r="AM372" s="30">
        <f>Table13[[#This Row],[Year 3]]</f>
        <v>0</v>
      </c>
      <c r="AN372" s="1">
        <v>2</v>
      </c>
    </row>
    <row r="373" spans="1:40" hidden="1" x14ac:dyDescent="0.25">
      <c r="A373" s="1" t="s">
        <v>48</v>
      </c>
      <c r="B373" s="1" t="s">
        <v>2294</v>
      </c>
      <c r="C373" s="1" t="s">
        <v>50</v>
      </c>
      <c r="D373" s="1" t="s">
        <v>3038</v>
      </c>
      <c r="E373" s="1" t="s">
        <v>3039</v>
      </c>
      <c r="F373" s="22" t="s">
        <v>3</v>
      </c>
      <c r="G373" s="1" t="s">
        <v>6085</v>
      </c>
      <c r="H373" s="1" t="s">
        <v>7</v>
      </c>
      <c r="I373" s="1" t="s">
        <v>20</v>
      </c>
      <c r="J373" s="1" t="s">
        <v>25</v>
      </c>
      <c r="K373" s="1" t="s">
        <v>9</v>
      </c>
      <c r="L373" s="1" t="s">
        <v>53</v>
      </c>
      <c r="M373" s="11" t="s">
        <v>188</v>
      </c>
      <c r="N373" s="1" t="s">
        <v>6037</v>
      </c>
      <c r="O373" s="1" t="s">
        <v>10</v>
      </c>
      <c r="P373" s="1" t="s">
        <v>181</v>
      </c>
      <c r="Q373" s="18" t="s">
        <v>5771</v>
      </c>
      <c r="R373" s="1" t="s">
        <v>4421</v>
      </c>
      <c r="S373" s="1" t="s">
        <v>6049</v>
      </c>
      <c r="T373" s="1" t="s">
        <v>6050</v>
      </c>
      <c r="U373" s="1" t="s">
        <v>6104</v>
      </c>
      <c r="V373" s="1" t="s">
        <v>6200</v>
      </c>
      <c r="W373" s="27">
        <v>44.444444444444443</v>
      </c>
      <c r="X373" s="27">
        <v>66.666666666666657</v>
      </c>
      <c r="Y373" s="33">
        <f>AVERAGE(Table13[[#This Row],[Score 1]],Table13[[#This Row],[Score 2]])</f>
        <v>55.55555555555555</v>
      </c>
      <c r="Z373" s="1">
        <v>1</v>
      </c>
      <c r="AA373" s="1">
        <v>2</v>
      </c>
      <c r="AB373" s="22">
        <f>Table13[[#This Row],[Rank 1]]+Table13[[#This Row],[Rank 2]]</f>
        <v>3</v>
      </c>
      <c r="AC373" s="1" t="str">
        <f>IF(AND(Table13[[#This Row],[Average score]]&gt;75,Table13[[#This Row],[Total rank]]&gt;6.5),"Yes","No")</f>
        <v>No</v>
      </c>
      <c r="AD373" s="1" t="str">
        <f>IF(AND(Table13[[#This Row],[Average score]]&gt;80,Table13[[#This Row],[Total rank]]&gt;7.5),"Yes","No")</f>
        <v>No</v>
      </c>
      <c r="AF373" s="8">
        <v>38747</v>
      </c>
      <c r="AG373" s="1">
        <v>2</v>
      </c>
      <c r="AH373" s="27">
        <v>495000</v>
      </c>
      <c r="AI373" s="27">
        <v>415000</v>
      </c>
      <c r="AJ373" s="30">
        <v>0</v>
      </c>
      <c r="AK373" s="30">
        <f>Table13[[#This Row],[Year 1]]</f>
        <v>495000</v>
      </c>
      <c r="AL373" s="30">
        <f>Table13[[#This Row],[Year 2]]</f>
        <v>415000</v>
      </c>
      <c r="AM373" s="30">
        <f>Table13[[#This Row],[Year 3]]</f>
        <v>0</v>
      </c>
      <c r="AN373" s="1">
        <v>3</v>
      </c>
    </row>
    <row r="374" spans="1:40" hidden="1" x14ac:dyDescent="0.25">
      <c r="A374" s="1" t="s">
        <v>48</v>
      </c>
      <c r="B374" s="1" t="s">
        <v>2295</v>
      </c>
      <c r="C374" s="1" t="s">
        <v>50</v>
      </c>
      <c r="D374" s="1" t="s">
        <v>3040</v>
      </c>
      <c r="E374" s="1" t="s">
        <v>3041</v>
      </c>
      <c r="F374" s="22" t="s">
        <v>3</v>
      </c>
      <c r="G374" s="1" t="s">
        <v>6085</v>
      </c>
      <c r="H374" s="1" t="s">
        <v>6</v>
      </c>
      <c r="I374" s="1" t="s">
        <v>20</v>
      </c>
      <c r="J374" s="1" t="s">
        <v>25</v>
      </c>
      <c r="K374" s="1" t="s">
        <v>9</v>
      </c>
      <c r="L374" s="1" t="s">
        <v>53</v>
      </c>
      <c r="M374" s="11" t="s">
        <v>188</v>
      </c>
      <c r="N374" s="1" t="s">
        <v>6037</v>
      </c>
      <c r="O374" s="1" t="s">
        <v>13</v>
      </c>
      <c r="P374" s="1" t="s">
        <v>126</v>
      </c>
      <c r="Q374" s="1" t="s">
        <v>5772</v>
      </c>
      <c r="R374" s="1" t="s">
        <v>4423</v>
      </c>
      <c r="S374" s="1" t="s">
        <v>6063</v>
      </c>
      <c r="T374" s="1" t="s">
        <v>6076</v>
      </c>
      <c r="U374" s="1" t="s">
        <v>6100</v>
      </c>
      <c r="V374" s="1" t="s">
        <v>6195</v>
      </c>
      <c r="W374" s="27">
        <v>75</v>
      </c>
      <c r="X374" s="27">
        <v>82.142857142857139</v>
      </c>
      <c r="Y374" s="33">
        <f>AVERAGE(Table13[[#This Row],[Score 1]],Table13[[#This Row],[Score 2]])</f>
        <v>78.571428571428569</v>
      </c>
      <c r="Z374" s="1">
        <v>3</v>
      </c>
      <c r="AA374" s="1">
        <v>4</v>
      </c>
      <c r="AB374" s="22">
        <f>Table13[[#This Row],[Rank 1]]+Table13[[#This Row],[Rank 2]]</f>
        <v>7</v>
      </c>
      <c r="AC374" s="1" t="str">
        <f>IF(AND(Table13[[#This Row],[Average score]]&gt;75,Table13[[#This Row],[Total rank]]&gt;6.5),"Yes","No")</f>
        <v>Yes</v>
      </c>
      <c r="AD374" s="1" t="str">
        <f>IF(AND(Table13[[#This Row],[Average score]]&gt;80,Table13[[#This Row],[Total rank]]&gt;7.5),"Yes","No")</f>
        <v>No</v>
      </c>
      <c r="AF374" s="8">
        <v>45716</v>
      </c>
      <c r="AG374" s="1">
        <v>1</v>
      </c>
      <c r="AH374" s="27">
        <v>179000</v>
      </c>
      <c r="AI374" s="30">
        <v>0</v>
      </c>
      <c r="AJ374" s="30">
        <v>0</v>
      </c>
      <c r="AK374" s="30">
        <f>Table13[[#This Row],[Year 1]]</f>
        <v>179000</v>
      </c>
      <c r="AL374" s="30">
        <f>Table13[[#This Row],[Year 2]]</f>
        <v>0</v>
      </c>
      <c r="AM374" s="30">
        <f>Table13[[#This Row],[Year 3]]</f>
        <v>0</v>
      </c>
      <c r="AN374" s="1">
        <v>3</v>
      </c>
    </row>
    <row r="375" spans="1:40" hidden="1" x14ac:dyDescent="0.25">
      <c r="A375" s="1" t="s">
        <v>48</v>
      </c>
      <c r="B375" s="10" t="s">
        <v>2296</v>
      </c>
      <c r="C375" s="1" t="s">
        <v>50</v>
      </c>
      <c r="D375" s="1" t="s">
        <v>3042</v>
      </c>
      <c r="E375" s="1" t="s">
        <v>3043</v>
      </c>
      <c r="F375" s="22" t="s">
        <v>3</v>
      </c>
      <c r="G375" s="1" t="s">
        <v>6085</v>
      </c>
      <c r="H375" s="1" t="s">
        <v>7</v>
      </c>
      <c r="I375" s="1" t="s">
        <v>20</v>
      </c>
      <c r="J375" s="1" t="s">
        <v>26</v>
      </c>
      <c r="K375" s="1" t="s">
        <v>9</v>
      </c>
      <c r="L375" s="1" t="s">
        <v>53</v>
      </c>
      <c r="M375" s="11" t="s">
        <v>188</v>
      </c>
      <c r="N375" s="1" t="s">
        <v>6037</v>
      </c>
      <c r="O375" s="1" t="s">
        <v>16</v>
      </c>
      <c r="P375" s="1" t="s">
        <v>126</v>
      </c>
      <c r="Q375" s="1" t="s">
        <v>5773</v>
      </c>
      <c r="R375" s="1" t="s">
        <v>4424</v>
      </c>
      <c r="S375" s="1" t="s">
        <v>6113</v>
      </c>
      <c r="T375" s="1" t="s">
        <v>6114</v>
      </c>
      <c r="U375" s="2" t="s">
        <v>6128</v>
      </c>
      <c r="V375" s="1" t="s">
        <v>6182</v>
      </c>
      <c r="W375" s="29">
        <f>Table13[[#This Row],[Score 2]]</f>
        <v>94.444444444444443</v>
      </c>
      <c r="X375" s="27">
        <v>94.444444444444443</v>
      </c>
      <c r="Y375" s="33">
        <f>AVERAGE(Table13[[#This Row],[Score 1]],Table13[[#This Row],[Score 2]])</f>
        <v>94.444444444444443</v>
      </c>
      <c r="Z375" s="2">
        <f>Table13[[#This Row],[Rank 2]]</f>
        <v>4</v>
      </c>
      <c r="AA375" s="1">
        <v>4</v>
      </c>
      <c r="AB375" s="22">
        <f>Table13[[#This Row],[Rank 1]]+Table13[[#This Row],[Rank 2]]</f>
        <v>8</v>
      </c>
      <c r="AC375" s="1" t="str">
        <f>IF(AND(Table13[[#This Row],[Average score]]&gt;75,Table13[[#This Row],[Total rank]]&gt;6.5),"Yes","No")</f>
        <v>Yes</v>
      </c>
      <c r="AD375" s="1" t="str">
        <f>IF(AND(Table13[[#This Row],[Average score]]&gt;80,Table13[[#This Row],[Total rank]]&gt;7.5),"Yes","No")</f>
        <v>Yes</v>
      </c>
      <c r="AE375" s="1" t="s">
        <v>6223</v>
      </c>
      <c r="AF375" s="8">
        <v>46027</v>
      </c>
      <c r="AG375" s="1">
        <v>2</v>
      </c>
      <c r="AH375" s="27">
        <v>523112.25</v>
      </c>
      <c r="AI375" s="27">
        <v>558438.5</v>
      </c>
      <c r="AJ375" s="30">
        <v>0</v>
      </c>
      <c r="AK375" s="30">
        <v>500000</v>
      </c>
      <c r="AL375" s="30">
        <v>500000</v>
      </c>
      <c r="AM375" s="30">
        <f>Table13[[#This Row],[Year 3]]</f>
        <v>0</v>
      </c>
      <c r="AN375" s="1">
        <v>3</v>
      </c>
    </row>
    <row r="376" spans="1:40" hidden="1" x14ac:dyDescent="0.25">
      <c r="A376" s="1" t="s">
        <v>48</v>
      </c>
      <c r="B376" s="1" t="s">
        <v>2297</v>
      </c>
      <c r="C376" s="1" t="s">
        <v>50</v>
      </c>
      <c r="D376" s="1" t="s">
        <v>3044</v>
      </c>
      <c r="E376" s="1" t="s">
        <v>3045</v>
      </c>
      <c r="F376" s="22" t="s">
        <v>3</v>
      </c>
      <c r="G376" s="1" t="s">
        <v>6085</v>
      </c>
      <c r="H376" s="1" t="s">
        <v>5</v>
      </c>
      <c r="I376" s="1" t="s">
        <v>20</v>
      </c>
      <c r="J376" s="1" t="s">
        <v>25</v>
      </c>
      <c r="K376" s="1" t="s">
        <v>9</v>
      </c>
      <c r="L376" s="1" t="s">
        <v>53</v>
      </c>
      <c r="M376" s="11" t="s">
        <v>188</v>
      </c>
      <c r="N376" s="1" t="s">
        <v>6037</v>
      </c>
      <c r="O376" s="1" t="s">
        <v>13</v>
      </c>
      <c r="P376" s="1" t="s">
        <v>126</v>
      </c>
      <c r="Q376" s="1" t="s">
        <v>5774</v>
      </c>
      <c r="R376" s="1" t="s">
        <v>4427</v>
      </c>
      <c r="S376" s="1" t="s">
        <v>6063</v>
      </c>
      <c r="T376" s="1" t="s">
        <v>6076</v>
      </c>
      <c r="U376" s="1" t="s">
        <v>6100</v>
      </c>
      <c r="V376" s="1" t="s">
        <v>6195</v>
      </c>
      <c r="W376" s="27">
        <v>64.285714285714292</v>
      </c>
      <c r="X376" s="27">
        <v>67.857142857142861</v>
      </c>
      <c r="Y376" s="33">
        <f>AVERAGE(Table13[[#This Row],[Score 1]],Table13[[#This Row],[Score 2]])</f>
        <v>66.071428571428584</v>
      </c>
      <c r="Z376" s="1">
        <v>2</v>
      </c>
      <c r="AA376" s="1">
        <v>4</v>
      </c>
      <c r="AB376" s="22">
        <f>Table13[[#This Row],[Rank 1]]+Table13[[#This Row],[Rank 2]]</f>
        <v>6</v>
      </c>
      <c r="AC376" s="1" t="str">
        <f>IF(AND(Table13[[#This Row],[Average score]]&gt;75,Table13[[#This Row],[Total rank]]&gt;6.5),"Yes","No")</f>
        <v>No</v>
      </c>
      <c r="AD376" s="1" t="str">
        <f>IF(AND(Table13[[#This Row],[Average score]]&gt;80,Table13[[#This Row],[Total rank]]&gt;7.5),"Yes","No")</f>
        <v>No</v>
      </c>
      <c r="AF376" s="8">
        <v>46049</v>
      </c>
      <c r="AG376" s="1">
        <v>3</v>
      </c>
      <c r="AH376" s="27">
        <v>241970</v>
      </c>
      <c r="AI376" s="27">
        <v>241970</v>
      </c>
      <c r="AJ376" s="27">
        <v>241970</v>
      </c>
      <c r="AK376" s="27">
        <f>Table13[[#This Row],[Year 1]]</f>
        <v>241970</v>
      </c>
      <c r="AL376" s="27">
        <f>Table13[[#This Row],[Year 2]]</f>
        <v>241970</v>
      </c>
      <c r="AM376" s="27">
        <f>Table13[[#This Row],[Year 3]]</f>
        <v>241970</v>
      </c>
      <c r="AN376" s="1">
        <v>3</v>
      </c>
    </row>
    <row r="377" spans="1:40" hidden="1" x14ac:dyDescent="0.25">
      <c r="A377" s="1" t="s">
        <v>48</v>
      </c>
      <c r="B377" s="1" t="s">
        <v>2298</v>
      </c>
      <c r="C377" s="1" t="s">
        <v>50</v>
      </c>
      <c r="D377" s="1" t="s">
        <v>3046</v>
      </c>
      <c r="E377" s="1" t="s">
        <v>3047</v>
      </c>
      <c r="F377" s="22" t="s">
        <v>3</v>
      </c>
      <c r="G377" s="1" t="s">
        <v>6085</v>
      </c>
      <c r="H377" s="1" t="s">
        <v>6</v>
      </c>
      <c r="I377" s="1" t="s">
        <v>21</v>
      </c>
      <c r="J377" s="1" t="s">
        <v>26</v>
      </c>
      <c r="K377" s="1" t="s">
        <v>9</v>
      </c>
      <c r="L377" s="1" t="s">
        <v>53</v>
      </c>
      <c r="M377" s="11" t="s">
        <v>188</v>
      </c>
      <c r="N377" s="1" t="s">
        <v>6037</v>
      </c>
      <c r="O377" s="1" t="s">
        <v>14</v>
      </c>
      <c r="P377" s="1" t="s">
        <v>707</v>
      </c>
      <c r="Q377" s="1" t="s">
        <v>5775</v>
      </c>
      <c r="R377" s="1" t="s">
        <v>4429</v>
      </c>
      <c r="S377" s="1" t="s">
        <v>6141</v>
      </c>
      <c r="T377" s="11" t="s">
        <v>6135</v>
      </c>
      <c r="U377" s="1" t="s">
        <v>6165</v>
      </c>
      <c r="V377" s="1" t="s">
        <v>6201</v>
      </c>
      <c r="W377" s="27">
        <v>67.857142857142861</v>
      </c>
      <c r="X377" s="27">
        <v>67.857142857142861</v>
      </c>
      <c r="Y377" s="33">
        <f>AVERAGE(Table13[[#This Row],[Score 1]],Table13[[#This Row],[Score 2]])</f>
        <v>67.857142857142861</v>
      </c>
      <c r="Z377" s="1">
        <v>3</v>
      </c>
      <c r="AA377" s="1">
        <v>3</v>
      </c>
      <c r="AB377" s="22">
        <f>Table13[[#This Row],[Rank 1]]+Table13[[#This Row],[Rank 2]]</f>
        <v>6</v>
      </c>
      <c r="AC377" s="1" t="str">
        <f>IF(AND(Table13[[#This Row],[Average score]]&gt;75,Table13[[#This Row],[Total rank]]&gt;6.5),"Yes","No")</f>
        <v>No</v>
      </c>
      <c r="AD377" s="1" t="str">
        <f>IF(AND(Table13[[#This Row],[Average score]]&gt;80,Table13[[#This Row],[Total rank]]&gt;7.5),"Yes","No")</f>
        <v>No</v>
      </c>
      <c r="AF377" s="8">
        <v>45352</v>
      </c>
      <c r="AG377" s="1">
        <v>1</v>
      </c>
      <c r="AH377" s="27">
        <v>95000</v>
      </c>
      <c r="AI377" s="30">
        <v>0</v>
      </c>
      <c r="AJ377" s="30">
        <v>0</v>
      </c>
      <c r="AK377" s="30">
        <f>Table13[[#This Row],[Year 1]]</f>
        <v>95000</v>
      </c>
      <c r="AL377" s="30">
        <f>Table13[[#This Row],[Year 2]]</f>
        <v>0</v>
      </c>
      <c r="AM377" s="30">
        <f>Table13[[#This Row],[Year 3]]</f>
        <v>0</v>
      </c>
      <c r="AN377" s="1">
        <v>3</v>
      </c>
    </row>
    <row r="378" spans="1:40" hidden="1" x14ac:dyDescent="0.25">
      <c r="A378" s="1" t="s">
        <v>48</v>
      </c>
      <c r="B378" s="1" t="s">
        <v>2299</v>
      </c>
      <c r="C378" s="1" t="s">
        <v>50</v>
      </c>
      <c r="D378" s="1" t="s">
        <v>3048</v>
      </c>
      <c r="E378" s="1" t="s">
        <v>3049</v>
      </c>
      <c r="F378" s="22" t="s">
        <v>3</v>
      </c>
      <c r="G378" s="1" t="s">
        <v>6085</v>
      </c>
      <c r="H378" s="1" t="s">
        <v>5</v>
      </c>
      <c r="I378" s="1" t="s">
        <v>24</v>
      </c>
      <c r="J378" s="1" t="s">
        <v>25</v>
      </c>
      <c r="K378" s="1" t="s">
        <v>9</v>
      </c>
      <c r="L378" s="1" t="s">
        <v>53</v>
      </c>
      <c r="M378" s="11" t="s">
        <v>188</v>
      </c>
      <c r="N378" s="1" t="s">
        <v>6037</v>
      </c>
      <c r="O378" s="1" t="s">
        <v>16</v>
      </c>
      <c r="P378" s="1" t="s">
        <v>126</v>
      </c>
      <c r="Q378" s="1" t="s">
        <v>5776</v>
      </c>
      <c r="R378" s="1" t="s">
        <v>4430</v>
      </c>
      <c r="S378" s="1" t="s">
        <v>6109</v>
      </c>
      <c r="T378" s="1" t="s">
        <v>6124</v>
      </c>
      <c r="U378" s="1" t="s">
        <v>6125</v>
      </c>
      <c r="V378" s="1" t="s">
        <v>6132</v>
      </c>
      <c r="W378" s="27">
        <v>78.571428571428569</v>
      </c>
      <c r="X378" s="27">
        <v>85.714285714285708</v>
      </c>
      <c r="Y378" s="33">
        <f>AVERAGE(Table13[[#This Row],[Score 1]],Table13[[#This Row],[Score 2]])</f>
        <v>82.142857142857139</v>
      </c>
      <c r="Z378" s="1">
        <v>3</v>
      </c>
      <c r="AA378" s="1">
        <v>5</v>
      </c>
      <c r="AB378" s="22">
        <f>Table13[[#This Row],[Rank 1]]+Table13[[#This Row],[Rank 2]]</f>
        <v>8</v>
      </c>
      <c r="AC378" s="1" t="str">
        <f>IF(AND(Table13[[#This Row],[Average score]]&gt;75,Table13[[#This Row],[Total rank]]&gt;6.5),"Yes","No")</f>
        <v>Yes</v>
      </c>
      <c r="AD378" s="1" t="str">
        <f>IF(AND(Table13[[#This Row],[Average score]]&gt;80,Table13[[#This Row],[Total rank]]&gt;7.5),"Yes","No")</f>
        <v>Yes</v>
      </c>
      <c r="AF378" s="8">
        <v>46023</v>
      </c>
      <c r="AG378" s="1">
        <v>3</v>
      </c>
      <c r="AH378" s="27">
        <v>249170</v>
      </c>
      <c r="AI378" s="27">
        <v>229170</v>
      </c>
      <c r="AJ378" s="27">
        <v>299170</v>
      </c>
      <c r="AK378" s="27">
        <f>Table13[[#This Row],[Year 1]]</f>
        <v>249170</v>
      </c>
      <c r="AL378" s="27">
        <f>Table13[[#This Row],[Year 2]]</f>
        <v>229170</v>
      </c>
      <c r="AM378" s="27">
        <f>Table13[[#This Row],[Year 3]]</f>
        <v>299170</v>
      </c>
      <c r="AN378" s="1">
        <v>3</v>
      </c>
    </row>
    <row r="379" spans="1:40" hidden="1" x14ac:dyDescent="0.25">
      <c r="A379" s="1" t="s">
        <v>48</v>
      </c>
      <c r="B379" s="2" t="s">
        <v>2300</v>
      </c>
      <c r="C379" s="1" t="s">
        <v>50</v>
      </c>
      <c r="D379" s="1" t="s">
        <v>3050</v>
      </c>
      <c r="E379" s="1" t="s">
        <v>3051</v>
      </c>
      <c r="F379" s="22" t="s">
        <v>3</v>
      </c>
      <c r="G379" s="1" t="s">
        <v>6085</v>
      </c>
      <c r="H379" s="1" t="s">
        <v>6</v>
      </c>
      <c r="I379" s="1" t="s">
        <v>20</v>
      </c>
      <c r="J379" s="1" t="s">
        <v>25</v>
      </c>
      <c r="K379" s="1" t="s">
        <v>9</v>
      </c>
      <c r="L379" s="1" t="s">
        <v>53</v>
      </c>
      <c r="M379" s="11" t="s">
        <v>188</v>
      </c>
      <c r="N379" s="1" t="s">
        <v>6037</v>
      </c>
      <c r="O379" s="1" t="s">
        <v>13</v>
      </c>
      <c r="P379" s="1" t="s">
        <v>199</v>
      </c>
      <c r="Q379" s="1" t="s">
        <v>5777</v>
      </c>
      <c r="R379" s="1" t="s">
        <v>4434</v>
      </c>
      <c r="S379" s="1" t="s">
        <v>6066</v>
      </c>
      <c r="T379" s="1" t="s">
        <v>6067</v>
      </c>
      <c r="U379" s="1" t="s">
        <v>6103</v>
      </c>
      <c r="V379" s="1" t="s">
        <v>6198</v>
      </c>
      <c r="W379" s="27">
        <v>67.857142857142861</v>
      </c>
      <c r="X379" s="29">
        <f>Table13[[#This Row],[Score 1]]</f>
        <v>67.857142857142861</v>
      </c>
      <c r="Y379" s="33">
        <f>AVERAGE(Table13[[#This Row],[Score 1]],Table13[[#This Row],[Score 2]])</f>
        <v>67.857142857142861</v>
      </c>
      <c r="Z379" s="1">
        <v>3</v>
      </c>
      <c r="AA379" s="2">
        <f>Table13[[#This Row],[Rank 1]]</f>
        <v>3</v>
      </c>
      <c r="AB379" s="22">
        <f>Table13[[#This Row],[Rank 1]]+Table13[[#This Row],[Rank 2]]</f>
        <v>6</v>
      </c>
      <c r="AC379" s="1" t="str">
        <f>IF(AND(Table13[[#This Row],[Average score]]&gt;75,Table13[[#This Row],[Total rank]]&gt;6.5),"Yes","No")</f>
        <v>No</v>
      </c>
      <c r="AD379" s="1" t="str">
        <f>IF(AND(Table13[[#This Row],[Average score]]&gt;80,Table13[[#This Row],[Total rank]]&gt;7.5),"Yes","No")</f>
        <v>No</v>
      </c>
      <c r="AF379" s="8">
        <v>46023</v>
      </c>
      <c r="AG379" s="1">
        <v>1</v>
      </c>
      <c r="AH379" s="27">
        <v>54400</v>
      </c>
      <c r="AI379" s="30">
        <v>0</v>
      </c>
      <c r="AJ379" s="30">
        <v>0</v>
      </c>
      <c r="AK379" s="30">
        <f>Table13[[#This Row],[Year 1]]</f>
        <v>54400</v>
      </c>
      <c r="AL379" s="30">
        <f>Table13[[#This Row],[Year 2]]</f>
        <v>0</v>
      </c>
      <c r="AM379" s="30">
        <f>Table13[[#This Row],[Year 3]]</f>
        <v>0</v>
      </c>
      <c r="AN379" s="1">
        <v>3</v>
      </c>
    </row>
    <row r="380" spans="1:40" hidden="1" x14ac:dyDescent="0.25">
      <c r="A380" s="1" t="s">
        <v>48</v>
      </c>
      <c r="B380" s="1" t="s">
        <v>2301</v>
      </c>
      <c r="C380" s="1" t="s">
        <v>50</v>
      </c>
      <c r="D380" s="1" t="s">
        <v>3052</v>
      </c>
      <c r="E380" s="1" t="s">
        <v>3053</v>
      </c>
      <c r="F380" s="22" t="s">
        <v>3</v>
      </c>
      <c r="G380" s="1" t="s">
        <v>6085</v>
      </c>
      <c r="H380" s="1" t="s">
        <v>7</v>
      </c>
      <c r="I380" s="1" t="s">
        <v>20</v>
      </c>
      <c r="J380" s="1" t="s">
        <v>26</v>
      </c>
      <c r="K380" s="1" t="s">
        <v>9</v>
      </c>
      <c r="L380" s="1" t="s">
        <v>53</v>
      </c>
      <c r="M380" s="11" t="s">
        <v>188</v>
      </c>
      <c r="N380" s="1" t="s">
        <v>6037</v>
      </c>
      <c r="O380" s="1" t="s">
        <v>12</v>
      </c>
      <c r="P380" s="1" t="s">
        <v>4436</v>
      </c>
      <c r="Q380" s="1" t="s">
        <v>5778</v>
      </c>
      <c r="R380" s="1" t="s">
        <v>5258</v>
      </c>
      <c r="S380" s="1" t="s">
        <v>6155</v>
      </c>
      <c r="T380" s="1" t="s">
        <v>6154</v>
      </c>
      <c r="U380" s="1" t="s">
        <v>6164</v>
      </c>
      <c r="V380" s="1" t="s">
        <v>6167</v>
      </c>
      <c r="W380" s="27">
        <v>66.666666666666657</v>
      </c>
      <c r="X380" s="27">
        <v>63.888888888888886</v>
      </c>
      <c r="Y380" s="33">
        <f>AVERAGE(Table13[[#This Row],[Score 1]],Table13[[#This Row],[Score 2]])</f>
        <v>65.277777777777771</v>
      </c>
      <c r="Z380" s="1">
        <v>3</v>
      </c>
      <c r="AA380" s="1">
        <v>1</v>
      </c>
      <c r="AB380" s="22">
        <f>Table13[[#This Row],[Rank 1]]+Table13[[#This Row],[Rank 2]]</f>
        <v>4</v>
      </c>
      <c r="AC380" s="1" t="str">
        <f>IF(AND(Table13[[#This Row],[Average score]]&gt;75,Table13[[#This Row],[Total rank]]&gt;6.5),"Yes","No")</f>
        <v>No</v>
      </c>
      <c r="AD380" s="1" t="str">
        <f>IF(AND(Table13[[#This Row],[Average score]]&gt;80,Table13[[#This Row],[Total rank]]&gt;7.5),"Yes","No")</f>
        <v>No</v>
      </c>
      <c r="AF380" s="8">
        <v>46083</v>
      </c>
      <c r="AG380" s="1">
        <v>2</v>
      </c>
      <c r="AH380" s="27">
        <v>204000</v>
      </c>
      <c r="AI380" s="27">
        <v>189000</v>
      </c>
      <c r="AJ380" s="30">
        <v>0</v>
      </c>
      <c r="AK380" s="30">
        <f>Table13[[#This Row],[Year 1]]</f>
        <v>204000</v>
      </c>
      <c r="AL380" s="30">
        <f>Table13[[#This Row],[Year 2]]</f>
        <v>189000</v>
      </c>
      <c r="AM380" s="30">
        <f>Table13[[#This Row],[Year 3]]</f>
        <v>0</v>
      </c>
      <c r="AN380" s="1">
        <v>2</v>
      </c>
    </row>
    <row r="381" spans="1:40" hidden="1" x14ac:dyDescent="0.25">
      <c r="A381" s="1" t="s">
        <v>48</v>
      </c>
      <c r="B381" s="1" t="s">
        <v>2302</v>
      </c>
      <c r="C381" s="1" t="s">
        <v>50</v>
      </c>
      <c r="D381" s="1" t="s">
        <v>3054</v>
      </c>
      <c r="E381" s="1" t="s">
        <v>3055</v>
      </c>
      <c r="F381" s="22" t="s">
        <v>3</v>
      </c>
      <c r="G381" s="1" t="s">
        <v>6085</v>
      </c>
      <c r="H381" s="1" t="s">
        <v>6</v>
      </c>
      <c r="I381" s="1" t="s">
        <v>20</v>
      </c>
      <c r="J381" s="1" t="s">
        <v>26</v>
      </c>
      <c r="K381" s="1" t="s">
        <v>9</v>
      </c>
      <c r="L381" s="1" t="s">
        <v>53</v>
      </c>
      <c r="M381" s="11" t="s">
        <v>188</v>
      </c>
      <c r="N381" s="1" t="s">
        <v>6037</v>
      </c>
      <c r="O381" s="1" t="s">
        <v>10</v>
      </c>
      <c r="P381" s="1" t="s">
        <v>60</v>
      </c>
      <c r="Q381" s="17" t="s">
        <v>5779</v>
      </c>
      <c r="R381" s="1" t="s">
        <v>4439</v>
      </c>
      <c r="S381" s="1" t="s">
        <v>6043</v>
      </c>
      <c r="T381" s="1" t="s">
        <v>6044</v>
      </c>
      <c r="U381" s="1" t="s">
        <v>6091</v>
      </c>
      <c r="V381" s="1" t="s">
        <v>6175</v>
      </c>
      <c r="W381" s="27">
        <v>35.714285714285715</v>
      </c>
      <c r="X381" s="27">
        <v>75</v>
      </c>
      <c r="Y381" s="33">
        <f>AVERAGE(Table13[[#This Row],[Score 1]],Table13[[#This Row],[Score 2]])</f>
        <v>55.357142857142861</v>
      </c>
      <c r="Z381" s="1">
        <v>2</v>
      </c>
      <c r="AA381" s="1">
        <v>3</v>
      </c>
      <c r="AB381" s="22">
        <f>Table13[[#This Row],[Rank 1]]+Table13[[#This Row],[Rank 2]]</f>
        <v>5</v>
      </c>
      <c r="AC381" s="1" t="str">
        <f>IF(AND(Table13[[#This Row],[Average score]]&gt;75,Table13[[#This Row],[Total rank]]&gt;6.5),"Yes","No")</f>
        <v>No</v>
      </c>
      <c r="AD381" s="1" t="str">
        <f>IF(AND(Table13[[#This Row],[Average score]]&gt;80,Table13[[#This Row],[Total rank]]&gt;7.5),"Yes","No")</f>
        <v>No</v>
      </c>
      <c r="AF381" s="8">
        <v>45714</v>
      </c>
      <c r="AG381" s="1">
        <v>1</v>
      </c>
      <c r="AH381" s="27">
        <v>22610</v>
      </c>
      <c r="AI381" s="30">
        <v>0</v>
      </c>
      <c r="AJ381" s="30">
        <v>0</v>
      </c>
      <c r="AK381" s="30">
        <f>Table13[[#This Row],[Year 1]]</f>
        <v>22610</v>
      </c>
      <c r="AL381" s="30">
        <f>Table13[[#This Row],[Year 2]]</f>
        <v>0</v>
      </c>
      <c r="AM381" s="30">
        <f>Table13[[#This Row],[Year 3]]</f>
        <v>0</v>
      </c>
      <c r="AN381" s="1">
        <v>2</v>
      </c>
    </row>
    <row r="382" spans="1:40" hidden="1" x14ac:dyDescent="0.25">
      <c r="A382" s="1" t="s">
        <v>48</v>
      </c>
      <c r="B382" s="1" t="s">
        <v>2303</v>
      </c>
      <c r="C382" s="1" t="s">
        <v>50</v>
      </c>
      <c r="D382" s="1" t="s">
        <v>3056</v>
      </c>
      <c r="E382" s="1" t="s">
        <v>3057</v>
      </c>
      <c r="F382" s="22" t="s">
        <v>3</v>
      </c>
      <c r="G382" s="1" t="s">
        <v>6085</v>
      </c>
      <c r="H382" s="1" t="s">
        <v>7</v>
      </c>
      <c r="I382" s="1" t="s">
        <v>20</v>
      </c>
      <c r="J382" s="1" t="s">
        <v>26</v>
      </c>
      <c r="K382" s="1" t="s">
        <v>9</v>
      </c>
      <c r="L382" s="1" t="s">
        <v>53</v>
      </c>
      <c r="M382" s="11" t="s">
        <v>188</v>
      </c>
      <c r="N382" s="1" t="s">
        <v>6037</v>
      </c>
      <c r="O382" s="1" t="s">
        <v>12</v>
      </c>
      <c r="P382" s="1" t="s">
        <v>1456</v>
      </c>
      <c r="Q382" s="1" t="s">
        <v>5546</v>
      </c>
      <c r="R382" s="1" t="s">
        <v>4441</v>
      </c>
      <c r="S382" s="1" t="s">
        <v>6155</v>
      </c>
      <c r="T382" s="1" t="s">
        <v>6154</v>
      </c>
      <c r="U382" s="1" t="s">
        <v>6164</v>
      </c>
      <c r="V382" s="1" t="s">
        <v>6167</v>
      </c>
      <c r="W382" s="27">
        <v>69.444444444444443</v>
      </c>
      <c r="X382" s="27">
        <v>63.888888888888886</v>
      </c>
      <c r="Y382" s="33">
        <f>AVERAGE(Table13[[#This Row],[Score 1]],Table13[[#This Row],[Score 2]])</f>
        <v>66.666666666666657</v>
      </c>
      <c r="Z382" s="1">
        <v>4</v>
      </c>
      <c r="AA382" s="1">
        <v>2</v>
      </c>
      <c r="AB382" s="22">
        <f>Table13[[#This Row],[Rank 1]]+Table13[[#This Row],[Rank 2]]</f>
        <v>6</v>
      </c>
      <c r="AC382" s="1" t="str">
        <f>IF(AND(Table13[[#This Row],[Average score]]&gt;75,Table13[[#This Row],[Total rank]]&gt;6.5),"Yes","No")</f>
        <v>No</v>
      </c>
      <c r="AD382" s="1" t="str">
        <f>IF(AND(Table13[[#This Row],[Average score]]&gt;80,Table13[[#This Row],[Total rank]]&gt;7.5),"Yes","No")</f>
        <v>No</v>
      </c>
      <c r="AF382" s="8">
        <v>46026</v>
      </c>
      <c r="AG382" s="1">
        <v>2</v>
      </c>
      <c r="AH382" s="27">
        <v>455000</v>
      </c>
      <c r="AI382" s="27">
        <v>490000</v>
      </c>
      <c r="AJ382" s="30">
        <v>0</v>
      </c>
      <c r="AK382" s="30">
        <f>Table13[[#This Row],[Year 1]]</f>
        <v>455000</v>
      </c>
      <c r="AL382" s="30">
        <f>Table13[[#This Row],[Year 2]]</f>
        <v>490000</v>
      </c>
      <c r="AM382" s="30">
        <f>Table13[[#This Row],[Year 3]]</f>
        <v>0</v>
      </c>
      <c r="AN382" s="1">
        <v>3</v>
      </c>
    </row>
    <row r="383" spans="1:40" hidden="1" x14ac:dyDescent="0.25">
      <c r="A383" s="1" t="s">
        <v>48</v>
      </c>
      <c r="B383" s="2" t="s">
        <v>2304</v>
      </c>
      <c r="C383" s="1" t="s">
        <v>50</v>
      </c>
      <c r="D383" s="1" t="s">
        <v>3058</v>
      </c>
      <c r="E383" s="1" t="s">
        <v>3059</v>
      </c>
      <c r="F383" s="22" t="s">
        <v>3</v>
      </c>
      <c r="G383" s="1" t="s">
        <v>6085</v>
      </c>
      <c r="H383" s="1" t="s">
        <v>6</v>
      </c>
      <c r="I383" s="1" t="s">
        <v>20</v>
      </c>
      <c r="J383" s="1" t="s">
        <v>25</v>
      </c>
      <c r="K383" s="1" t="s">
        <v>9</v>
      </c>
      <c r="L383" s="1" t="s">
        <v>53</v>
      </c>
      <c r="M383" s="11" t="s">
        <v>188</v>
      </c>
      <c r="N383" s="1" t="s">
        <v>6037</v>
      </c>
      <c r="O383" s="1" t="s">
        <v>13</v>
      </c>
      <c r="P383" s="1" t="s">
        <v>247</v>
      </c>
      <c r="Q383" s="1" t="s">
        <v>5780</v>
      </c>
      <c r="R383" s="1" t="s">
        <v>4442</v>
      </c>
      <c r="S383" s="1" t="s">
        <v>6066</v>
      </c>
      <c r="T383" s="1" t="s">
        <v>6067</v>
      </c>
      <c r="U383" s="1" t="s">
        <v>6103</v>
      </c>
      <c r="V383" s="1" t="s">
        <v>6198</v>
      </c>
      <c r="W383" s="27">
        <v>67.857142857142861</v>
      </c>
      <c r="X383" s="29">
        <f>Table13[[#This Row],[Score 1]]</f>
        <v>67.857142857142861</v>
      </c>
      <c r="Y383" s="33">
        <f>AVERAGE(Table13[[#This Row],[Score 1]],Table13[[#This Row],[Score 2]])</f>
        <v>67.857142857142861</v>
      </c>
      <c r="Z383" s="1">
        <v>3</v>
      </c>
      <c r="AA383" s="2">
        <f>Table13[[#This Row],[Rank 1]]</f>
        <v>3</v>
      </c>
      <c r="AB383" s="22">
        <f>Table13[[#This Row],[Rank 1]]+Table13[[#This Row],[Rank 2]]</f>
        <v>6</v>
      </c>
      <c r="AC383" s="1" t="str">
        <f>IF(AND(Table13[[#This Row],[Average score]]&gt;75,Table13[[#This Row],[Total rank]]&gt;6.5),"Yes","No")</f>
        <v>No</v>
      </c>
      <c r="AD383" s="1" t="str">
        <f>IF(AND(Table13[[#This Row],[Average score]]&gt;80,Table13[[#This Row],[Total rank]]&gt;7.5),"Yes","No")</f>
        <v>No</v>
      </c>
      <c r="AF383" s="8">
        <v>45694</v>
      </c>
      <c r="AG383" s="1">
        <v>2</v>
      </c>
      <c r="AH383" s="27">
        <v>149000</v>
      </c>
      <c r="AI383" s="27">
        <v>149000</v>
      </c>
      <c r="AJ383" s="30">
        <v>0</v>
      </c>
      <c r="AK383" s="30">
        <f>Table13[[#This Row],[Year 1]]</f>
        <v>149000</v>
      </c>
      <c r="AL383" s="30">
        <f>Table13[[#This Row],[Year 2]]</f>
        <v>149000</v>
      </c>
      <c r="AM383" s="30">
        <f>Table13[[#This Row],[Year 3]]</f>
        <v>0</v>
      </c>
      <c r="AN383" s="1">
        <v>3</v>
      </c>
    </row>
    <row r="384" spans="1:40" hidden="1" x14ac:dyDescent="0.25">
      <c r="A384" s="1" t="s">
        <v>48</v>
      </c>
      <c r="B384" s="1" t="s">
        <v>2305</v>
      </c>
      <c r="C384" s="1" t="s">
        <v>50</v>
      </c>
      <c r="D384" s="1" t="s">
        <v>3060</v>
      </c>
      <c r="E384" s="1" t="s">
        <v>3061</v>
      </c>
      <c r="F384" s="22" t="s">
        <v>3</v>
      </c>
      <c r="G384" s="1" t="s">
        <v>6085</v>
      </c>
      <c r="H384" s="1" t="s">
        <v>5</v>
      </c>
      <c r="I384" s="1" t="s">
        <v>24</v>
      </c>
      <c r="J384" s="1" t="s">
        <v>26</v>
      </c>
      <c r="K384" s="1" t="s">
        <v>9</v>
      </c>
      <c r="L384" s="1" t="s">
        <v>53</v>
      </c>
      <c r="M384" s="11" t="s">
        <v>188</v>
      </c>
      <c r="N384" s="1" t="s">
        <v>6037</v>
      </c>
      <c r="O384" s="1" t="s">
        <v>14</v>
      </c>
      <c r="P384" s="1" t="s">
        <v>4443</v>
      </c>
      <c r="Q384" s="1" t="s">
        <v>5380</v>
      </c>
      <c r="R384" s="1" t="s">
        <v>4444</v>
      </c>
      <c r="S384" s="1" t="s">
        <v>6141</v>
      </c>
      <c r="T384" s="11" t="s">
        <v>6149</v>
      </c>
      <c r="U384" s="1" t="s">
        <v>6166</v>
      </c>
      <c r="V384" s="1" t="s">
        <v>6165</v>
      </c>
      <c r="W384" s="27">
        <v>82.142857142857139</v>
      </c>
      <c r="X384" s="27">
        <v>82.142857142857139</v>
      </c>
      <c r="Y384" s="33">
        <f>AVERAGE(Table13[[#This Row],[Score 1]],Table13[[#This Row],[Score 2]])</f>
        <v>82.142857142857139</v>
      </c>
      <c r="Z384" s="1">
        <v>5</v>
      </c>
      <c r="AA384" s="1">
        <v>4</v>
      </c>
      <c r="AB384" s="22">
        <f>Table13[[#This Row],[Rank 1]]+Table13[[#This Row],[Rank 2]]</f>
        <v>9</v>
      </c>
      <c r="AC384" s="1" t="str">
        <f>IF(AND(Table13[[#This Row],[Average score]]&gt;75,Table13[[#This Row],[Total rank]]&gt;6.5),"Yes","No")</f>
        <v>Yes</v>
      </c>
      <c r="AD384" s="1" t="str">
        <f>IF(AND(Table13[[#This Row],[Average score]]&gt;80,Table13[[#This Row],[Total rank]]&gt;7.5),"Yes","No")</f>
        <v>Yes</v>
      </c>
      <c r="AF384" s="8">
        <v>46027</v>
      </c>
      <c r="AG384" s="1">
        <v>3</v>
      </c>
      <c r="AH384" s="27">
        <v>218836</v>
      </c>
      <c r="AI384" s="27">
        <v>253836</v>
      </c>
      <c r="AJ384" s="27">
        <v>253836</v>
      </c>
      <c r="AK384" s="27">
        <f>Table13[[#This Row],[Year 1]]</f>
        <v>218836</v>
      </c>
      <c r="AL384" s="27">
        <f>Table13[[#This Row],[Year 2]]</f>
        <v>253836</v>
      </c>
      <c r="AM384" s="27">
        <f>Table13[[#This Row],[Year 3]]</f>
        <v>253836</v>
      </c>
      <c r="AN384" s="1">
        <v>3</v>
      </c>
    </row>
    <row r="385" spans="1:40" hidden="1" x14ac:dyDescent="0.25">
      <c r="A385" s="1" t="s">
        <v>48</v>
      </c>
      <c r="B385" s="2" t="s">
        <v>2306</v>
      </c>
      <c r="C385" s="1" t="s">
        <v>50</v>
      </c>
      <c r="D385" s="1" t="s">
        <v>3062</v>
      </c>
      <c r="E385" s="1" t="s">
        <v>3063</v>
      </c>
      <c r="F385" s="22" t="s">
        <v>3</v>
      </c>
      <c r="G385" s="1" t="s">
        <v>6085</v>
      </c>
      <c r="H385" s="1" t="s">
        <v>5</v>
      </c>
      <c r="I385" s="1" t="s">
        <v>20</v>
      </c>
      <c r="J385" s="1" t="s">
        <v>25</v>
      </c>
      <c r="K385" s="1" t="s">
        <v>9</v>
      </c>
      <c r="L385" s="1" t="s">
        <v>53</v>
      </c>
      <c r="M385" s="11" t="s">
        <v>188</v>
      </c>
      <c r="N385" s="1" t="s">
        <v>6037</v>
      </c>
      <c r="O385" s="1" t="s">
        <v>18</v>
      </c>
      <c r="P385" s="1" t="s">
        <v>247</v>
      </c>
      <c r="Q385" s="1" t="s">
        <v>5781</v>
      </c>
      <c r="R385" s="19" t="s">
        <v>4447</v>
      </c>
      <c r="S385" s="1" t="s">
        <v>6152</v>
      </c>
      <c r="T385" s="1" t="s">
        <v>6205</v>
      </c>
      <c r="U385" s="1" t="s">
        <v>6178</v>
      </c>
      <c r="V385" s="1" t="s">
        <v>6159</v>
      </c>
      <c r="W385" s="27">
        <v>67.857142857142861</v>
      </c>
      <c r="X385" s="27">
        <v>85.714285714285708</v>
      </c>
      <c r="Y385" s="33">
        <f>AVERAGE(Table13[[#This Row],[Score 1]],Table13[[#This Row],[Score 2]])</f>
        <v>76.785714285714278</v>
      </c>
      <c r="Z385" s="1">
        <v>3</v>
      </c>
      <c r="AA385" s="1">
        <v>5</v>
      </c>
      <c r="AB385" s="22">
        <f>Table13[[#This Row],[Rank 1]]+Table13[[#This Row],[Rank 2]]</f>
        <v>8</v>
      </c>
      <c r="AC385" s="1" t="str">
        <f>IF(AND(Table13[[#This Row],[Average score]]&gt;75,Table13[[#This Row],[Total rank]]&gt;6.5),"Yes","No")</f>
        <v>Yes</v>
      </c>
      <c r="AD385" s="1" t="str">
        <f>IF(AND(Table13[[#This Row],[Average score]]&gt;80,Table13[[#This Row],[Total rank]]&gt;7.5),"Yes","No")</f>
        <v>No</v>
      </c>
      <c r="AF385" s="8">
        <v>46041</v>
      </c>
      <c r="AG385" s="1">
        <v>1</v>
      </c>
      <c r="AH385" s="27">
        <v>318000</v>
      </c>
      <c r="AI385" s="30">
        <v>0</v>
      </c>
      <c r="AJ385" s="30">
        <v>0</v>
      </c>
      <c r="AK385" s="30">
        <f>Table13[[#This Row],[Year 1]]</f>
        <v>318000</v>
      </c>
      <c r="AL385" s="30">
        <f>Table13[[#This Row],[Year 2]]</f>
        <v>0</v>
      </c>
      <c r="AM385" s="30">
        <f>Table13[[#This Row],[Year 3]]</f>
        <v>0</v>
      </c>
      <c r="AN385" s="1">
        <v>4</v>
      </c>
    </row>
    <row r="386" spans="1:40" x14ac:dyDescent="0.25">
      <c r="A386" s="1" t="s">
        <v>48</v>
      </c>
      <c r="B386" s="10" t="s">
        <v>2307</v>
      </c>
      <c r="C386" s="1" t="s">
        <v>50</v>
      </c>
      <c r="D386" s="1" t="s">
        <v>3064</v>
      </c>
      <c r="E386" s="1" t="s">
        <v>3065</v>
      </c>
      <c r="F386" s="22" t="s">
        <v>3</v>
      </c>
      <c r="G386" s="1" t="s">
        <v>6085</v>
      </c>
      <c r="H386" s="1" t="s">
        <v>6</v>
      </c>
      <c r="I386" s="1" t="s">
        <v>20</v>
      </c>
      <c r="J386" s="1" t="s">
        <v>25</v>
      </c>
      <c r="K386" s="1" t="s">
        <v>9</v>
      </c>
      <c r="L386" s="1" t="s">
        <v>53</v>
      </c>
      <c r="M386" s="11" t="s">
        <v>188</v>
      </c>
      <c r="N386" s="1" t="s">
        <v>6037</v>
      </c>
      <c r="O386" s="1" t="s">
        <v>16</v>
      </c>
      <c r="P386" s="1" t="s">
        <v>267</v>
      </c>
      <c r="Q386" s="1" t="s">
        <v>5782</v>
      </c>
      <c r="R386" s="1" t="s">
        <v>4449</v>
      </c>
      <c r="S386" s="1" t="s">
        <v>6113</v>
      </c>
      <c r="T386" s="1" t="s">
        <v>6114</v>
      </c>
      <c r="U386" s="2" t="s">
        <v>6128</v>
      </c>
      <c r="V386" s="1" t="s">
        <v>6182</v>
      </c>
      <c r="W386" s="29">
        <f>Table13[[#This Row],[Score 2]]</f>
        <v>100</v>
      </c>
      <c r="X386" s="27">
        <v>100</v>
      </c>
      <c r="Y386" s="33">
        <f>AVERAGE(Table13[[#This Row],[Score 1]],Table13[[#This Row],[Score 2]])</f>
        <v>100</v>
      </c>
      <c r="Z386" s="2">
        <f>Table13[[#This Row],[Rank 2]]</f>
        <v>5</v>
      </c>
      <c r="AA386" s="1">
        <v>5</v>
      </c>
      <c r="AB386" s="22">
        <f>Table13[[#This Row],[Rank 1]]+Table13[[#This Row],[Rank 2]]</f>
        <v>10</v>
      </c>
      <c r="AC386" s="1" t="str">
        <f>IF(AND(Table13[[#This Row],[Average score]]&gt;75,Table13[[#This Row],[Total rank]]&gt;6.5),"Yes","No")</f>
        <v>Yes</v>
      </c>
      <c r="AD386" s="1" t="str">
        <f>IF(AND(Table13[[#This Row],[Average score]]&gt;80,Table13[[#This Row],[Total rank]]&gt;7.5),"Yes","No")</f>
        <v>Yes</v>
      </c>
      <c r="AE386" s="1" t="s">
        <v>6221</v>
      </c>
      <c r="AF386" s="8">
        <v>45692</v>
      </c>
      <c r="AG386" s="1">
        <v>1</v>
      </c>
      <c r="AH386" s="27">
        <v>74831</v>
      </c>
      <c r="AI386" s="30">
        <v>0</v>
      </c>
      <c r="AJ386" s="30">
        <v>0</v>
      </c>
      <c r="AK386" s="30">
        <v>75000</v>
      </c>
      <c r="AL386" s="30">
        <f>Table13[[#This Row],[Year 2]]</f>
        <v>0</v>
      </c>
      <c r="AM386" s="30">
        <f>Table13[[#This Row],[Year 3]]</f>
        <v>0</v>
      </c>
      <c r="AN386" s="1">
        <v>3</v>
      </c>
    </row>
    <row r="387" spans="1:40" hidden="1" x14ac:dyDescent="0.25">
      <c r="A387" s="1" t="s">
        <v>48</v>
      </c>
      <c r="B387" s="2" t="s">
        <v>2308</v>
      </c>
      <c r="C387" s="1" t="s">
        <v>50</v>
      </c>
      <c r="D387" s="1" t="s">
        <v>3066</v>
      </c>
      <c r="E387" s="1" t="s">
        <v>3067</v>
      </c>
      <c r="F387" s="22" t="s">
        <v>3</v>
      </c>
      <c r="G387" s="1" t="s">
        <v>6085</v>
      </c>
      <c r="H387" s="1" t="s">
        <v>6</v>
      </c>
      <c r="I387" s="1" t="s">
        <v>20</v>
      </c>
      <c r="J387" s="1" t="s">
        <v>26</v>
      </c>
      <c r="K387" s="1" t="s">
        <v>8</v>
      </c>
      <c r="L387" s="1" t="s">
        <v>53</v>
      </c>
      <c r="M387" s="11" t="s">
        <v>188</v>
      </c>
      <c r="N387" s="1" t="s">
        <v>6037</v>
      </c>
      <c r="O387" s="1" t="s">
        <v>13</v>
      </c>
      <c r="P387" s="1" t="s">
        <v>4451</v>
      </c>
      <c r="Q387" s="1" t="s">
        <v>5783</v>
      </c>
      <c r="R387" s="1" t="s">
        <v>4452</v>
      </c>
      <c r="S387" s="1" t="s">
        <v>6066</v>
      </c>
      <c r="T387" s="1" t="s">
        <v>6067</v>
      </c>
      <c r="U387" s="1" t="s">
        <v>6103</v>
      </c>
      <c r="V387" s="1" t="s">
        <v>6198</v>
      </c>
      <c r="W387" s="27">
        <v>62.5</v>
      </c>
      <c r="X387" s="29">
        <f>Table13[[#This Row],[Score 1]]</f>
        <v>62.5</v>
      </c>
      <c r="Y387" s="33">
        <f>AVERAGE(Table13[[#This Row],[Score 1]],Table13[[#This Row],[Score 2]])</f>
        <v>62.5</v>
      </c>
      <c r="Z387" s="1">
        <v>2</v>
      </c>
      <c r="AA387" s="2">
        <f>Table13[[#This Row],[Rank 1]]</f>
        <v>2</v>
      </c>
      <c r="AB387" s="22">
        <f>Table13[[#This Row],[Rank 1]]+Table13[[#This Row],[Rank 2]]</f>
        <v>4</v>
      </c>
      <c r="AC387" s="1" t="str">
        <f>IF(AND(Table13[[#This Row],[Average score]]&gt;75,Table13[[#This Row],[Total rank]]&gt;6.5),"Yes","No")</f>
        <v>No</v>
      </c>
      <c r="AD387" s="1" t="str">
        <f>IF(AND(Table13[[#This Row],[Average score]]&gt;80,Table13[[#This Row],[Total rank]]&gt;7.5),"Yes","No")</f>
        <v>No</v>
      </c>
      <c r="AF387" s="8">
        <v>46279</v>
      </c>
      <c r="AG387" s="1">
        <v>1</v>
      </c>
      <c r="AH387" s="27">
        <v>1328176</v>
      </c>
      <c r="AI387" s="30">
        <v>0</v>
      </c>
      <c r="AJ387" s="30">
        <v>0</v>
      </c>
      <c r="AK387" s="30">
        <f>Table13[[#This Row],[Year 1]]</f>
        <v>1328176</v>
      </c>
      <c r="AL387" s="30">
        <f>Table13[[#This Row],[Year 2]]</f>
        <v>0</v>
      </c>
      <c r="AM387" s="30">
        <f>Table13[[#This Row],[Year 3]]</f>
        <v>0</v>
      </c>
      <c r="AN387" s="1">
        <v>3</v>
      </c>
    </row>
    <row r="388" spans="1:40" hidden="1" x14ac:dyDescent="0.25">
      <c r="A388" s="1" t="s">
        <v>48</v>
      </c>
      <c r="B388" s="1" t="s">
        <v>2309</v>
      </c>
      <c r="C388" s="1" t="s">
        <v>50</v>
      </c>
      <c r="D388" s="1" t="s">
        <v>3068</v>
      </c>
      <c r="E388" s="1" t="s">
        <v>3069</v>
      </c>
      <c r="F388" s="22" t="s">
        <v>3</v>
      </c>
      <c r="G388" s="1" t="s">
        <v>6085</v>
      </c>
      <c r="H388" s="1" t="s">
        <v>5</v>
      </c>
      <c r="I388" s="1" t="s">
        <v>20</v>
      </c>
      <c r="J388" s="1" t="s">
        <v>26</v>
      </c>
      <c r="K388" s="1" t="s">
        <v>9</v>
      </c>
      <c r="L388" s="1" t="s">
        <v>53</v>
      </c>
      <c r="M388" s="11" t="s">
        <v>188</v>
      </c>
      <c r="N388" s="1" t="s">
        <v>6037</v>
      </c>
      <c r="O388" s="1" t="s">
        <v>13</v>
      </c>
      <c r="P388" s="1" t="s">
        <v>60</v>
      </c>
      <c r="Q388" s="1" t="s">
        <v>5544</v>
      </c>
      <c r="R388" s="1" t="s">
        <v>4454</v>
      </c>
      <c r="S388" s="1" t="s">
        <v>6078</v>
      </c>
      <c r="T388" s="1" t="s">
        <v>6077</v>
      </c>
      <c r="U388" s="1" t="s">
        <v>6090</v>
      </c>
      <c r="V388" s="1" t="s">
        <v>6174</v>
      </c>
      <c r="W388" s="27">
        <v>46.428571428571431</v>
      </c>
      <c r="X388" s="27">
        <v>50</v>
      </c>
      <c r="Y388" s="33">
        <f>AVERAGE(Table13[[#This Row],[Score 1]],Table13[[#This Row],[Score 2]])</f>
        <v>48.214285714285715</v>
      </c>
      <c r="Z388" s="1">
        <v>2</v>
      </c>
      <c r="AA388" s="1">
        <v>2</v>
      </c>
      <c r="AB388" s="22">
        <f>Table13[[#This Row],[Rank 1]]+Table13[[#This Row],[Rank 2]]</f>
        <v>4</v>
      </c>
      <c r="AC388" s="1" t="str">
        <f>IF(AND(Table13[[#This Row],[Average score]]&gt;75,Table13[[#This Row],[Total rank]]&gt;6.5),"Yes","No")</f>
        <v>No</v>
      </c>
      <c r="AD388" s="1" t="str">
        <f>IF(AND(Table13[[#This Row],[Average score]]&gt;80,Table13[[#This Row],[Total rank]]&gt;7.5),"Yes","No")</f>
        <v>No</v>
      </c>
      <c r="AF388" s="8">
        <v>45369</v>
      </c>
      <c r="AG388" s="1">
        <v>2</v>
      </c>
      <c r="AH388" s="27">
        <v>29080</v>
      </c>
      <c r="AI388" s="27">
        <v>70380</v>
      </c>
      <c r="AJ388" s="30">
        <v>0</v>
      </c>
      <c r="AK388" s="30">
        <f>Table13[[#This Row],[Year 1]]</f>
        <v>29080</v>
      </c>
      <c r="AL388" s="30">
        <f>Table13[[#This Row],[Year 2]]</f>
        <v>70380</v>
      </c>
      <c r="AM388" s="30">
        <f>Table13[[#This Row],[Year 3]]</f>
        <v>0</v>
      </c>
      <c r="AN388" s="1">
        <v>3</v>
      </c>
    </row>
    <row r="389" spans="1:40" hidden="1" x14ac:dyDescent="0.25">
      <c r="A389" s="1" t="s">
        <v>48</v>
      </c>
      <c r="B389" s="1" t="s">
        <v>2311</v>
      </c>
      <c r="C389" s="1" t="s">
        <v>50</v>
      </c>
      <c r="D389" s="1" t="s">
        <v>3072</v>
      </c>
      <c r="E389" s="1" t="s">
        <v>3073</v>
      </c>
      <c r="F389" s="22" t="s">
        <v>3</v>
      </c>
      <c r="G389" s="1" t="s">
        <v>6085</v>
      </c>
      <c r="H389" s="1" t="s">
        <v>6</v>
      </c>
      <c r="I389" s="1" t="s">
        <v>24</v>
      </c>
      <c r="J389" s="1" t="s">
        <v>26</v>
      </c>
      <c r="K389" s="1" t="s">
        <v>9</v>
      </c>
      <c r="L389" s="1" t="s">
        <v>53</v>
      </c>
      <c r="M389" s="11" t="s">
        <v>188</v>
      </c>
      <c r="N389" s="1" t="s">
        <v>6037</v>
      </c>
      <c r="O389" s="1" t="s">
        <v>16</v>
      </c>
      <c r="P389" s="1" t="s">
        <v>267</v>
      </c>
      <c r="Q389" s="1" t="s">
        <v>5784</v>
      </c>
      <c r="R389" s="1" t="s">
        <v>4459</v>
      </c>
      <c r="S389" s="1" t="s">
        <v>6117</v>
      </c>
      <c r="T389" s="1" t="s">
        <v>6118</v>
      </c>
      <c r="U389" s="1" t="s">
        <v>6126</v>
      </c>
      <c r="V389" s="1" t="s">
        <v>6177</v>
      </c>
      <c r="W389" s="27">
        <v>85.714285714285708</v>
      </c>
      <c r="X389" s="27">
        <v>85.714285714285708</v>
      </c>
      <c r="Y389" s="33">
        <f>AVERAGE(Table13[[#This Row],[Score 1]],Table13[[#This Row],[Score 2]])</f>
        <v>85.714285714285708</v>
      </c>
      <c r="Z389" s="1">
        <v>4</v>
      </c>
      <c r="AA389" s="1">
        <v>5</v>
      </c>
      <c r="AB389" s="22">
        <f>Table13[[#This Row],[Rank 1]]+Table13[[#This Row],[Rank 2]]</f>
        <v>9</v>
      </c>
      <c r="AC389" s="1" t="str">
        <f>IF(AND(Table13[[#This Row],[Average score]]&gt;75,Table13[[#This Row],[Total rank]]&gt;6.5),"Yes","No")</f>
        <v>Yes</v>
      </c>
      <c r="AD389" s="1" t="str">
        <f>IF(AND(Table13[[#This Row],[Average score]]&gt;80,Table13[[#This Row],[Total rank]]&gt;7.5),"Yes","No")</f>
        <v>Yes</v>
      </c>
      <c r="AF389" s="8">
        <v>46023</v>
      </c>
      <c r="AG389" s="1">
        <v>2</v>
      </c>
      <c r="AH389" s="27">
        <v>200000</v>
      </c>
      <c r="AI389" s="27">
        <v>215000</v>
      </c>
      <c r="AJ389" s="30">
        <v>0</v>
      </c>
      <c r="AK389" s="30">
        <f>Table13[[#This Row],[Year 1]]</f>
        <v>200000</v>
      </c>
      <c r="AL389" s="30">
        <f>Table13[[#This Row],[Year 2]]</f>
        <v>215000</v>
      </c>
      <c r="AM389" s="30">
        <f>Table13[[#This Row],[Year 3]]</f>
        <v>0</v>
      </c>
      <c r="AN389" s="1">
        <v>3</v>
      </c>
    </row>
    <row r="390" spans="1:40" hidden="1" x14ac:dyDescent="0.25">
      <c r="A390" s="1" t="s">
        <v>48</v>
      </c>
      <c r="B390" s="1" t="s">
        <v>2312</v>
      </c>
      <c r="C390" s="1" t="s">
        <v>50</v>
      </c>
      <c r="D390" s="1" t="s">
        <v>3074</v>
      </c>
      <c r="E390" s="1" t="s">
        <v>3075</v>
      </c>
      <c r="F390" s="22" t="s">
        <v>3</v>
      </c>
      <c r="G390" s="1" t="s">
        <v>6085</v>
      </c>
      <c r="H390" s="1" t="s">
        <v>6</v>
      </c>
      <c r="I390" s="1" t="s">
        <v>20</v>
      </c>
      <c r="J390" s="1" t="s">
        <v>25</v>
      </c>
      <c r="K390" s="1" t="s">
        <v>9</v>
      </c>
      <c r="L390" s="1" t="s">
        <v>53</v>
      </c>
      <c r="M390" s="11" t="s">
        <v>188</v>
      </c>
      <c r="N390" s="1" t="s">
        <v>6037</v>
      </c>
      <c r="O390" s="1" t="s">
        <v>13</v>
      </c>
      <c r="P390" s="1" t="s">
        <v>126</v>
      </c>
      <c r="Q390" s="1" t="s">
        <v>5785</v>
      </c>
      <c r="R390" s="1" t="s">
        <v>4460</v>
      </c>
      <c r="S390" s="1" t="s">
        <v>6072</v>
      </c>
      <c r="T390" s="1" t="s">
        <v>6073</v>
      </c>
      <c r="U390" s="1" t="s">
        <v>6092</v>
      </c>
      <c r="V390" s="1" t="s">
        <v>6176</v>
      </c>
      <c r="W390" s="27">
        <v>64.285714285714292</v>
      </c>
      <c r="X390" s="27">
        <v>64.285714285714292</v>
      </c>
      <c r="Y390" s="33">
        <f>AVERAGE(Table13[[#This Row],[Score 1]],Table13[[#This Row],[Score 2]])</f>
        <v>64.285714285714292</v>
      </c>
      <c r="Z390" s="1">
        <v>2</v>
      </c>
      <c r="AA390" s="1">
        <v>2</v>
      </c>
      <c r="AB390" s="22">
        <f>Table13[[#This Row],[Rank 1]]+Table13[[#This Row],[Rank 2]]</f>
        <v>4</v>
      </c>
      <c r="AC390" s="1" t="str">
        <f>IF(AND(Table13[[#This Row],[Average score]]&gt;75,Table13[[#This Row],[Total rank]]&gt;6.5),"Yes","No")</f>
        <v>No</v>
      </c>
      <c r="AD390" s="1" t="str">
        <f>IF(AND(Table13[[#This Row],[Average score]]&gt;80,Table13[[#This Row],[Total rank]]&gt;7.5),"Yes","No")</f>
        <v>No</v>
      </c>
      <c r="AF390" s="8">
        <v>45689</v>
      </c>
      <c r="AG390" s="1">
        <v>2</v>
      </c>
      <c r="AH390" s="27">
        <v>231400</v>
      </c>
      <c r="AI390" s="27">
        <v>231400</v>
      </c>
      <c r="AJ390" s="30">
        <v>0</v>
      </c>
      <c r="AK390" s="30">
        <f>Table13[[#This Row],[Year 1]]</f>
        <v>231400</v>
      </c>
      <c r="AL390" s="30">
        <f>Table13[[#This Row],[Year 2]]</f>
        <v>231400</v>
      </c>
      <c r="AM390" s="30">
        <f>Table13[[#This Row],[Year 3]]</f>
        <v>0</v>
      </c>
      <c r="AN390" s="1">
        <v>3</v>
      </c>
    </row>
    <row r="391" spans="1:40" hidden="1" x14ac:dyDescent="0.25">
      <c r="A391" s="1" t="s">
        <v>48</v>
      </c>
      <c r="B391" s="1" t="s">
        <v>2313</v>
      </c>
      <c r="C391" s="1" t="s">
        <v>50</v>
      </c>
      <c r="D391" s="1" t="s">
        <v>3076</v>
      </c>
      <c r="E391" s="1" t="s">
        <v>3077</v>
      </c>
      <c r="F391" s="22" t="s">
        <v>3</v>
      </c>
      <c r="G391" s="1" t="s">
        <v>6085</v>
      </c>
      <c r="H391" s="1" t="s">
        <v>5</v>
      </c>
      <c r="I391" s="1" t="s">
        <v>20</v>
      </c>
      <c r="J391" s="1" t="s">
        <v>25</v>
      </c>
      <c r="K391" s="1" t="s">
        <v>9</v>
      </c>
      <c r="L391" s="1" t="s">
        <v>53</v>
      </c>
      <c r="M391" s="11" t="s">
        <v>188</v>
      </c>
      <c r="N391" s="1" t="s">
        <v>6037</v>
      </c>
      <c r="O391" s="1" t="s">
        <v>13</v>
      </c>
      <c r="P391" s="1" t="s">
        <v>306</v>
      </c>
      <c r="Q391" s="1" t="s">
        <v>5747</v>
      </c>
      <c r="R391" s="1" t="s">
        <v>4462</v>
      </c>
      <c r="S391" s="1" t="s">
        <v>6075</v>
      </c>
      <c r="T391" s="1" t="s">
        <v>6074</v>
      </c>
      <c r="U391" s="1" t="s">
        <v>6093</v>
      </c>
      <c r="V391" s="1" t="s">
        <v>6181</v>
      </c>
      <c r="W391" s="27">
        <v>46.428571428571431</v>
      </c>
      <c r="X391" s="27">
        <v>57.142857142857139</v>
      </c>
      <c r="Y391" s="33">
        <f>AVERAGE(Table13[[#This Row],[Score 1]],Table13[[#This Row],[Score 2]])</f>
        <v>51.785714285714285</v>
      </c>
      <c r="Z391" s="1">
        <v>1</v>
      </c>
      <c r="AA391" s="1">
        <v>2</v>
      </c>
      <c r="AB391" s="22">
        <f>Table13[[#This Row],[Rank 1]]+Table13[[#This Row],[Rank 2]]</f>
        <v>3</v>
      </c>
      <c r="AC391" s="1" t="str">
        <f>IF(AND(Table13[[#This Row],[Average score]]&gt;75,Table13[[#This Row],[Total rank]]&gt;6.5),"Yes","No")</f>
        <v>No</v>
      </c>
      <c r="AD391" s="1" t="str">
        <f>IF(AND(Table13[[#This Row],[Average score]]&gt;80,Table13[[#This Row],[Total rank]]&gt;7.5),"Yes","No")</f>
        <v>No</v>
      </c>
      <c r="AF391" s="8">
        <v>45925</v>
      </c>
      <c r="AG391" s="1">
        <v>3</v>
      </c>
      <c r="AH391" s="27">
        <v>153000</v>
      </c>
      <c r="AI391" s="27">
        <v>153000</v>
      </c>
      <c r="AJ391" s="27">
        <v>153000</v>
      </c>
      <c r="AK391" s="27">
        <f>Table13[[#This Row],[Year 1]]</f>
        <v>153000</v>
      </c>
      <c r="AL391" s="27">
        <f>Table13[[#This Row],[Year 2]]</f>
        <v>153000</v>
      </c>
      <c r="AM391" s="27">
        <f>Table13[[#This Row],[Year 3]]</f>
        <v>153000</v>
      </c>
      <c r="AN391" s="1">
        <v>2</v>
      </c>
    </row>
    <row r="392" spans="1:40" hidden="1" x14ac:dyDescent="0.25">
      <c r="A392" s="1" t="s">
        <v>48</v>
      </c>
      <c r="B392" s="1" t="s">
        <v>2314</v>
      </c>
      <c r="C392" s="1" t="s">
        <v>50</v>
      </c>
      <c r="D392" s="1" t="s">
        <v>3078</v>
      </c>
      <c r="E392" s="1" t="s">
        <v>3079</v>
      </c>
      <c r="F392" s="22" t="s">
        <v>3</v>
      </c>
      <c r="G392" s="1" t="s">
        <v>6085</v>
      </c>
      <c r="H392" s="1" t="s">
        <v>7</v>
      </c>
      <c r="I392" s="1" t="s">
        <v>22</v>
      </c>
      <c r="J392" s="1" t="s">
        <v>25</v>
      </c>
      <c r="K392" s="1" t="s">
        <v>9</v>
      </c>
      <c r="L392" s="1" t="s">
        <v>53</v>
      </c>
      <c r="M392" s="11" t="s">
        <v>2091</v>
      </c>
      <c r="N392" s="1" t="s">
        <v>6037</v>
      </c>
      <c r="O392" s="1" t="s">
        <v>14</v>
      </c>
      <c r="P392" s="1" t="s">
        <v>4463</v>
      </c>
      <c r="Q392" s="1" t="s">
        <v>5786</v>
      </c>
      <c r="R392" s="1" t="s">
        <v>4464</v>
      </c>
      <c r="S392" s="1" t="s">
        <v>6141</v>
      </c>
      <c r="T392" s="11" t="s">
        <v>6212</v>
      </c>
      <c r="U392" s="1" t="s">
        <v>6151</v>
      </c>
      <c r="V392" s="1" t="s">
        <v>6165</v>
      </c>
      <c r="W392" s="27">
        <v>88.888888888888886</v>
      </c>
      <c r="X392" s="27">
        <v>63.888888888888886</v>
      </c>
      <c r="Y392" s="33">
        <f>AVERAGE(Table13[[#This Row],[Score 1]],Table13[[#This Row],[Score 2]])</f>
        <v>76.388888888888886</v>
      </c>
      <c r="Z392" s="1">
        <v>4</v>
      </c>
      <c r="AA392" s="1">
        <v>3</v>
      </c>
      <c r="AB392" s="22">
        <f>Table13[[#This Row],[Rank 1]]+Table13[[#This Row],[Rank 2]]</f>
        <v>7</v>
      </c>
      <c r="AC392" s="1" t="str">
        <f>IF(AND(Table13[[#This Row],[Average score]]&gt;75,Table13[[#This Row],[Total rank]]&gt;6.5),"Yes","No")</f>
        <v>Yes</v>
      </c>
      <c r="AD392" s="1" t="str">
        <f>IF(AND(Table13[[#This Row],[Average score]]&gt;80,Table13[[#This Row],[Total rank]]&gt;7.5),"Yes","No")</f>
        <v>No</v>
      </c>
      <c r="AF392" s="8">
        <v>46055</v>
      </c>
      <c r="AG392" s="1">
        <v>2</v>
      </c>
      <c r="AH392" s="27">
        <v>279134.40000000002</v>
      </c>
      <c r="AI392" s="27">
        <v>220387.20000000001</v>
      </c>
      <c r="AJ392" s="30">
        <v>0</v>
      </c>
      <c r="AK392" s="30">
        <f>Table13[[#This Row],[Year 1]]</f>
        <v>279134.40000000002</v>
      </c>
      <c r="AL392" s="30">
        <f>Table13[[#This Row],[Year 2]]</f>
        <v>220387.20000000001</v>
      </c>
      <c r="AM392" s="30">
        <f>Table13[[#This Row],[Year 3]]</f>
        <v>0</v>
      </c>
      <c r="AN392" s="1">
        <v>3</v>
      </c>
    </row>
    <row r="393" spans="1:40" hidden="1" x14ac:dyDescent="0.25">
      <c r="A393" s="1" t="s">
        <v>48</v>
      </c>
      <c r="B393" s="10" t="s">
        <v>2315</v>
      </c>
      <c r="C393" s="1" t="s">
        <v>50</v>
      </c>
      <c r="D393" s="1" t="s">
        <v>3080</v>
      </c>
      <c r="E393" s="1" t="s">
        <v>3081</v>
      </c>
      <c r="F393" s="22" t="s">
        <v>3</v>
      </c>
      <c r="G393" s="1" t="s">
        <v>6085</v>
      </c>
      <c r="H393" s="1" t="s">
        <v>6</v>
      </c>
      <c r="I393" s="1" t="s">
        <v>24</v>
      </c>
      <c r="J393" s="1" t="s">
        <v>25</v>
      </c>
      <c r="K393" s="1" t="s">
        <v>9</v>
      </c>
      <c r="L393" s="1" t="s">
        <v>53</v>
      </c>
      <c r="M393" s="11" t="s">
        <v>188</v>
      </c>
      <c r="N393" s="1" t="s">
        <v>6037</v>
      </c>
      <c r="O393" s="1" t="s">
        <v>16</v>
      </c>
      <c r="P393" s="1" t="s">
        <v>60</v>
      </c>
      <c r="Q393" s="1" t="s">
        <v>5787</v>
      </c>
      <c r="R393" s="1" t="s">
        <v>4467</v>
      </c>
      <c r="S393" s="1" t="s">
        <v>6113</v>
      </c>
      <c r="T393" s="1" t="s">
        <v>6114</v>
      </c>
      <c r="U393" s="2" t="s">
        <v>6128</v>
      </c>
      <c r="V393" s="1" t="s">
        <v>6182</v>
      </c>
      <c r="W393" s="29">
        <f>Table13[[#This Row],[Score 2]]</f>
        <v>50</v>
      </c>
      <c r="X393" s="27">
        <v>50</v>
      </c>
      <c r="Y393" s="33">
        <f>AVERAGE(Table13[[#This Row],[Score 1]],Table13[[#This Row],[Score 2]])</f>
        <v>50</v>
      </c>
      <c r="Z393" s="2">
        <f>Table13[[#This Row],[Rank 2]]</f>
        <v>2</v>
      </c>
      <c r="AA393" s="1">
        <v>2</v>
      </c>
      <c r="AB393" s="22">
        <f>Table13[[#This Row],[Rank 1]]+Table13[[#This Row],[Rank 2]]</f>
        <v>4</v>
      </c>
      <c r="AC393" s="1" t="str">
        <f>IF(AND(Table13[[#This Row],[Average score]]&gt;75,Table13[[#This Row],[Total rank]]&gt;6.5),"Yes","No")</f>
        <v>No</v>
      </c>
      <c r="AD393" s="1" t="str">
        <f>IF(AND(Table13[[#This Row],[Average score]]&gt;80,Table13[[#This Row],[Total rank]]&gt;7.5),"Yes","No")</f>
        <v>No</v>
      </c>
      <c r="AF393" s="8">
        <v>46062</v>
      </c>
      <c r="AG393" s="1">
        <v>2</v>
      </c>
      <c r="AH393" s="27">
        <v>193034.28</v>
      </c>
      <c r="AI393" s="27">
        <v>193034.28</v>
      </c>
      <c r="AJ393" s="30">
        <v>0</v>
      </c>
      <c r="AK393" s="30">
        <f>Table13[[#This Row],[Year 1]]</f>
        <v>193034.28</v>
      </c>
      <c r="AL393" s="30">
        <f>Table13[[#This Row],[Year 2]]</f>
        <v>193034.28</v>
      </c>
      <c r="AM393" s="30">
        <f>Table13[[#This Row],[Year 3]]</f>
        <v>0</v>
      </c>
      <c r="AN393" s="1">
        <v>3</v>
      </c>
    </row>
    <row r="394" spans="1:40" x14ac:dyDescent="0.25">
      <c r="A394" s="1" t="s">
        <v>48</v>
      </c>
      <c r="B394" s="25" t="s">
        <v>2415</v>
      </c>
      <c r="C394" s="1" t="s">
        <v>50</v>
      </c>
      <c r="D394" s="1" t="s">
        <v>3280</v>
      </c>
      <c r="E394" s="1" t="s">
        <v>3281</v>
      </c>
      <c r="F394" s="22" t="s">
        <v>3</v>
      </c>
      <c r="G394" s="1" t="s">
        <v>6085</v>
      </c>
      <c r="H394" s="1" t="s">
        <v>7</v>
      </c>
      <c r="I394" s="1" t="s">
        <v>20</v>
      </c>
      <c r="J394" s="1" t="s">
        <v>26</v>
      </c>
      <c r="K394" s="1" t="s">
        <v>9</v>
      </c>
      <c r="L394" s="1" t="s">
        <v>78</v>
      </c>
      <c r="M394" s="11" t="s">
        <v>188</v>
      </c>
      <c r="N394" s="1" t="s">
        <v>6037</v>
      </c>
      <c r="O394" s="1" t="s">
        <v>19</v>
      </c>
      <c r="P394" s="1" t="s">
        <v>656</v>
      </c>
      <c r="Q394" s="1" t="s">
        <v>5864</v>
      </c>
      <c r="R394" s="1" t="s">
        <v>4713</v>
      </c>
      <c r="S394" s="1" t="s">
        <v>6137</v>
      </c>
      <c r="T394" s="1" t="s">
        <v>6138</v>
      </c>
      <c r="U394" s="1" t="s">
        <v>6160</v>
      </c>
      <c r="V394" s="1" t="s">
        <v>6203</v>
      </c>
      <c r="W394" s="27">
        <v>94.444444444444443</v>
      </c>
      <c r="X394" s="27">
        <v>88.888888888888886</v>
      </c>
      <c r="Y394" s="33">
        <f>AVERAGE(Table13[[#This Row],[Score 1]],Table13[[#This Row],[Score 2]])</f>
        <v>91.666666666666657</v>
      </c>
      <c r="Z394" s="1">
        <v>5</v>
      </c>
      <c r="AA394" s="1">
        <v>5</v>
      </c>
      <c r="AB394" s="22">
        <f>Table13[[#This Row],[Rank 1]]+Table13[[#This Row],[Rank 2]]</f>
        <v>10</v>
      </c>
      <c r="AC394" s="1" t="str">
        <f>IF(AND(Table13[[#This Row],[Average score]]&gt;75,Table13[[#This Row],[Total rank]]&gt;6.5),"Yes","No")</f>
        <v>Yes</v>
      </c>
      <c r="AD394" s="1" t="str">
        <f>IF(AND(Table13[[#This Row],[Average score]]&gt;80,Table13[[#This Row],[Total rank]]&gt;7.5),"Yes","No")</f>
        <v>Yes</v>
      </c>
      <c r="AE394" s="1" t="s">
        <v>6221</v>
      </c>
      <c r="AF394" s="8">
        <v>46023</v>
      </c>
      <c r="AG394" s="1">
        <v>2</v>
      </c>
      <c r="AH394" s="27">
        <v>310000</v>
      </c>
      <c r="AI394" s="27">
        <v>310000</v>
      </c>
      <c r="AJ394" s="30">
        <v>0</v>
      </c>
      <c r="AK394" s="30">
        <f>Table13[[#This Row],[Year 1]]</f>
        <v>310000</v>
      </c>
      <c r="AL394" s="30">
        <f>Table13[[#This Row],[Year 2]]</f>
        <v>310000</v>
      </c>
      <c r="AM394" s="30">
        <f>Table13[[#This Row],[Year 3]]</f>
        <v>0</v>
      </c>
      <c r="AN394" s="1">
        <v>3</v>
      </c>
    </row>
    <row r="395" spans="1:40" hidden="1" x14ac:dyDescent="0.25">
      <c r="A395" s="1" t="s">
        <v>48</v>
      </c>
      <c r="B395" s="1" t="s">
        <v>2317</v>
      </c>
      <c r="C395" s="1" t="s">
        <v>50</v>
      </c>
      <c r="D395" s="1" t="s">
        <v>3084</v>
      </c>
      <c r="E395" s="1" t="s">
        <v>3085</v>
      </c>
      <c r="F395" s="22" t="s">
        <v>3</v>
      </c>
      <c r="G395" s="1" t="s">
        <v>6085</v>
      </c>
      <c r="H395" s="1" t="s">
        <v>5</v>
      </c>
      <c r="I395" s="1" t="s">
        <v>24</v>
      </c>
      <c r="J395" s="1" t="s">
        <v>25</v>
      </c>
      <c r="K395" s="1" t="s">
        <v>9</v>
      </c>
      <c r="L395" s="1" t="s">
        <v>53</v>
      </c>
      <c r="M395" s="11" t="s">
        <v>2091</v>
      </c>
      <c r="N395" s="1" t="s">
        <v>6037</v>
      </c>
      <c r="O395" s="1" t="s">
        <v>13</v>
      </c>
      <c r="P395" s="1" t="s">
        <v>126</v>
      </c>
      <c r="Q395" s="1" t="s">
        <v>5789</v>
      </c>
      <c r="R395" s="1" t="s">
        <v>4471</v>
      </c>
      <c r="S395" s="1" t="s">
        <v>6068</v>
      </c>
      <c r="T395" s="1" t="s">
        <v>6069</v>
      </c>
      <c r="U395" s="1" t="s">
        <v>6099</v>
      </c>
      <c r="V395" s="1" t="s">
        <v>6194</v>
      </c>
      <c r="W395" s="27">
        <v>64.285714285714292</v>
      </c>
      <c r="X395" s="27">
        <v>71.428571428571431</v>
      </c>
      <c r="Y395" s="33">
        <f>AVERAGE(Table13[[#This Row],[Score 1]],Table13[[#This Row],[Score 2]])</f>
        <v>67.857142857142861</v>
      </c>
      <c r="Z395" s="1">
        <v>3</v>
      </c>
      <c r="AA395" s="1">
        <v>4</v>
      </c>
      <c r="AB395" s="22">
        <f>Table13[[#This Row],[Rank 1]]+Table13[[#This Row],[Rank 2]]</f>
        <v>7</v>
      </c>
      <c r="AC395" s="1" t="str">
        <f>IF(AND(Table13[[#This Row],[Average score]]&gt;75,Table13[[#This Row],[Total rank]]&gt;6.5),"Yes","No")</f>
        <v>No</v>
      </c>
      <c r="AD395" s="1" t="str">
        <f>IF(AND(Table13[[#This Row],[Average score]]&gt;80,Table13[[#This Row],[Total rank]]&gt;7.5),"Yes","No")</f>
        <v>No</v>
      </c>
      <c r="AF395" s="8">
        <v>45849</v>
      </c>
      <c r="AG395" s="1">
        <v>3</v>
      </c>
      <c r="AH395" s="27">
        <v>161602</v>
      </c>
      <c r="AI395" s="27">
        <v>217100</v>
      </c>
      <c r="AJ395" s="27">
        <v>117400</v>
      </c>
      <c r="AK395" s="27">
        <f>Table13[[#This Row],[Year 1]]</f>
        <v>161602</v>
      </c>
      <c r="AL395" s="27">
        <f>Table13[[#This Row],[Year 2]]</f>
        <v>217100</v>
      </c>
      <c r="AM395" s="27">
        <f>Table13[[#This Row],[Year 3]]</f>
        <v>117400</v>
      </c>
      <c r="AN395" s="1">
        <v>3</v>
      </c>
    </row>
    <row r="396" spans="1:40" hidden="1" x14ac:dyDescent="0.25">
      <c r="A396" s="1" t="s">
        <v>48</v>
      </c>
      <c r="B396" s="1" t="s">
        <v>2318</v>
      </c>
      <c r="C396" s="1" t="s">
        <v>50</v>
      </c>
      <c r="D396" s="1" t="s">
        <v>3086</v>
      </c>
      <c r="E396" s="1" t="s">
        <v>3087</v>
      </c>
      <c r="F396" s="22" t="s">
        <v>3</v>
      </c>
      <c r="G396" s="1" t="s">
        <v>6085</v>
      </c>
      <c r="H396" s="1" t="s">
        <v>6</v>
      </c>
      <c r="I396" s="1" t="s">
        <v>24</v>
      </c>
      <c r="J396" s="1" t="s">
        <v>25</v>
      </c>
      <c r="K396" s="1" t="s">
        <v>9</v>
      </c>
      <c r="L396" s="1" t="s">
        <v>53</v>
      </c>
      <c r="M396" s="11" t="s">
        <v>2091</v>
      </c>
      <c r="N396" s="1" t="s">
        <v>6037</v>
      </c>
      <c r="O396" s="1" t="s">
        <v>16</v>
      </c>
      <c r="P396" s="1" t="s">
        <v>1456</v>
      </c>
      <c r="Q396" s="1" t="s">
        <v>5790</v>
      </c>
      <c r="R396" s="1" t="s">
        <v>4475</v>
      </c>
      <c r="S396" s="1" t="s">
        <v>6111</v>
      </c>
      <c r="T396" s="1" t="s">
        <v>6112</v>
      </c>
      <c r="U396" s="1" t="s">
        <v>6127</v>
      </c>
      <c r="V396" s="1" t="s">
        <v>6179</v>
      </c>
      <c r="W396" s="27">
        <v>64.285714285714292</v>
      </c>
      <c r="X396" s="27">
        <v>85.714285714285708</v>
      </c>
      <c r="Y396" s="33">
        <f>AVERAGE(Table13[[#This Row],[Score 1]],Table13[[#This Row],[Score 2]])</f>
        <v>75</v>
      </c>
      <c r="Z396" s="1">
        <v>4</v>
      </c>
      <c r="AA396" s="1">
        <v>4</v>
      </c>
      <c r="AB396" s="22">
        <f>Table13[[#This Row],[Rank 1]]+Table13[[#This Row],[Rank 2]]</f>
        <v>8</v>
      </c>
      <c r="AC396" s="1" t="str">
        <f>IF(AND(Table13[[#This Row],[Average score]]&gt;75,Table13[[#This Row],[Total rank]]&gt;6.5),"Yes","No")</f>
        <v>No</v>
      </c>
      <c r="AD396" s="1" t="str">
        <f>IF(AND(Table13[[#This Row],[Average score]]&gt;80,Table13[[#This Row],[Total rank]]&gt;7.5),"Yes","No")</f>
        <v>No</v>
      </c>
      <c r="AF396" s="8">
        <v>46027</v>
      </c>
      <c r="AG396" s="1">
        <v>2</v>
      </c>
      <c r="AH396" s="27">
        <v>41855</v>
      </c>
      <c r="AI396" s="27">
        <v>44655</v>
      </c>
      <c r="AJ396" s="30">
        <v>0</v>
      </c>
      <c r="AK396" s="30">
        <f>Table13[[#This Row],[Year 1]]</f>
        <v>41855</v>
      </c>
      <c r="AL396" s="30">
        <f>Table13[[#This Row],[Year 2]]</f>
        <v>44655</v>
      </c>
      <c r="AM396" s="30">
        <f>Table13[[#This Row],[Year 3]]</f>
        <v>0</v>
      </c>
      <c r="AN396" s="1">
        <v>3</v>
      </c>
    </row>
    <row r="397" spans="1:40" hidden="1" x14ac:dyDescent="0.25">
      <c r="A397" s="1" t="s">
        <v>48</v>
      </c>
      <c r="B397" s="1" t="s">
        <v>2319</v>
      </c>
      <c r="C397" s="1" t="s">
        <v>50</v>
      </c>
      <c r="D397" s="1" t="s">
        <v>3088</v>
      </c>
      <c r="E397" s="1" t="s">
        <v>3089</v>
      </c>
      <c r="F397" s="22" t="s">
        <v>3</v>
      </c>
      <c r="G397" s="1" t="s">
        <v>6085</v>
      </c>
      <c r="H397" s="1" t="s">
        <v>5</v>
      </c>
      <c r="I397" s="1" t="s">
        <v>20</v>
      </c>
      <c r="J397" s="1" t="s">
        <v>25</v>
      </c>
      <c r="K397" s="1" t="s">
        <v>9</v>
      </c>
      <c r="L397" s="1" t="s">
        <v>53</v>
      </c>
      <c r="M397" s="11" t="s">
        <v>2091</v>
      </c>
      <c r="N397" s="1" t="s">
        <v>6037</v>
      </c>
      <c r="O397" s="1" t="s">
        <v>13</v>
      </c>
      <c r="P397" s="1" t="s">
        <v>126</v>
      </c>
      <c r="Q397" s="1" t="s">
        <v>5791</v>
      </c>
      <c r="R397" s="1" t="s">
        <v>4478</v>
      </c>
      <c r="S397" s="1" t="s">
        <v>6063</v>
      </c>
      <c r="T397" s="1" t="s">
        <v>6076</v>
      </c>
      <c r="U397" s="1" t="s">
        <v>6100</v>
      </c>
      <c r="V397" s="1" t="s">
        <v>6195</v>
      </c>
      <c r="W397" s="27">
        <v>50</v>
      </c>
      <c r="X397" s="27">
        <v>71.428571428571431</v>
      </c>
      <c r="Y397" s="33">
        <f>AVERAGE(Table13[[#This Row],[Score 1]],Table13[[#This Row],[Score 2]])</f>
        <v>60.714285714285715</v>
      </c>
      <c r="Z397" s="1">
        <v>1</v>
      </c>
      <c r="AA397" s="1">
        <v>4</v>
      </c>
      <c r="AB397" s="22">
        <f>Table13[[#This Row],[Rank 1]]+Table13[[#This Row],[Rank 2]]</f>
        <v>5</v>
      </c>
      <c r="AC397" s="1" t="str">
        <f>IF(AND(Table13[[#This Row],[Average score]]&gt;75,Table13[[#This Row],[Total rank]]&gt;6.5),"Yes","No")</f>
        <v>No</v>
      </c>
      <c r="AD397" s="1" t="str">
        <f>IF(AND(Table13[[#This Row],[Average score]]&gt;80,Table13[[#This Row],[Total rank]]&gt;7.5),"Yes","No")</f>
        <v>No</v>
      </c>
      <c r="AF397" s="8">
        <v>46027</v>
      </c>
      <c r="AG397" s="1">
        <v>3</v>
      </c>
      <c r="AH397" s="27">
        <v>265000</v>
      </c>
      <c r="AI397" s="27">
        <v>255000</v>
      </c>
      <c r="AJ397" s="27">
        <v>255000</v>
      </c>
      <c r="AK397" s="27">
        <f>Table13[[#This Row],[Year 1]]</f>
        <v>265000</v>
      </c>
      <c r="AL397" s="27">
        <f>Table13[[#This Row],[Year 2]]</f>
        <v>255000</v>
      </c>
      <c r="AM397" s="27">
        <f>Table13[[#This Row],[Year 3]]</f>
        <v>255000</v>
      </c>
      <c r="AN397" s="1">
        <v>3</v>
      </c>
    </row>
    <row r="398" spans="1:40" hidden="1" x14ac:dyDescent="0.25">
      <c r="A398" s="1" t="s">
        <v>48</v>
      </c>
      <c r="B398" s="1" t="s">
        <v>2320</v>
      </c>
      <c r="C398" s="1" t="s">
        <v>50</v>
      </c>
      <c r="D398" s="1" t="s">
        <v>3090</v>
      </c>
      <c r="E398" s="1" t="s">
        <v>3091</v>
      </c>
      <c r="F398" s="22" t="s">
        <v>3</v>
      </c>
      <c r="G398" s="1" t="s">
        <v>6085</v>
      </c>
      <c r="H398" s="1" t="s">
        <v>6</v>
      </c>
      <c r="I398" s="1" t="s">
        <v>20</v>
      </c>
      <c r="J398" s="1" t="s">
        <v>25</v>
      </c>
      <c r="K398" s="1" t="s">
        <v>9</v>
      </c>
      <c r="L398" s="1" t="s">
        <v>53</v>
      </c>
      <c r="M398" s="11" t="s">
        <v>188</v>
      </c>
      <c r="N398" s="1" t="s">
        <v>6037</v>
      </c>
      <c r="O398" s="1" t="s">
        <v>13</v>
      </c>
      <c r="P398" s="1" t="s">
        <v>60</v>
      </c>
      <c r="Q398" s="1" t="s">
        <v>6</v>
      </c>
      <c r="R398" s="1" t="s">
        <v>4481</v>
      </c>
      <c r="S398" s="1" t="s">
        <v>6063</v>
      </c>
      <c r="T398" s="1" t="s">
        <v>6076</v>
      </c>
      <c r="U398" s="1" t="s">
        <v>6100</v>
      </c>
      <c r="V398" s="1" t="s">
        <v>6195</v>
      </c>
      <c r="W398" s="27">
        <v>64.285714285714292</v>
      </c>
      <c r="X398" s="27">
        <v>67.857142857142861</v>
      </c>
      <c r="Y398" s="33">
        <f>AVERAGE(Table13[[#This Row],[Score 1]],Table13[[#This Row],[Score 2]])</f>
        <v>66.071428571428584</v>
      </c>
      <c r="Z398" s="1">
        <v>2</v>
      </c>
      <c r="AA398" s="1">
        <v>4</v>
      </c>
      <c r="AB398" s="22">
        <f>Table13[[#This Row],[Rank 1]]+Table13[[#This Row],[Rank 2]]</f>
        <v>6</v>
      </c>
      <c r="AC398" s="1" t="str">
        <f>IF(AND(Table13[[#This Row],[Average score]]&gt;75,Table13[[#This Row],[Total rank]]&gt;6.5),"Yes","No")</f>
        <v>No</v>
      </c>
      <c r="AD398" s="1" t="str">
        <f>IF(AND(Table13[[#This Row],[Average score]]&gt;80,Table13[[#This Row],[Total rank]]&gt;7.5),"Yes","No")</f>
        <v>No</v>
      </c>
      <c r="AF398" s="8">
        <v>45691</v>
      </c>
      <c r="AG398" s="1">
        <v>1</v>
      </c>
      <c r="AH398" s="27">
        <v>155000</v>
      </c>
      <c r="AI398" s="30">
        <v>0</v>
      </c>
      <c r="AJ398" s="30">
        <v>0</v>
      </c>
      <c r="AK398" s="30">
        <f>Table13[[#This Row],[Year 1]]</f>
        <v>155000</v>
      </c>
      <c r="AL398" s="30">
        <f>Table13[[#This Row],[Year 2]]</f>
        <v>0</v>
      </c>
      <c r="AM398" s="30">
        <f>Table13[[#This Row],[Year 3]]</f>
        <v>0</v>
      </c>
      <c r="AN398" s="1">
        <v>3</v>
      </c>
    </row>
    <row r="399" spans="1:40" hidden="1" x14ac:dyDescent="0.25">
      <c r="A399" s="1" t="s">
        <v>48</v>
      </c>
      <c r="B399" s="1" t="s">
        <v>2321</v>
      </c>
      <c r="C399" s="1" t="s">
        <v>50</v>
      </c>
      <c r="D399" s="1" t="s">
        <v>3092</v>
      </c>
      <c r="E399" s="1" t="s">
        <v>3093</v>
      </c>
      <c r="F399" s="22" t="s">
        <v>3</v>
      </c>
      <c r="G399" s="1" t="s">
        <v>6085</v>
      </c>
      <c r="H399" s="1" t="s">
        <v>6</v>
      </c>
      <c r="I399" s="1" t="s">
        <v>21</v>
      </c>
      <c r="J399" s="1" t="s">
        <v>25</v>
      </c>
      <c r="K399" s="1" t="s">
        <v>9</v>
      </c>
      <c r="L399" s="1" t="s">
        <v>53</v>
      </c>
      <c r="M399" s="11" t="s">
        <v>188</v>
      </c>
      <c r="N399" s="1" t="s">
        <v>6037</v>
      </c>
      <c r="O399" s="1" t="s">
        <v>13</v>
      </c>
      <c r="P399" s="1" t="s">
        <v>60</v>
      </c>
      <c r="Q399" s="1" t="s">
        <v>5563</v>
      </c>
      <c r="R399" s="1" t="s">
        <v>4483</v>
      </c>
      <c r="S399" s="1" t="s">
        <v>6063</v>
      </c>
      <c r="T399" s="1" t="s">
        <v>6076</v>
      </c>
      <c r="U399" s="1" t="s">
        <v>6100</v>
      </c>
      <c r="V399" s="1" t="s">
        <v>6195</v>
      </c>
      <c r="W399" s="27">
        <v>53.571428571428569</v>
      </c>
      <c r="X399" s="27">
        <v>64.285714285714292</v>
      </c>
      <c r="Y399" s="33">
        <f>AVERAGE(Table13[[#This Row],[Score 1]],Table13[[#This Row],[Score 2]])</f>
        <v>58.928571428571431</v>
      </c>
      <c r="Z399" s="1">
        <v>2</v>
      </c>
      <c r="AA399" s="1">
        <v>3</v>
      </c>
      <c r="AB399" s="22">
        <f>Table13[[#This Row],[Rank 1]]+Table13[[#This Row],[Rank 2]]</f>
        <v>5</v>
      </c>
      <c r="AC399" s="1" t="str">
        <f>IF(AND(Table13[[#This Row],[Average score]]&gt;75,Table13[[#This Row],[Total rank]]&gt;6.5),"Yes","No")</f>
        <v>No</v>
      </c>
      <c r="AD399" s="1" t="str">
        <f>IF(AND(Table13[[#This Row],[Average score]]&gt;80,Table13[[#This Row],[Total rank]]&gt;7.5),"Yes","No")</f>
        <v>No</v>
      </c>
      <c r="AF399" s="8">
        <v>45694</v>
      </c>
      <c r="AG399" s="1">
        <v>1</v>
      </c>
      <c r="AH399" s="27">
        <v>190536</v>
      </c>
      <c r="AI399" s="30">
        <v>0</v>
      </c>
      <c r="AJ399" s="30">
        <v>0</v>
      </c>
      <c r="AK399" s="30">
        <f>Table13[[#This Row],[Year 1]]</f>
        <v>190536</v>
      </c>
      <c r="AL399" s="30">
        <f>Table13[[#This Row],[Year 2]]</f>
        <v>0</v>
      </c>
      <c r="AM399" s="30">
        <f>Table13[[#This Row],[Year 3]]</f>
        <v>0</v>
      </c>
      <c r="AN399" s="1">
        <v>3</v>
      </c>
    </row>
    <row r="400" spans="1:40" hidden="1" x14ac:dyDescent="0.25">
      <c r="A400" s="1" t="s">
        <v>48</v>
      </c>
      <c r="B400" s="2" t="s">
        <v>1712</v>
      </c>
      <c r="C400" s="1" t="s">
        <v>50</v>
      </c>
      <c r="D400" s="1" t="s">
        <v>1713</v>
      </c>
      <c r="E400" s="1" t="s">
        <v>1714</v>
      </c>
      <c r="F400" s="22" t="s">
        <v>3</v>
      </c>
      <c r="G400" s="1" t="s">
        <v>6085</v>
      </c>
      <c r="H400" s="1" t="s">
        <v>5</v>
      </c>
      <c r="I400" s="1" t="s">
        <v>24</v>
      </c>
      <c r="J400" s="1" t="s">
        <v>25</v>
      </c>
      <c r="K400" s="1" t="s">
        <v>9</v>
      </c>
      <c r="L400" s="1" t="s">
        <v>53</v>
      </c>
      <c r="M400" s="11" t="s">
        <v>188</v>
      </c>
      <c r="N400" s="1" t="s">
        <v>6037</v>
      </c>
      <c r="O400" s="1" t="s">
        <v>14</v>
      </c>
      <c r="P400" s="1" t="s">
        <v>66</v>
      </c>
      <c r="Q400" s="1" t="s">
        <v>5525</v>
      </c>
      <c r="R400" s="1" t="s">
        <v>1776</v>
      </c>
      <c r="S400" s="1" t="s">
        <v>6135</v>
      </c>
      <c r="T400" s="1" t="s">
        <v>6136</v>
      </c>
      <c r="U400" s="1" t="s">
        <v>6201</v>
      </c>
      <c r="V400" s="1" t="s">
        <v>6163</v>
      </c>
      <c r="W400" s="27">
        <v>85.714285714285708</v>
      </c>
      <c r="X400" s="27">
        <v>100</v>
      </c>
      <c r="Y400" s="33">
        <f>AVERAGE(Table13[[#This Row],[Score 1]],Table13[[#This Row],[Score 2]])</f>
        <v>92.857142857142861</v>
      </c>
      <c r="Z400" s="1">
        <v>4</v>
      </c>
      <c r="AA400" s="1">
        <v>5</v>
      </c>
      <c r="AB400" s="22">
        <f>Table13[[#This Row],[Rank 1]]+Table13[[#This Row],[Rank 2]]</f>
        <v>9</v>
      </c>
      <c r="AC400" s="1" t="str">
        <f>IF(AND(Table13[[#This Row],[Average score]]&gt;75,Table13[[#This Row],[Total rank]]&gt;6.5),"Yes","No")</f>
        <v>Yes</v>
      </c>
      <c r="AD400" s="1" t="str">
        <f>IF(AND(Table13[[#This Row],[Average score]]&gt;80,Table13[[#This Row],[Total rank]]&gt;7.5),"Yes","No")</f>
        <v>Yes</v>
      </c>
      <c r="AF400" s="8">
        <v>46023</v>
      </c>
      <c r="AG400" s="1">
        <v>1</v>
      </c>
      <c r="AH400" s="27">
        <v>304000</v>
      </c>
      <c r="AI400" s="30">
        <v>0</v>
      </c>
      <c r="AJ400" s="30">
        <v>0</v>
      </c>
      <c r="AK400" s="30">
        <f>Table13[[#This Row],[Year 1]]</f>
        <v>304000</v>
      </c>
      <c r="AL400" s="30">
        <f>Table13[[#This Row],[Year 2]]</f>
        <v>0</v>
      </c>
      <c r="AM400" s="30">
        <f>Table13[[#This Row],[Year 3]]</f>
        <v>0</v>
      </c>
      <c r="AN400" s="1">
        <v>4</v>
      </c>
    </row>
    <row r="401" spans="1:40" hidden="1" x14ac:dyDescent="0.25">
      <c r="A401" s="1" t="s">
        <v>48</v>
      </c>
      <c r="B401" s="2" t="s">
        <v>1885</v>
      </c>
      <c r="C401" s="1" t="s">
        <v>50</v>
      </c>
      <c r="D401" s="1" t="s">
        <v>1886</v>
      </c>
      <c r="E401" s="1" t="s">
        <v>1887</v>
      </c>
      <c r="F401" s="22" t="s">
        <v>3</v>
      </c>
      <c r="G401" s="1" t="s">
        <v>6085</v>
      </c>
      <c r="H401" s="1" t="s">
        <v>6</v>
      </c>
      <c r="I401" s="1" t="s">
        <v>20</v>
      </c>
      <c r="J401" s="1" t="s">
        <v>26</v>
      </c>
      <c r="K401" s="1" t="s">
        <v>9</v>
      </c>
      <c r="L401" s="1" t="s">
        <v>53</v>
      </c>
      <c r="M401" s="11" t="s">
        <v>2091</v>
      </c>
      <c r="N401" s="1" t="s">
        <v>6037</v>
      </c>
      <c r="O401" s="1" t="s">
        <v>19</v>
      </c>
      <c r="P401" s="1" t="s">
        <v>126</v>
      </c>
      <c r="Q401" s="1" t="s">
        <v>5557</v>
      </c>
      <c r="R401" s="1" t="s">
        <v>3765</v>
      </c>
      <c r="S401" s="1" t="s">
        <v>6135</v>
      </c>
      <c r="T401" s="1" t="s">
        <v>6136</v>
      </c>
      <c r="U401" s="1" t="s">
        <v>6201</v>
      </c>
      <c r="V401" s="1" t="s">
        <v>6163</v>
      </c>
      <c r="W401" s="27">
        <v>75</v>
      </c>
      <c r="X401" s="27">
        <v>85.714285714285708</v>
      </c>
      <c r="Y401" s="33">
        <f>AVERAGE(Table13[[#This Row],[Score 1]],Table13[[#This Row],[Score 2]])</f>
        <v>80.357142857142861</v>
      </c>
      <c r="Z401" s="1">
        <v>3</v>
      </c>
      <c r="AA401" s="1">
        <v>3</v>
      </c>
      <c r="AB401" s="22">
        <f>Table13[[#This Row],[Rank 1]]+Table13[[#This Row],[Rank 2]]</f>
        <v>6</v>
      </c>
      <c r="AC401" s="1" t="str">
        <f>IF(AND(Table13[[#This Row],[Average score]]&gt;75,Table13[[#This Row],[Total rank]]&gt;6.5),"Yes","No")</f>
        <v>No</v>
      </c>
      <c r="AD401" s="1" t="str">
        <f>IF(AND(Table13[[#This Row],[Average score]]&gt;80,Table13[[#This Row],[Total rank]]&gt;7.5),"Yes","No")</f>
        <v>No</v>
      </c>
      <c r="AF401" s="8">
        <v>46055</v>
      </c>
      <c r="AG401" s="1">
        <v>2</v>
      </c>
      <c r="AH401" s="27">
        <v>177400</v>
      </c>
      <c r="AI401" s="27">
        <v>177400</v>
      </c>
      <c r="AJ401" s="30">
        <v>0</v>
      </c>
      <c r="AK401" s="30">
        <f>Table13[[#This Row],[Year 1]]</f>
        <v>177400</v>
      </c>
      <c r="AL401" s="30">
        <f>Table13[[#This Row],[Year 2]]</f>
        <v>177400</v>
      </c>
      <c r="AM401" s="30">
        <f>Table13[[#This Row],[Year 3]]</f>
        <v>0</v>
      </c>
      <c r="AN401" s="1">
        <v>3</v>
      </c>
    </row>
    <row r="402" spans="1:40" hidden="1" x14ac:dyDescent="0.25">
      <c r="A402" s="1" t="s">
        <v>48</v>
      </c>
      <c r="B402" s="1" t="s">
        <v>2324</v>
      </c>
      <c r="C402" s="1" t="s">
        <v>50</v>
      </c>
      <c r="D402" s="1" t="s">
        <v>3098</v>
      </c>
      <c r="E402" s="1" t="s">
        <v>3099</v>
      </c>
      <c r="F402" s="22" t="s">
        <v>3</v>
      </c>
      <c r="G402" s="1" t="s">
        <v>6085</v>
      </c>
      <c r="H402" s="1" t="s">
        <v>5</v>
      </c>
      <c r="I402" s="1" t="s">
        <v>20</v>
      </c>
      <c r="J402" s="1" t="s">
        <v>26</v>
      </c>
      <c r="K402" s="1" t="s">
        <v>9</v>
      </c>
      <c r="L402" s="1" t="s">
        <v>53</v>
      </c>
      <c r="M402" s="11" t="s">
        <v>188</v>
      </c>
      <c r="N402" s="1" t="s">
        <v>6037</v>
      </c>
      <c r="O402" s="1" t="s">
        <v>19</v>
      </c>
      <c r="P402" s="1" t="s">
        <v>60</v>
      </c>
      <c r="Q402" s="18" t="s">
        <v>5794</v>
      </c>
      <c r="R402" s="1" t="s">
        <v>4491</v>
      </c>
      <c r="S402" s="1" t="s">
        <v>6133</v>
      </c>
      <c r="T402" s="1" t="s">
        <v>6134</v>
      </c>
      <c r="U402" s="1" t="s">
        <v>6094</v>
      </c>
      <c r="V402" s="1" t="s">
        <v>6184</v>
      </c>
      <c r="W402" s="27">
        <v>67.857142857142861</v>
      </c>
      <c r="X402" s="27">
        <v>42.857142857142854</v>
      </c>
      <c r="Y402" s="33">
        <f>AVERAGE(Table13[[#This Row],[Score 1]],Table13[[#This Row],[Score 2]])</f>
        <v>55.357142857142861</v>
      </c>
      <c r="Z402" s="1">
        <v>3</v>
      </c>
      <c r="AA402" s="1">
        <v>1</v>
      </c>
      <c r="AB402" s="22">
        <f>Table13[[#This Row],[Rank 1]]+Table13[[#This Row],[Rank 2]]</f>
        <v>4</v>
      </c>
      <c r="AC402" s="1" t="str">
        <f>IF(AND(Table13[[#This Row],[Average score]]&gt;75,Table13[[#This Row],[Total rank]]&gt;6.5),"Yes","No")</f>
        <v>No</v>
      </c>
      <c r="AD402" s="1" t="str">
        <f>IF(AND(Table13[[#This Row],[Average score]]&gt;80,Table13[[#This Row],[Total rank]]&gt;7.5),"Yes","No")</f>
        <v>No</v>
      </c>
      <c r="AF402" s="8">
        <v>46055</v>
      </c>
      <c r="AG402" s="1">
        <v>3</v>
      </c>
      <c r="AH402" s="27">
        <v>116544</v>
      </c>
      <c r="AI402" s="27">
        <v>124044</v>
      </c>
      <c r="AJ402" s="27">
        <v>131544</v>
      </c>
      <c r="AK402" s="27">
        <f>Table13[[#This Row],[Year 1]]</f>
        <v>116544</v>
      </c>
      <c r="AL402" s="27">
        <f>Table13[[#This Row],[Year 2]]</f>
        <v>124044</v>
      </c>
      <c r="AM402" s="27">
        <f>Table13[[#This Row],[Year 3]]</f>
        <v>131544</v>
      </c>
      <c r="AN402" s="1">
        <v>3</v>
      </c>
    </row>
    <row r="403" spans="1:40" hidden="1" x14ac:dyDescent="0.25">
      <c r="A403" s="1" t="s">
        <v>48</v>
      </c>
      <c r="B403" s="1" t="s">
        <v>2325</v>
      </c>
      <c r="C403" s="1" t="s">
        <v>50</v>
      </c>
      <c r="D403" s="1" t="s">
        <v>3100</v>
      </c>
      <c r="E403" s="1" t="s">
        <v>3101</v>
      </c>
      <c r="F403" s="22" t="s">
        <v>3</v>
      </c>
      <c r="G403" s="1" t="s">
        <v>6085</v>
      </c>
      <c r="H403" s="1" t="s">
        <v>6</v>
      </c>
      <c r="I403" s="1" t="s">
        <v>24</v>
      </c>
      <c r="J403" s="1" t="s">
        <v>25</v>
      </c>
      <c r="K403" s="1" t="s">
        <v>9</v>
      </c>
      <c r="L403" s="1" t="s">
        <v>53</v>
      </c>
      <c r="M403" s="11" t="s">
        <v>188</v>
      </c>
      <c r="N403" s="1" t="s">
        <v>6037</v>
      </c>
      <c r="O403" s="1" t="s">
        <v>13</v>
      </c>
      <c r="P403" s="1" t="s">
        <v>60</v>
      </c>
      <c r="Q403" s="1" t="s">
        <v>5795</v>
      </c>
      <c r="R403" s="1" t="s">
        <v>4225</v>
      </c>
      <c r="S403" s="1" t="s">
        <v>6070</v>
      </c>
      <c r="T403" s="1" t="s">
        <v>6071</v>
      </c>
      <c r="U403" s="1" t="s">
        <v>6088</v>
      </c>
      <c r="V403" s="1" t="s">
        <v>6171</v>
      </c>
      <c r="W403" s="27">
        <v>75</v>
      </c>
      <c r="X403" s="27">
        <v>64.285714285714292</v>
      </c>
      <c r="Y403" s="33">
        <f>AVERAGE(Table13[[#This Row],[Score 1]],Table13[[#This Row],[Score 2]])</f>
        <v>69.642857142857139</v>
      </c>
      <c r="Z403" s="1">
        <v>3</v>
      </c>
      <c r="AA403" s="1">
        <v>3</v>
      </c>
      <c r="AB403" s="22">
        <f>Table13[[#This Row],[Rank 1]]+Table13[[#This Row],[Rank 2]]</f>
        <v>6</v>
      </c>
      <c r="AC403" s="1" t="str">
        <f>IF(AND(Table13[[#This Row],[Average score]]&gt;75,Table13[[#This Row],[Total rank]]&gt;6.5),"Yes","No")</f>
        <v>No</v>
      </c>
      <c r="AD403" s="1" t="str">
        <f>IF(AND(Table13[[#This Row],[Average score]]&gt;80,Table13[[#This Row],[Total rank]]&gt;7.5),"Yes","No")</f>
        <v>No</v>
      </c>
      <c r="AF403" s="8">
        <v>46055</v>
      </c>
      <c r="AG403" s="1">
        <v>2</v>
      </c>
      <c r="AH403" s="27">
        <v>123059</v>
      </c>
      <c r="AI403" s="27">
        <v>123059</v>
      </c>
      <c r="AJ403" s="30">
        <v>0</v>
      </c>
      <c r="AK403" s="30">
        <f>Table13[[#This Row],[Year 1]]</f>
        <v>123059</v>
      </c>
      <c r="AL403" s="30">
        <f>Table13[[#This Row],[Year 2]]</f>
        <v>123059</v>
      </c>
      <c r="AM403" s="30">
        <f>Table13[[#This Row],[Year 3]]</f>
        <v>0</v>
      </c>
      <c r="AN403" s="1">
        <v>3</v>
      </c>
    </row>
    <row r="404" spans="1:40" hidden="1" x14ac:dyDescent="0.25">
      <c r="A404" s="1" t="s">
        <v>48</v>
      </c>
      <c r="B404" s="1" t="s">
        <v>2326</v>
      </c>
      <c r="C404" s="1" t="s">
        <v>50</v>
      </c>
      <c r="D404" s="1" t="s">
        <v>3102</v>
      </c>
      <c r="E404" s="1" t="s">
        <v>3103</v>
      </c>
      <c r="F404" s="22" t="s">
        <v>3</v>
      </c>
      <c r="G404" s="1" t="s">
        <v>6085</v>
      </c>
      <c r="H404" s="1" t="s">
        <v>6</v>
      </c>
      <c r="I404" s="1" t="s">
        <v>20</v>
      </c>
      <c r="J404" s="1" t="s">
        <v>26</v>
      </c>
      <c r="K404" s="1" t="s">
        <v>9</v>
      </c>
      <c r="L404" s="1" t="s">
        <v>53</v>
      </c>
      <c r="M404" s="11" t="s">
        <v>188</v>
      </c>
      <c r="N404" s="1" t="s">
        <v>6037</v>
      </c>
      <c r="O404" s="1" t="s">
        <v>16</v>
      </c>
      <c r="P404" s="1" t="s">
        <v>4496</v>
      </c>
      <c r="Q404" s="1" t="s">
        <v>5796</v>
      </c>
      <c r="R404" s="1" t="s">
        <v>4497</v>
      </c>
      <c r="S404" s="1" t="s">
        <v>6115</v>
      </c>
      <c r="T404" s="1" t="s">
        <v>6116</v>
      </c>
      <c r="U404" s="1" t="s">
        <v>6130</v>
      </c>
      <c r="V404" s="1" t="s">
        <v>6191</v>
      </c>
      <c r="W404" s="27">
        <v>57.142857142857139</v>
      </c>
      <c r="X404" s="27">
        <v>71.428571428571431</v>
      </c>
      <c r="Y404" s="33">
        <f>AVERAGE(Table13[[#This Row],[Score 1]],Table13[[#This Row],[Score 2]])</f>
        <v>64.285714285714278</v>
      </c>
      <c r="Z404" s="1">
        <v>2</v>
      </c>
      <c r="AA404" s="1">
        <v>3</v>
      </c>
      <c r="AB404" s="22">
        <f>Table13[[#This Row],[Rank 1]]+Table13[[#This Row],[Rank 2]]</f>
        <v>5</v>
      </c>
      <c r="AC404" s="1" t="str">
        <f>IF(AND(Table13[[#This Row],[Average score]]&gt;75,Table13[[#This Row],[Total rank]]&gt;6.5),"Yes","No")</f>
        <v>No</v>
      </c>
      <c r="AD404" s="1" t="str">
        <f>IF(AND(Table13[[#This Row],[Average score]]&gt;80,Table13[[#This Row],[Total rank]]&gt;7.5),"Yes","No")</f>
        <v>No</v>
      </c>
      <c r="AF404" s="8">
        <v>46053</v>
      </c>
      <c r="AG404" s="1">
        <v>2</v>
      </c>
      <c r="AH404" s="27">
        <v>120000</v>
      </c>
      <c r="AI404" s="27">
        <v>120000</v>
      </c>
      <c r="AJ404" s="30">
        <v>0</v>
      </c>
      <c r="AK404" s="30">
        <f>Table13[[#This Row],[Year 1]]</f>
        <v>120000</v>
      </c>
      <c r="AL404" s="30">
        <f>Table13[[#This Row],[Year 2]]</f>
        <v>120000</v>
      </c>
      <c r="AM404" s="30">
        <f>Table13[[#This Row],[Year 3]]</f>
        <v>0</v>
      </c>
      <c r="AN404" s="1">
        <v>4</v>
      </c>
    </row>
    <row r="405" spans="1:40" hidden="1" x14ac:dyDescent="0.25">
      <c r="A405" s="1" t="s">
        <v>48</v>
      </c>
      <c r="B405" s="1" t="s">
        <v>2327</v>
      </c>
      <c r="C405" s="1" t="s">
        <v>50</v>
      </c>
      <c r="D405" s="1" t="s">
        <v>3104</v>
      </c>
      <c r="E405" s="1" t="s">
        <v>3105</v>
      </c>
      <c r="F405" s="22" t="s">
        <v>3</v>
      </c>
      <c r="G405" s="1" t="s">
        <v>6085</v>
      </c>
      <c r="H405" s="1" t="s">
        <v>5</v>
      </c>
      <c r="I405" s="1" t="s">
        <v>20</v>
      </c>
      <c r="J405" s="1" t="s">
        <v>25</v>
      </c>
      <c r="K405" s="1" t="s">
        <v>9</v>
      </c>
      <c r="L405" s="1" t="s">
        <v>53</v>
      </c>
      <c r="M405" s="11" t="s">
        <v>188</v>
      </c>
      <c r="N405" s="1" t="s">
        <v>6037</v>
      </c>
      <c r="O405" s="1" t="s">
        <v>16</v>
      </c>
      <c r="P405" s="1" t="s">
        <v>60</v>
      </c>
      <c r="Q405" s="1" t="s">
        <v>5797</v>
      </c>
      <c r="R405" s="1" t="s">
        <v>4498</v>
      </c>
      <c r="S405" s="1" t="s">
        <v>6109</v>
      </c>
      <c r="T405" s="1" t="s">
        <v>6110</v>
      </c>
      <c r="U405" s="1" t="s">
        <v>6125</v>
      </c>
      <c r="V405" s="1" t="s">
        <v>6202</v>
      </c>
      <c r="W405" s="27">
        <v>64.285714285714292</v>
      </c>
      <c r="X405" s="27">
        <v>82.142857142857139</v>
      </c>
      <c r="Y405" s="33">
        <f>AVERAGE(Table13[[#This Row],[Score 1]],Table13[[#This Row],[Score 2]])</f>
        <v>73.214285714285722</v>
      </c>
      <c r="Z405" s="1">
        <v>2</v>
      </c>
      <c r="AA405" s="1">
        <v>4</v>
      </c>
      <c r="AB405" s="22">
        <f>Table13[[#This Row],[Rank 1]]+Table13[[#This Row],[Rank 2]]</f>
        <v>6</v>
      </c>
      <c r="AC405" s="1" t="str">
        <f>IF(AND(Table13[[#This Row],[Average score]]&gt;75,Table13[[#This Row],[Total rank]]&gt;6.5),"Yes","No")</f>
        <v>No</v>
      </c>
      <c r="AD405" s="1" t="str">
        <f>IF(AND(Table13[[#This Row],[Average score]]&gt;80,Table13[[#This Row],[Total rank]]&gt;7.5),"Yes","No")</f>
        <v>No</v>
      </c>
      <c r="AF405" s="8">
        <v>45323</v>
      </c>
      <c r="AG405" s="1">
        <v>1</v>
      </c>
      <c r="AH405" s="27">
        <v>301196</v>
      </c>
      <c r="AI405" s="30">
        <v>0</v>
      </c>
      <c r="AJ405" s="30">
        <v>0</v>
      </c>
      <c r="AK405" s="30">
        <f>Table13[[#This Row],[Year 1]]</f>
        <v>301196</v>
      </c>
      <c r="AL405" s="30">
        <f>Table13[[#This Row],[Year 2]]</f>
        <v>0</v>
      </c>
      <c r="AM405" s="30">
        <f>Table13[[#This Row],[Year 3]]</f>
        <v>0</v>
      </c>
      <c r="AN405" s="1">
        <v>3</v>
      </c>
    </row>
    <row r="406" spans="1:40" hidden="1" x14ac:dyDescent="0.25">
      <c r="A406" s="1" t="s">
        <v>48</v>
      </c>
      <c r="B406" s="25" t="s">
        <v>2413</v>
      </c>
      <c r="C406" s="1" t="s">
        <v>50</v>
      </c>
      <c r="D406" s="1" t="s">
        <v>3276</v>
      </c>
      <c r="E406" s="1" t="s">
        <v>3277</v>
      </c>
      <c r="F406" s="22" t="s">
        <v>3</v>
      </c>
      <c r="G406" s="1" t="s">
        <v>6085</v>
      </c>
      <c r="H406" s="1" t="s">
        <v>6</v>
      </c>
      <c r="I406" s="1" t="s">
        <v>20</v>
      </c>
      <c r="J406" s="1" t="s">
        <v>25</v>
      </c>
      <c r="K406" s="1" t="s">
        <v>9</v>
      </c>
      <c r="L406" s="1" t="s">
        <v>78</v>
      </c>
      <c r="M406" s="11" t="s">
        <v>188</v>
      </c>
      <c r="N406" s="1" t="s">
        <v>6037</v>
      </c>
      <c r="O406" s="1" t="s">
        <v>14</v>
      </c>
      <c r="P406" s="1" t="s">
        <v>924</v>
      </c>
      <c r="Q406" s="1" t="s">
        <v>5862</v>
      </c>
      <c r="R406" s="1" t="s">
        <v>4707</v>
      </c>
      <c r="S406" s="1" t="s">
        <v>6150</v>
      </c>
      <c r="T406" s="1" t="s">
        <v>6149</v>
      </c>
      <c r="U406" s="1" t="s">
        <v>6158</v>
      </c>
      <c r="V406" s="1" t="s">
        <v>6166</v>
      </c>
      <c r="W406" s="27">
        <v>82.142857142857139</v>
      </c>
      <c r="X406" s="27">
        <v>57.142857142857139</v>
      </c>
      <c r="Y406" s="33">
        <f>AVERAGE(Table13[[#This Row],[Score 1]],Table13[[#This Row],[Score 2]])</f>
        <v>69.642857142857139</v>
      </c>
      <c r="Z406" s="1">
        <v>4</v>
      </c>
      <c r="AA406" s="1">
        <v>2</v>
      </c>
      <c r="AB406" s="22">
        <f>Table13[[#This Row],[Rank 1]]+Table13[[#This Row],[Rank 2]]</f>
        <v>6</v>
      </c>
      <c r="AC406" s="1" t="str">
        <f>IF(AND(Table13[[#This Row],[Average score]]&gt;75,Table13[[#This Row],[Total rank]]&gt;6.5),"Yes","No")</f>
        <v>No</v>
      </c>
      <c r="AD406" s="1" t="str">
        <f>IF(AND(Table13[[#This Row],[Average score]]&gt;80,Table13[[#This Row],[Total rank]]&gt;7.5),"Yes","No")</f>
        <v>No</v>
      </c>
      <c r="AF406" s="8">
        <v>46037</v>
      </c>
      <c r="AG406" s="1">
        <v>1</v>
      </c>
      <c r="AH406" s="27">
        <v>-161418</v>
      </c>
      <c r="AI406" s="30">
        <v>0</v>
      </c>
      <c r="AJ406" s="30">
        <v>0</v>
      </c>
      <c r="AK406" s="30">
        <f>Table13[[#This Row],[Year 1]]</f>
        <v>-161418</v>
      </c>
      <c r="AL406" s="30">
        <f>Table13[[#This Row],[Year 2]]</f>
        <v>0</v>
      </c>
      <c r="AM406" s="30">
        <f>Table13[[#This Row],[Year 3]]</f>
        <v>0</v>
      </c>
      <c r="AN406" s="1">
        <v>2</v>
      </c>
    </row>
    <row r="407" spans="1:40" hidden="1" x14ac:dyDescent="0.25">
      <c r="A407" s="1" t="s">
        <v>48</v>
      </c>
      <c r="B407" s="1" t="s">
        <v>2329</v>
      </c>
      <c r="C407" s="1" t="s">
        <v>50</v>
      </c>
      <c r="D407" s="1" t="s">
        <v>3108</v>
      </c>
      <c r="E407" s="1" t="s">
        <v>3109</v>
      </c>
      <c r="F407" s="22" t="s">
        <v>3</v>
      </c>
      <c r="G407" s="1" t="s">
        <v>6085</v>
      </c>
      <c r="H407" s="1" t="s">
        <v>6</v>
      </c>
      <c r="I407" s="1" t="s">
        <v>21</v>
      </c>
      <c r="J407" s="1" t="s">
        <v>25</v>
      </c>
      <c r="K407" s="1" t="s">
        <v>9</v>
      </c>
      <c r="L407" s="1" t="s">
        <v>53</v>
      </c>
      <c r="M407" s="11" t="s">
        <v>188</v>
      </c>
      <c r="N407" s="1" t="s">
        <v>6037</v>
      </c>
      <c r="O407" s="1" t="s">
        <v>10</v>
      </c>
      <c r="P407" s="1" t="s">
        <v>126</v>
      </c>
      <c r="Q407" s="18" t="s">
        <v>5798</v>
      </c>
      <c r="R407" s="1" t="s">
        <v>4505</v>
      </c>
      <c r="S407" s="1" t="s">
        <v>6049</v>
      </c>
      <c r="T407" s="1" t="s">
        <v>6050</v>
      </c>
      <c r="U407" s="1" t="s">
        <v>6104</v>
      </c>
      <c r="V407" s="1" t="s">
        <v>6200</v>
      </c>
      <c r="W407" s="27">
        <v>78.571428571428569</v>
      </c>
      <c r="X407" s="27">
        <v>71.428571428571431</v>
      </c>
      <c r="Y407" s="33">
        <f>AVERAGE(Table13[[#This Row],[Score 1]],Table13[[#This Row],[Score 2]])</f>
        <v>75</v>
      </c>
      <c r="Z407" s="1">
        <v>5</v>
      </c>
      <c r="AA407" s="1">
        <v>4</v>
      </c>
      <c r="AB407" s="22">
        <f>Table13[[#This Row],[Rank 1]]+Table13[[#This Row],[Rank 2]]</f>
        <v>9</v>
      </c>
      <c r="AC407" s="1" t="str">
        <f>IF(AND(Table13[[#This Row],[Average score]]&gt;75,Table13[[#This Row],[Total rank]]&gt;6.5),"Yes","No")</f>
        <v>No</v>
      </c>
      <c r="AD407" s="1" t="str">
        <f>IF(AND(Table13[[#This Row],[Average score]]&gt;80,Table13[[#This Row],[Total rank]]&gt;7.5),"Yes","No")</f>
        <v>No</v>
      </c>
      <c r="AF407" s="8">
        <v>45695</v>
      </c>
      <c r="AG407" s="1">
        <v>1</v>
      </c>
      <c r="AH407" s="27">
        <v>173705</v>
      </c>
      <c r="AI407" s="30">
        <v>0</v>
      </c>
      <c r="AJ407" s="30">
        <v>0</v>
      </c>
      <c r="AK407" s="30">
        <f>Table13[[#This Row],[Year 1]]</f>
        <v>173705</v>
      </c>
      <c r="AL407" s="30">
        <f>Table13[[#This Row],[Year 2]]</f>
        <v>0</v>
      </c>
      <c r="AM407" s="30">
        <f>Table13[[#This Row],[Year 3]]</f>
        <v>0</v>
      </c>
      <c r="AN407" s="1">
        <v>3</v>
      </c>
    </row>
    <row r="408" spans="1:40" hidden="1" x14ac:dyDescent="0.25">
      <c r="A408" s="1" t="s">
        <v>48</v>
      </c>
      <c r="B408" s="1" t="s">
        <v>2330</v>
      </c>
      <c r="C408" s="1" t="s">
        <v>50</v>
      </c>
      <c r="D408" s="1" t="s">
        <v>3110</v>
      </c>
      <c r="E408" s="1" t="s">
        <v>3111</v>
      </c>
      <c r="F408" s="22" t="s">
        <v>3</v>
      </c>
      <c r="G408" s="1" t="s">
        <v>6085</v>
      </c>
      <c r="H408" s="1" t="s">
        <v>7</v>
      </c>
      <c r="I408" s="1" t="s">
        <v>24</v>
      </c>
      <c r="J408" s="1" t="s">
        <v>26</v>
      </c>
      <c r="K408" s="1" t="s">
        <v>9</v>
      </c>
      <c r="L408" s="1" t="s">
        <v>53</v>
      </c>
      <c r="M408" s="11" t="s">
        <v>188</v>
      </c>
      <c r="N408" s="1" t="s">
        <v>6037</v>
      </c>
      <c r="O408" s="1" t="s">
        <v>14</v>
      </c>
      <c r="P408" s="1" t="s">
        <v>60</v>
      </c>
      <c r="Q408" s="1" t="s">
        <v>5799</v>
      </c>
      <c r="R408" s="1" t="s">
        <v>4507</v>
      </c>
      <c r="S408" s="1" t="s">
        <v>6141</v>
      </c>
      <c r="T408" s="11" t="s">
        <v>6147</v>
      </c>
      <c r="U408" s="1" t="s">
        <v>6165</v>
      </c>
      <c r="V408" s="1" t="s">
        <v>6185</v>
      </c>
      <c r="W408" s="27">
        <v>69.444444444444443</v>
      </c>
      <c r="X408" s="27">
        <v>86.111111111111114</v>
      </c>
      <c r="Y408" s="33">
        <f>AVERAGE(Table13[[#This Row],[Score 1]],Table13[[#This Row],[Score 2]])</f>
        <v>77.777777777777771</v>
      </c>
      <c r="Z408" s="1">
        <v>2</v>
      </c>
      <c r="AA408" s="1">
        <v>4</v>
      </c>
      <c r="AB408" s="22">
        <f>Table13[[#This Row],[Rank 1]]+Table13[[#This Row],[Rank 2]]</f>
        <v>6</v>
      </c>
      <c r="AC408" s="1" t="str">
        <f>IF(AND(Table13[[#This Row],[Average score]]&gt;75,Table13[[#This Row],[Total rank]]&gt;6.5),"Yes","No")</f>
        <v>No</v>
      </c>
      <c r="AD408" s="1" t="str">
        <f>IF(AND(Table13[[#This Row],[Average score]]&gt;80,Table13[[#This Row],[Total rank]]&gt;7.5),"Yes","No")</f>
        <v>No</v>
      </c>
      <c r="AF408" s="8">
        <v>46027</v>
      </c>
      <c r="AG408" s="1">
        <v>2</v>
      </c>
      <c r="AH408" s="27">
        <v>339000</v>
      </c>
      <c r="AI408" s="27">
        <v>350000</v>
      </c>
      <c r="AJ408" s="30">
        <v>0</v>
      </c>
      <c r="AK408" s="30">
        <f>Table13[[#This Row],[Year 1]]</f>
        <v>339000</v>
      </c>
      <c r="AL408" s="30">
        <f>Table13[[#This Row],[Year 2]]</f>
        <v>350000</v>
      </c>
      <c r="AM408" s="30">
        <f>Table13[[#This Row],[Year 3]]</f>
        <v>0</v>
      </c>
      <c r="AN408" s="1">
        <v>3</v>
      </c>
    </row>
    <row r="409" spans="1:40" x14ac:dyDescent="0.25">
      <c r="A409" s="1" t="s">
        <v>48</v>
      </c>
      <c r="B409" s="1" t="s">
        <v>2332</v>
      </c>
      <c r="C409" s="1" t="s">
        <v>50</v>
      </c>
      <c r="D409" s="1" t="s">
        <v>3114</v>
      </c>
      <c r="E409" s="1" t="s">
        <v>3115</v>
      </c>
      <c r="F409" s="22" t="s">
        <v>3</v>
      </c>
      <c r="G409" s="1" t="s">
        <v>6085</v>
      </c>
      <c r="H409" s="1" t="s">
        <v>5</v>
      </c>
      <c r="I409" s="1" t="s">
        <v>24</v>
      </c>
      <c r="J409" s="1" t="s">
        <v>26</v>
      </c>
      <c r="K409" s="1" t="s">
        <v>9</v>
      </c>
      <c r="L409" s="1" t="s">
        <v>53</v>
      </c>
      <c r="M409" s="11" t="s">
        <v>188</v>
      </c>
      <c r="N409" s="1" t="s">
        <v>6037</v>
      </c>
      <c r="O409" s="1" t="s">
        <v>16</v>
      </c>
      <c r="P409" s="1" t="s">
        <v>1456</v>
      </c>
      <c r="Q409" s="1" t="s">
        <v>5801</v>
      </c>
      <c r="R409" s="1" t="s">
        <v>4512</v>
      </c>
      <c r="S409" s="1" t="s">
        <v>6119</v>
      </c>
      <c r="T409" s="1" t="s">
        <v>6120</v>
      </c>
      <c r="U409" s="1" t="s">
        <v>6129</v>
      </c>
      <c r="V409" s="1" t="s">
        <v>6189</v>
      </c>
      <c r="W409" s="27">
        <v>92.857142857142861</v>
      </c>
      <c r="X409" s="27">
        <v>92.857142857142861</v>
      </c>
      <c r="Y409" s="33">
        <f>AVERAGE(Table13[[#This Row],[Score 1]],Table13[[#This Row],[Score 2]])</f>
        <v>92.857142857142861</v>
      </c>
      <c r="Z409" s="1">
        <v>5</v>
      </c>
      <c r="AA409" s="1">
        <v>5</v>
      </c>
      <c r="AB409" s="22">
        <f>Table13[[#This Row],[Rank 1]]+Table13[[#This Row],[Rank 2]]</f>
        <v>10</v>
      </c>
      <c r="AC409" s="1" t="str">
        <f>IF(AND(Table13[[#This Row],[Average score]]&gt;75,Table13[[#This Row],[Total rank]]&gt;6.5),"Yes","No")</f>
        <v>Yes</v>
      </c>
      <c r="AD409" s="1" t="str">
        <f>IF(AND(Table13[[#This Row],[Average score]]&gt;80,Table13[[#This Row],[Total rank]]&gt;7.5),"Yes","No")</f>
        <v>Yes</v>
      </c>
      <c r="AE409" s="1" t="s">
        <v>6221</v>
      </c>
      <c r="AF409" s="8">
        <v>46027</v>
      </c>
      <c r="AG409" s="1">
        <v>3</v>
      </c>
      <c r="AH409" s="27">
        <v>170810</v>
      </c>
      <c r="AI409" s="27">
        <v>170810</v>
      </c>
      <c r="AJ409" s="27">
        <v>170810</v>
      </c>
      <c r="AK409" s="27">
        <v>171000</v>
      </c>
      <c r="AL409" s="27">
        <v>171000</v>
      </c>
      <c r="AM409" s="27">
        <v>171000</v>
      </c>
      <c r="AN409" s="1">
        <v>3</v>
      </c>
    </row>
    <row r="410" spans="1:40" hidden="1" x14ac:dyDescent="0.25">
      <c r="A410" s="1" t="s">
        <v>48</v>
      </c>
      <c r="B410" s="1" t="s">
        <v>2333</v>
      </c>
      <c r="C410" s="1" t="s">
        <v>50</v>
      </c>
      <c r="D410" s="1" t="s">
        <v>3116</v>
      </c>
      <c r="E410" s="1" t="s">
        <v>3117</v>
      </c>
      <c r="F410" s="22" t="s">
        <v>3</v>
      </c>
      <c r="G410" s="1" t="s">
        <v>6085</v>
      </c>
      <c r="H410" s="1" t="s">
        <v>5</v>
      </c>
      <c r="I410" s="1" t="s">
        <v>20</v>
      </c>
      <c r="J410" s="1" t="s">
        <v>25</v>
      </c>
      <c r="K410" s="1" t="s">
        <v>9</v>
      </c>
      <c r="L410" s="1" t="s">
        <v>53</v>
      </c>
      <c r="M410" s="11" t="s">
        <v>188</v>
      </c>
      <c r="N410" s="1" t="s">
        <v>6037</v>
      </c>
      <c r="O410" s="1" t="s">
        <v>16</v>
      </c>
      <c r="P410" s="1" t="s">
        <v>126</v>
      </c>
      <c r="Q410" s="1" t="s">
        <v>5802</v>
      </c>
      <c r="R410" s="1" t="s">
        <v>4514</v>
      </c>
      <c r="S410" s="1" t="s">
        <v>6123</v>
      </c>
      <c r="T410" s="1" t="s">
        <v>6124</v>
      </c>
      <c r="U410" s="1" t="s">
        <v>6132</v>
      </c>
      <c r="V410" s="1" t="s">
        <v>6202</v>
      </c>
      <c r="W410" s="27">
        <v>78.571428571428569</v>
      </c>
      <c r="X410" s="27">
        <v>89.285714285714292</v>
      </c>
      <c r="Y410" s="33">
        <f>AVERAGE(Table13[[#This Row],[Score 1]],Table13[[#This Row],[Score 2]])</f>
        <v>83.928571428571431</v>
      </c>
      <c r="Z410" s="1">
        <v>4</v>
      </c>
      <c r="AA410" s="1">
        <v>4</v>
      </c>
      <c r="AB410" s="22">
        <f>Table13[[#This Row],[Rank 1]]+Table13[[#This Row],[Rank 2]]</f>
        <v>8</v>
      </c>
      <c r="AC410" s="1" t="str">
        <f>IF(AND(Table13[[#This Row],[Average score]]&gt;75,Table13[[#This Row],[Total rank]]&gt;6.5),"Yes","No")</f>
        <v>Yes</v>
      </c>
      <c r="AD410" s="1" t="str">
        <f>IF(AND(Table13[[#This Row],[Average score]]&gt;80,Table13[[#This Row],[Total rank]]&gt;7.5),"Yes","No")</f>
        <v>Yes</v>
      </c>
      <c r="AF410" s="8">
        <v>46027</v>
      </c>
      <c r="AG410" s="1">
        <v>3</v>
      </c>
      <c r="AH410" s="27">
        <v>535770</v>
      </c>
      <c r="AI410" s="27">
        <v>601135</v>
      </c>
      <c r="AJ410" s="27">
        <v>478663</v>
      </c>
      <c r="AK410" s="27">
        <v>350000</v>
      </c>
      <c r="AL410" s="27">
        <v>350000</v>
      </c>
      <c r="AM410" s="27">
        <v>350000</v>
      </c>
      <c r="AN410" s="1">
        <v>3</v>
      </c>
    </row>
    <row r="411" spans="1:40" hidden="1" x14ac:dyDescent="0.25">
      <c r="A411" s="1" t="s">
        <v>48</v>
      </c>
      <c r="B411" s="1" t="s">
        <v>2334</v>
      </c>
      <c r="C411" s="1" t="s">
        <v>50</v>
      </c>
      <c r="D411" s="1" t="s">
        <v>3118</v>
      </c>
      <c r="E411" s="1" t="s">
        <v>3119</v>
      </c>
      <c r="F411" s="22" t="s">
        <v>3</v>
      </c>
      <c r="G411" s="1" t="s">
        <v>6085</v>
      </c>
      <c r="H411" s="1" t="s">
        <v>6</v>
      </c>
      <c r="I411" s="1" t="s">
        <v>20</v>
      </c>
      <c r="J411" s="1" t="s">
        <v>25</v>
      </c>
      <c r="K411" s="1" t="s">
        <v>9</v>
      </c>
      <c r="L411" s="1" t="s">
        <v>53</v>
      </c>
      <c r="M411" s="11" t="s">
        <v>188</v>
      </c>
      <c r="N411" s="1" t="s">
        <v>6037</v>
      </c>
      <c r="O411" s="1" t="s">
        <v>11</v>
      </c>
      <c r="P411" s="1" t="s">
        <v>593</v>
      </c>
      <c r="Q411" s="1" t="s">
        <v>5803</v>
      </c>
      <c r="R411" s="1" t="s">
        <v>4518</v>
      </c>
      <c r="S411" s="1" t="s">
        <v>6055</v>
      </c>
      <c r="T411" s="1" t="s">
        <v>6056</v>
      </c>
      <c r="U411" s="1" t="s">
        <v>6105</v>
      </c>
      <c r="V411" s="1" t="s">
        <v>6199</v>
      </c>
      <c r="W411" s="27">
        <v>71.428571428571431</v>
      </c>
      <c r="X411" s="27">
        <v>67.857142857142861</v>
      </c>
      <c r="Y411" s="33">
        <f>AVERAGE(Table13[[#This Row],[Score 1]],Table13[[#This Row],[Score 2]])</f>
        <v>69.642857142857139</v>
      </c>
      <c r="Z411" s="1">
        <v>4</v>
      </c>
      <c r="AA411" s="1">
        <v>3</v>
      </c>
      <c r="AB411" s="22">
        <f>Table13[[#This Row],[Rank 1]]+Table13[[#This Row],[Rank 2]]</f>
        <v>7</v>
      </c>
      <c r="AC411" s="1" t="str">
        <f>IF(AND(Table13[[#This Row],[Average score]]&gt;75,Table13[[#This Row],[Total rank]]&gt;6.5),"Yes","No")</f>
        <v>No</v>
      </c>
      <c r="AD411" s="1" t="str">
        <f>IF(AND(Table13[[#This Row],[Average score]]&gt;80,Table13[[#This Row],[Total rank]]&gt;7.5),"Yes","No")</f>
        <v>No</v>
      </c>
      <c r="AF411" s="8">
        <v>46204</v>
      </c>
      <c r="AG411" s="1">
        <v>3</v>
      </c>
      <c r="AH411" s="27">
        <v>200000</v>
      </c>
      <c r="AI411" s="27">
        <v>200000</v>
      </c>
      <c r="AJ411" s="27">
        <v>200000</v>
      </c>
      <c r="AK411" s="27">
        <f>Table13[[#This Row],[Year 1]]</f>
        <v>200000</v>
      </c>
      <c r="AL411" s="27">
        <f>Table13[[#This Row],[Year 2]]</f>
        <v>200000</v>
      </c>
      <c r="AM411" s="27">
        <f>Table13[[#This Row],[Year 3]]</f>
        <v>200000</v>
      </c>
      <c r="AN411" s="1">
        <v>3</v>
      </c>
    </row>
    <row r="412" spans="1:40" hidden="1" x14ac:dyDescent="0.25">
      <c r="A412" s="1" t="s">
        <v>48</v>
      </c>
      <c r="B412" s="1" t="s">
        <v>2335</v>
      </c>
      <c r="C412" s="1" t="s">
        <v>50</v>
      </c>
      <c r="D412" s="1" t="s">
        <v>3120</v>
      </c>
      <c r="E412" s="1" t="s">
        <v>3121</v>
      </c>
      <c r="F412" s="22" t="s">
        <v>3</v>
      </c>
      <c r="G412" s="1" t="s">
        <v>6085</v>
      </c>
      <c r="H412" s="1" t="s">
        <v>6</v>
      </c>
      <c r="I412" s="1" t="s">
        <v>20</v>
      </c>
      <c r="J412" s="1" t="s">
        <v>26</v>
      </c>
      <c r="K412" s="1" t="s">
        <v>9</v>
      </c>
      <c r="L412" s="1" t="s">
        <v>53</v>
      </c>
      <c r="M412" s="11" t="s">
        <v>188</v>
      </c>
      <c r="N412" s="1" t="s">
        <v>6037</v>
      </c>
      <c r="O412" s="1" t="s">
        <v>14</v>
      </c>
      <c r="P412" s="1" t="s">
        <v>66</v>
      </c>
      <c r="Q412" s="18" t="s">
        <v>5565</v>
      </c>
      <c r="R412" s="1" t="s">
        <v>4519</v>
      </c>
      <c r="S412" s="1" t="s">
        <v>6133</v>
      </c>
      <c r="T412" s="1" t="s">
        <v>6134</v>
      </c>
      <c r="U412" s="1" t="s">
        <v>6094</v>
      </c>
      <c r="V412" s="1" t="s">
        <v>6184</v>
      </c>
      <c r="W412" s="27">
        <v>82.142857142857139</v>
      </c>
      <c r="X412" s="27">
        <v>57.142857142857139</v>
      </c>
      <c r="Y412" s="33">
        <f>AVERAGE(Table13[[#This Row],[Score 1]],Table13[[#This Row],[Score 2]])</f>
        <v>69.642857142857139</v>
      </c>
      <c r="Z412" s="1">
        <v>5</v>
      </c>
      <c r="AA412" s="1">
        <v>3</v>
      </c>
      <c r="AB412" s="22">
        <f>Table13[[#This Row],[Rank 1]]+Table13[[#This Row],[Rank 2]]</f>
        <v>8</v>
      </c>
      <c r="AC412" s="1" t="str">
        <f>IF(AND(Table13[[#This Row],[Average score]]&gt;75,Table13[[#This Row],[Total rank]]&gt;6.5),"Yes","No")</f>
        <v>No</v>
      </c>
      <c r="AD412" s="1" t="str">
        <f>IF(AND(Table13[[#This Row],[Average score]]&gt;80,Table13[[#This Row],[Total rank]]&gt;7.5),"Yes","No")</f>
        <v>No</v>
      </c>
      <c r="AF412" s="8">
        <v>46041</v>
      </c>
      <c r="AG412" s="1">
        <v>2</v>
      </c>
      <c r="AH412" s="27">
        <v>177190</v>
      </c>
      <c r="AI412" s="27">
        <v>177190</v>
      </c>
      <c r="AJ412" s="30">
        <v>0</v>
      </c>
      <c r="AK412" s="30">
        <f>Table13[[#This Row],[Year 1]]</f>
        <v>177190</v>
      </c>
      <c r="AL412" s="30">
        <f>Table13[[#This Row],[Year 2]]</f>
        <v>177190</v>
      </c>
      <c r="AM412" s="30">
        <f>Table13[[#This Row],[Year 3]]</f>
        <v>0</v>
      </c>
      <c r="AN412" s="1">
        <v>3</v>
      </c>
    </row>
    <row r="413" spans="1:40" hidden="1" x14ac:dyDescent="0.25">
      <c r="A413" s="1" t="s">
        <v>48</v>
      </c>
      <c r="B413" s="1" t="s">
        <v>2336</v>
      </c>
      <c r="C413" s="1" t="s">
        <v>50</v>
      </c>
      <c r="D413" s="1" t="s">
        <v>3122</v>
      </c>
      <c r="E413" s="1" t="s">
        <v>3123</v>
      </c>
      <c r="F413" s="22" t="s">
        <v>3</v>
      </c>
      <c r="G413" s="1" t="s">
        <v>6085</v>
      </c>
      <c r="H413" s="1" t="s">
        <v>6</v>
      </c>
      <c r="I413" s="1" t="s">
        <v>20</v>
      </c>
      <c r="J413" s="1" t="s">
        <v>26</v>
      </c>
      <c r="K413" s="1" t="s">
        <v>9</v>
      </c>
      <c r="L413" s="1" t="s">
        <v>53</v>
      </c>
      <c r="M413" s="11" t="s">
        <v>188</v>
      </c>
      <c r="N413" s="1" t="s">
        <v>6037</v>
      </c>
      <c r="O413" s="1" t="s">
        <v>19</v>
      </c>
      <c r="P413" s="1" t="s">
        <v>306</v>
      </c>
      <c r="Q413" s="1" t="s">
        <v>5804</v>
      </c>
      <c r="R413" s="1" t="s">
        <v>4521</v>
      </c>
      <c r="S413" s="1" t="s">
        <v>6137</v>
      </c>
      <c r="T413" s="1" t="s">
        <v>6138</v>
      </c>
      <c r="U413" s="1" t="s">
        <v>6160</v>
      </c>
      <c r="V413" s="1" t="s">
        <v>6203</v>
      </c>
      <c r="W413" s="27">
        <v>82.142857142857139</v>
      </c>
      <c r="X413" s="27">
        <v>78.571428571428569</v>
      </c>
      <c r="Y413" s="33">
        <f>AVERAGE(Table13[[#This Row],[Score 1]],Table13[[#This Row],[Score 2]])</f>
        <v>80.357142857142861</v>
      </c>
      <c r="Z413" s="1">
        <v>4</v>
      </c>
      <c r="AA413" s="1">
        <v>4</v>
      </c>
      <c r="AB413" s="22">
        <f>Table13[[#This Row],[Rank 1]]+Table13[[#This Row],[Rank 2]]</f>
        <v>8</v>
      </c>
      <c r="AC413" s="1" t="str">
        <f>IF(AND(Table13[[#This Row],[Average score]]&gt;75,Table13[[#This Row],[Total rank]]&gt;6.5),"Yes","No")</f>
        <v>Yes</v>
      </c>
      <c r="AD413" s="1" t="str">
        <f>IF(AND(Table13[[#This Row],[Average score]]&gt;80,Table13[[#This Row],[Total rank]]&gt;7.5),"Yes","No")</f>
        <v>Yes</v>
      </c>
      <c r="AF413" s="8">
        <v>46062</v>
      </c>
      <c r="AG413" s="1">
        <v>1</v>
      </c>
      <c r="AH413" s="27">
        <v>88924</v>
      </c>
      <c r="AI413" s="30">
        <v>0</v>
      </c>
      <c r="AJ413" s="30">
        <v>0</v>
      </c>
      <c r="AK413" s="30">
        <f>Table13[[#This Row],[Year 1]]</f>
        <v>88924</v>
      </c>
      <c r="AL413" s="30">
        <f>Table13[[#This Row],[Year 2]]</f>
        <v>0</v>
      </c>
      <c r="AM413" s="30">
        <f>Table13[[#This Row],[Year 3]]</f>
        <v>0</v>
      </c>
      <c r="AN413" s="1">
        <v>2</v>
      </c>
    </row>
    <row r="414" spans="1:40" hidden="1" x14ac:dyDescent="0.25">
      <c r="A414" s="1" t="s">
        <v>48</v>
      </c>
      <c r="B414" s="1" t="s">
        <v>2337</v>
      </c>
      <c r="C414" s="1" t="s">
        <v>50</v>
      </c>
      <c r="D414" s="1" t="s">
        <v>3124</v>
      </c>
      <c r="E414" s="1" t="s">
        <v>3125</v>
      </c>
      <c r="F414" s="22" t="s">
        <v>3</v>
      </c>
      <c r="G414" s="1" t="s">
        <v>6085</v>
      </c>
      <c r="H414" s="1" t="s">
        <v>7</v>
      </c>
      <c r="I414" s="1" t="s">
        <v>20</v>
      </c>
      <c r="J414" s="1" t="s">
        <v>25</v>
      </c>
      <c r="K414" s="1" t="s">
        <v>9</v>
      </c>
      <c r="L414" s="1" t="s">
        <v>53</v>
      </c>
      <c r="M414" s="11" t="s">
        <v>188</v>
      </c>
      <c r="N414" s="1" t="s">
        <v>6037</v>
      </c>
      <c r="O414" s="1" t="s">
        <v>13</v>
      </c>
      <c r="P414" s="1" t="s">
        <v>1456</v>
      </c>
      <c r="Q414" s="1" t="s">
        <v>4417</v>
      </c>
      <c r="R414" s="1" t="s">
        <v>4523</v>
      </c>
      <c r="S414" s="1" t="s">
        <v>6068</v>
      </c>
      <c r="T414" s="1" t="s">
        <v>6069</v>
      </c>
      <c r="U414" s="1" t="s">
        <v>6099</v>
      </c>
      <c r="V414" s="1" t="s">
        <v>6194</v>
      </c>
      <c r="W414" s="27">
        <v>66.666666666666657</v>
      </c>
      <c r="X414" s="27">
        <v>69.444444444444443</v>
      </c>
      <c r="Y414" s="33">
        <f>AVERAGE(Table13[[#This Row],[Score 1]],Table13[[#This Row],[Score 2]])</f>
        <v>68.055555555555543</v>
      </c>
      <c r="Z414" s="1">
        <v>3</v>
      </c>
      <c r="AA414" s="1">
        <v>3</v>
      </c>
      <c r="AB414" s="22">
        <f>Table13[[#This Row],[Rank 1]]+Table13[[#This Row],[Rank 2]]</f>
        <v>6</v>
      </c>
      <c r="AC414" s="1" t="str">
        <f>IF(AND(Table13[[#This Row],[Average score]]&gt;75,Table13[[#This Row],[Total rank]]&gt;6.5),"Yes","No")</f>
        <v>No</v>
      </c>
      <c r="AD414" s="1" t="str">
        <f>IF(AND(Table13[[#This Row],[Average score]]&gt;80,Table13[[#This Row],[Total rank]]&gt;7.5),"Yes","No")</f>
        <v>No</v>
      </c>
      <c r="AF414" s="8">
        <v>46143</v>
      </c>
      <c r="AG414" s="1">
        <v>2</v>
      </c>
      <c r="AH414" s="27">
        <v>479550</v>
      </c>
      <c r="AI414" s="27">
        <v>458500</v>
      </c>
      <c r="AJ414" s="30">
        <v>0</v>
      </c>
      <c r="AK414" s="30">
        <f>Table13[[#This Row],[Year 1]]</f>
        <v>479550</v>
      </c>
      <c r="AL414" s="30">
        <f>Table13[[#This Row],[Year 2]]</f>
        <v>458500</v>
      </c>
      <c r="AM414" s="30">
        <f>Table13[[#This Row],[Year 3]]</f>
        <v>0</v>
      </c>
      <c r="AN414" s="1">
        <v>3</v>
      </c>
    </row>
    <row r="415" spans="1:40" x14ac:dyDescent="0.25">
      <c r="A415" s="1" t="s">
        <v>48</v>
      </c>
      <c r="B415" s="2" t="s">
        <v>2338</v>
      </c>
      <c r="C415" s="1" t="s">
        <v>50</v>
      </c>
      <c r="D415" s="1" t="s">
        <v>3126</v>
      </c>
      <c r="E415" s="1" t="s">
        <v>3127</v>
      </c>
      <c r="F415" s="22" t="s">
        <v>3</v>
      </c>
      <c r="G415" s="1" t="s">
        <v>6085</v>
      </c>
      <c r="H415" s="1" t="s">
        <v>1383</v>
      </c>
      <c r="I415" s="1" t="s">
        <v>24</v>
      </c>
      <c r="J415" s="1" t="s">
        <v>26</v>
      </c>
      <c r="K415" s="1" t="s">
        <v>8</v>
      </c>
      <c r="L415" s="1" t="s">
        <v>53</v>
      </c>
      <c r="M415" s="11" t="s">
        <v>188</v>
      </c>
      <c r="N415" s="1" t="s">
        <v>6037</v>
      </c>
      <c r="O415" s="1" t="s">
        <v>16</v>
      </c>
      <c r="P415" s="1" t="s">
        <v>4526</v>
      </c>
      <c r="Q415" s="1" t="s">
        <v>5805</v>
      </c>
      <c r="R415" s="1" t="s">
        <v>4527</v>
      </c>
      <c r="S415" s="1" t="s">
        <v>6122</v>
      </c>
      <c r="T415" s="1" t="s">
        <v>6121</v>
      </c>
      <c r="U415" s="1" t="s">
        <v>6122</v>
      </c>
      <c r="V415" s="1" t="s">
        <v>6180</v>
      </c>
      <c r="W415" s="27">
        <v>87.5</v>
      </c>
      <c r="X415" s="27">
        <v>75</v>
      </c>
      <c r="Y415" s="33">
        <f>AVERAGE(Table13[[#This Row],[Score 1]],Table13[[#This Row],[Score 2]])</f>
        <v>81.25</v>
      </c>
      <c r="Z415" s="1">
        <v>5</v>
      </c>
      <c r="AA415" s="1">
        <v>5</v>
      </c>
      <c r="AB415" s="22">
        <f>Table13[[#This Row],[Rank 1]]+Table13[[#This Row],[Rank 2]]</f>
        <v>10</v>
      </c>
      <c r="AC415" s="1" t="str">
        <f>IF(AND(Table13[[#This Row],[Average score]]&gt;75,Table13[[#This Row],[Total rank]]&gt;6.5),"Yes","No")</f>
        <v>Yes</v>
      </c>
      <c r="AD415" s="1" t="str">
        <f>IF(AND(Table13[[#This Row],[Average score]]&gt;80,Table13[[#This Row],[Total rank]]&gt;7.5),"Yes","No")</f>
        <v>Yes</v>
      </c>
      <c r="AE415" s="1" t="s">
        <v>6221</v>
      </c>
      <c r="AF415" s="8">
        <v>46113</v>
      </c>
      <c r="AG415" s="1">
        <v>1</v>
      </c>
      <c r="AH415" s="27">
        <v>81752</v>
      </c>
      <c r="AI415" s="30">
        <v>0</v>
      </c>
      <c r="AJ415" s="30">
        <v>0</v>
      </c>
      <c r="AK415" s="30">
        <v>82000</v>
      </c>
      <c r="AL415" s="30">
        <f>Table13[[#This Row],[Year 2]]</f>
        <v>0</v>
      </c>
      <c r="AM415" s="30">
        <f>Table13[[#This Row],[Year 3]]</f>
        <v>0</v>
      </c>
      <c r="AN415" s="1">
        <v>3</v>
      </c>
    </row>
    <row r="416" spans="1:40" hidden="1" x14ac:dyDescent="0.25">
      <c r="A416" s="1" t="s">
        <v>48</v>
      </c>
      <c r="B416" s="1" t="s">
        <v>2339</v>
      </c>
      <c r="C416" s="1" t="s">
        <v>50</v>
      </c>
      <c r="D416" s="1" t="s">
        <v>3128</v>
      </c>
      <c r="E416" s="1" t="s">
        <v>3129</v>
      </c>
      <c r="F416" s="22" t="s">
        <v>3</v>
      </c>
      <c r="G416" s="1" t="s">
        <v>6085</v>
      </c>
      <c r="H416" s="1" t="s">
        <v>1383</v>
      </c>
      <c r="I416" s="1" t="s">
        <v>24</v>
      </c>
      <c r="J416" s="1" t="s">
        <v>25</v>
      </c>
      <c r="K416" s="1" t="s">
        <v>8</v>
      </c>
      <c r="L416" s="1" t="s">
        <v>53</v>
      </c>
      <c r="M416" s="11" t="s">
        <v>188</v>
      </c>
      <c r="N416" s="1" t="s">
        <v>6037</v>
      </c>
      <c r="O416" s="1" t="s">
        <v>15</v>
      </c>
      <c r="P416" s="1" t="s">
        <v>4529</v>
      </c>
      <c r="Q416" s="1" t="s">
        <v>5806</v>
      </c>
      <c r="R416" s="1" t="s">
        <v>4530</v>
      </c>
      <c r="S416" s="1" t="s">
        <v>6057</v>
      </c>
      <c r="T416" s="1" t="s">
        <v>6058</v>
      </c>
      <c r="U416" s="1" t="s">
        <v>6095</v>
      </c>
      <c r="V416" s="1" t="s">
        <v>6186</v>
      </c>
      <c r="W416" s="27">
        <v>72.5</v>
      </c>
      <c r="X416" s="27">
        <v>80</v>
      </c>
      <c r="Y416" s="33">
        <f>AVERAGE(Table13[[#This Row],[Score 1]],Table13[[#This Row],[Score 2]])</f>
        <v>76.25</v>
      </c>
      <c r="Z416" s="1">
        <v>4</v>
      </c>
      <c r="AA416" s="1">
        <v>5</v>
      </c>
      <c r="AB416" s="22">
        <f>Table13[[#This Row],[Rank 1]]+Table13[[#This Row],[Rank 2]]</f>
        <v>9</v>
      </c>
      <c r="AC416" s="1" t="str">
        <f>IF(AND(Table13[[#This Row],[Average score]]&gt;75,Table13[[#This Row],[Total rank]]&gt;6.5),"Yes","No")</f>
        <v>Yes</v>
      </c>
      <c r="AD416" s="1" t="str">
        <f>IF(AND(Table13[[#This Row],[Average score]]&gt;80,Table13[[#This Row],[Total rank]]&gt;7.5),"Yes","No")</f>
        <v>No</v>
      </c>
      <c r="AF416" s="8">
        <v>46065</v>
      </c>
      <c r="AG416" s="1">
        <v>1</v>
      </c>
      <c r="AH416" s="27">
        <v>493710.35</v>
      </c>
      <c r="AI416" s="30">
        <v>0</v>
      </c>
      <c r="AJ416" s="30">
        <v>0</v>
      </c>
      <c r="AK416" s="30">
        <f>Table13[[#This Row],[Year 1]]</f>
        <v>493710.35</v>
      </c>
      <c r="AL416" s="30">
        <f>Table13[[#This Row],[Year 2]]</f>
        <v>0</v>
      </c>
      <c r="AM416" s="30">
        <f>Table13[[#This Row],[Year 3]]</f>
        <v>0</v>
      </c>
      <c r="AN416" s="1">
        <v>3</v>
      </c>
    </row>
    <row r="417" spans="1:40" hidden="1" x14ac:dyDescent="0.25">
      <c r="A417" s="1" t="s">
        <v>48</v>
      </c>
      <c r="B417" s="1" t="s">
        <v>2340</v>
      </c>
      <c r="C417" s="1" t="s">
        <v>50</v>
      </c>
      <c r="D417" s="1" t="s">
        <v>3130</v>
      </c>
      <c r="E417" s="1" t="s">
        <v>3131</v>
      </c>
      <c r="F417" s="22" t="s">
        <v>3</v>
      </c>
      <c r="G417" s="1" t="s">
        <v>6085</v>
      </c>
      <c r="H417" s="1" t="s">
        <v>6</v>
      </c>
      <c r="I417" s="1" t="s">
        <v>24</v>
      </c>
      <c r="J417" s="1" t="s">
        <v>26</v>
      </c>
      <c r="K417" s="1" t="s">
        <v>9</v>
      </c>
      <c r="L417" s="1" t="s">
        <v>53</v>
      </c>
      <c r="M417" s="11" t="s">
        <v>188</v>
      </c>
      <c r="N417" s="1" t="s">
        <v>6037</v>
      </c>
      <c r="O417" s="1" t="s">
        <v>10</v>
      </c>
      <c r="P417" s="1" t="s">
        <v>1456</v>
      </c>
      <c r="Q417" s="18" t="s">
        <v>5807</v>
      </c>
      <c r="R417" s="1" t="s">
        <v>4532</v>
      </c>
      <c r="S417" s="1" t="s">
        <v>6049</v>
      </c>
      <c r="T417" s="1" t="s">
        <v>6050</v>
      </c>
      <c r="U417" s="1" t="s">
        <v>6104</v>
      </c>
      <c r="V417" s="1" t="s">
        <v>6200</v>
      </c>
      <c r="W417" s="27">
        <v>78.571428571428569</v>
      </c>
      <c r="X417" s="27">
        <v>89.285714285714292</v>
      </c>
      <c r="Y417" s="33">
        <f>AVERAGE(Table13[[#This Row],[Score 1]],Table13[[#This Row],[Score 2]])</f>
        <v>83.928571428571431</v>
      </c>
      <c r="Z417" s="1">
        <v>4</v>
      </c>
      <c r="AA417" s="1">
        <v>5</v>
      </c>
      <c r="AB417" s="22">
        <f>Table13[[#This Row],[Rank 1]]+Table13[[#This Row],[Rank 2]]</f>
        <v>9</v>
      </c>
      <c r="AC417" s="1" t="str">
        <f>IF(AND(Table13[[#This Row],[Average score]]&gt;75,Table13[[#This Row],[Total rank]]&gt;6.5),"Yes","No")</f>
        <v>Yes</v>
      </c>
      <c r="AD417" s="1" t="str">
        <f>IF(AND(Table13[[#This Row],[Average score]]&gt;80,Table13[[#This Row],[Total rank]]&gt;7.5),"Yes","No")</f>
        <v>Yes</v>
      </c>
      <c r="AF417" s="8">
        <v>45679</v>
      </c>
      <c r="AG417" s="1">
        <v>1</v>
      </c>
      <c r="AH417" s="27">
        <v>145555</v>
      </c>
      <c r="AI417" s="30">
        <v>0</v>
      </c>
      <c r="AJ417" s="30">
        <v>0</v>
      </c>
      <c r="AK417" s="30">
        <f>Table13[[#This Row],[Year 1]]</f>
        <v>145555</v>
      </c>
      <c r="AL417" s="30">
        <f>Table13[[#This Row],[Year 2]]</f>
        <v>0</v>
      </c>
      <c r="AM417" s="30">
        <f>Table13[[#This Row],[Year 3]]</f>
        <v>0</v>
      </c>
      <c r="AN417" s="1">
        <v>3</v>
      </c>
    </row>
    <row r="418" spans="1:40" hidden="1" x14ac:dyDescent="0.25">
      <c r="A418" s="1" t="s">
        <v>48</v>
      </c>
      <c r="B418" s="2" t="s">
        <v>1905</v>
      </c>
      <c r="C418" s="1" t="s">
        <v>50</v>
      </c>
      <c r="D418" s="1" t="s">
        <v>1906</v>
      </c>
      <c r="E418" s="1" t="s">
        <v>1907</v>
      </c>
      <c r="F418" s="22" t="s">
        <v>3</v>
      </c>
      <c r="G418" s="1" t="s">
        <v>6085</v>
      </c>
      <c r="H418" s="1" t="s">
        <v>5</v>
      </c>
      <c r="I418" s="1" t="s">
        <v>24</v>
      </c>
      <c r="J418" s="1" t="s">
        <v>25</v>
      </c>
      <c r="K418" s="1" t="s">
        <v>9</v>
      </c>
      <c r="L418" s="1" t="s">
        <v>53</v>
      </c>
      <c r="M418" s="11" t="s">
        <v>188</v>
      </c>
      <c r="N418" s="1" t="s">
        <v>6037</v>
      </c>
      <c r="O418" s="1" t="s">
        <v>14</v>
      </c>
      <c r="P418" s="1" t="s">
        <v>66</v>
      </c>
      <c r="Q418" s="1" t="s">
        <v>5562</v>
      </c>
      <c r="R418" s="1" t="s">
        <v>3783</v>
      </c>
      <c r="S418" s="1" t="s">
        <v>6135</v>
      </c>
      <c r="T418" s="1" t="s">
        <v>6136</v>
      </c>
      <c r="U418" s="1" t="s">
        <v>6201</v>
      </c>
      <c r="V418" s="1" t="s">
        <v>6163</v>
      </c>
      <c r="W418" s="27">
        <v>53.571428571428569</v>
      </c>
      <c r="X418" s="27">
        <v>82.142857142857139</v>
      </c>
      <c r="Y418" s="33">
        <f>AVERAGE(Table13[[#This Row],[Score 1]],Table13[[#This Row],[Score 2]])</f>
        <v>67.857142857142861</v>
      </c>
      <c r="Z418" s="1">
        <v>2</v>
      </c>
      <c r="AA418" s="1">
        <v>2</v>
      </c>
      <c r="AB418" s="22">
        <f>Table13[[#This Row],[Rank 1]]+Table13[[#This Row],[Rank 2]]</f>
        <v>4</v>
      </c>
      <c r="AC418" s="1" t="str">
        <f>IF(AND(Table13[[#This Row],[Average score]]&gt;75,Table13[[#This Row],[Total rank]]&gt;6.5),"Yes","No")</f>
        <v>No</v>
      </c>
      <c r="AD418" s="1" t="str">
        <f>IF(AND(Table13[[#This Row],[Average score]]&gt;80,Table13[[#This Row],[Total rank]]&gt;7.5),"Yes","No")</f>
        <v>No</v>
      </c>
      <c r="AF418" s="8">
        <v>45689</v>
      </c>
      <c r="AG418" s="1">
        <v>3</v>
      </c>
      <c r="AH418" s="27">
        <v>238732</v>
      </c>
      <c r="AI418" s="27">
        <v>259463</v>
      </c>
      <c r="AJ418" s="27">
        <v>276281</v>
      </c>
      <c r="AK418" s="27">
        <f>Table13[[#This Row],[Year 1]]</f>
        <v>238732</v>
      </c>
      <c r="AL418" s="27">
        <f>Table13[[#This Row],[Year 2]]</f>
        <v>259463</v>
      </c>
      <c r="AM418" s="27">
        <f>Table13[[#This Row],[Year 3]]</f>
        <v>276281</v>
      </c>
      <c r="AN418" s="1">
        <v>3</v>
      </c>
    </row>
    <row r="419" spans="1:40" hidden="1" x14ac:dyDescent="0.25">
      <c r="A419" s="1" t="s">
        <v>48</v>
      </c>
      <c r="B419" s="1" t="s">
        <v>2342</v>
      </c>
      <c r="C419" s="1" t="s">
        <v>50</v>
      </c>
      <c r="D419" s="1" t="s">
        <v>3134</v>
      </c>
      <c r="E419" s="1" t="s">
        <v>3135</v>
      </c>
      <c r="F419" s="22" t="s">
        <v>3</v>
      </c>
      <c r="G419" s="1" t="s">
        <v>6085</v>
      </c>
      <c r="H419" s="1" t="s">
        <v>5</v>
      </c>
      <c r="I419" s="1" t="s">
        <v>20</v>
      </c>
      <c r="J419" s="1" t="s">
        <v>25</v>
      </c>
      <c r="K419" s="1" t="s">
        <v>9</v>
      </c>
      <c r="L419" s="1" t="s">
        <v>53</v>
      </c>
      <c r="M419" s="11" t="s">
        <v>188</v>
      </c>
      <c r="N419" s="1" t="s">
        <v>6037</v>
      </c>
      <c r="O419" s="1" t="s">
        <v>13</v>
      </c>
      <c r="P419" s="1" t="s">
        <v>247</v>
      </c>
      <c r="Q419" s="1" t="s">
        <v>5809</v>
      </c>
      <c r="R419" s="1" t="s">
        <v>4537</v>
      </c>
      <c r="S419" s="1" t="s">
        <v>6070</v>
      </c>
      <c r="T419" s="2" t="s">
        <v>6075</v>
      </c>
      <c r="U419" s="1" t="s">
        <v>6093</v>
      </c>
      <c r="V419" s="1" t="s">
        <v>6088</v>
      </c>
      <c r="W419" s="27">
        <v>89.285714285714292</v>
      </c>
      <c r="X419" s="27">
        <v>67.857142857142861</v>
      </c>
      <c r="Y419" s="33">
        <f>AVERAGE(Table13[[#This Row],[Score 1]],Table13[[#This Row],[Score 2]])</f>
        <v>78.571428571428584</v>
      </c>
      <c r="Z419" s="1">
        <v>4</v>
      </c>
      <c r="AA419" s="1">
        <v>3</v>
      </c>
      <c r="AB419" s="22">
        <f>Table13[[#This Row],[Rank 1]]+Table13[[#This Row],[Rank 2]]</f>
        <v>7</v>
      </c>
      <c r="AC419" s="1" t="str">
        <f>IF(AND(Table13[[#This Row],[Average score]]&gt;75,Table13[[#This Row],[Total rank]]&gt;6.5),"Yes","No")</f>
        <v>Yes</v>
      </c>
      <c r="AD419" s="1" t="str">
        <f>IF(AND(Table13[[#This Row],[Average score]]&gt;80,Table13[[#This Row],[Total rank]]&gt;7.5),"Yes","No")</f>
        <v>No</v>
      </c>
      <c r="AF419" s="8">
        <v>46023</v>
      </c>
      <c r="AG419" s="1">
        <v>3</v>
      </c>
      <c r="AH419" s="27">
        <v>262735</v>
      </c>
      <c r="AI419" s="27">
        <v>275040</v>
      </c>
      <c r="AJ419" s="27">
        <v>288220</v>
      </c>
      <c r="AK419" s="27">
        <f>Table13[[#This Row],[Year 1]]</f>
        <v>262735</v>
      </c>
      <c r="AL419" s="27">
        <f>Table13[[#This Row],[Year 2]]</f>
        <v>275040</v>
      </c>
      <c r="AM419" s="27">
        <f>Table13[[#This Row],[Year 3]]</f>
        <v>288220</v>
      </c>
      <c r="AN419" s="1">
        <v>4</v>
      </c>
    </row>
    <row r="420" spans="1:40" hidden="1" x14ac:dyDescent="0.25">
      <c r="A420" s="1" t="s">
        <v>48</v>
      </c>
      <c r="B420" s="2" t="s">
        <v>2344</v>
      </c>
      <c r="C420" s="1" t="s">
        <v>50</v>
      </c>
      <c r="D420" s="1" t="s">
        <v>3138</v>
      </c>
      <c r="E420" s="1" t="s">
        <v>3139</v>
      </c>
      <c r="F420" s="22" t="s">
        <v>3</v>
      </c>
      <c r="G420" s="1" t="s">
        <v>6085</v>
      </c>
      <c r="H420" s="1" t="s">
        <v>5</v>
      </c>
      <c r="I420" s="1" t="s">
        <v>20</v>
      </c>
      <c r="J420" s="1" t="s">
        <v>25</v>
      </c>
      <c r="K420" s="1" t="s">
        <v>9</v>
      </c>
      <c r="L420" s="1" t="s">
        <v>53</v>
      </c>
      <c r="M420" s="11" t="s">
        <v>188</v>
      </c>
      <c r="N420" s="1" t="s">
        <v>6037</v>
      </c>
      <c r="O420" s="1" t="s">
        <v>13</v>
      </c>
      <c r="P420" s="1" t="s">
        <v>593</v>
      </c>
      <c r="Q420" s="1" t="s">
        <v>4156</v>
      </c>
      <c r="R420" s="1" t="s">
        <v>4542</v>
      </c>
      <c r="S420" s="1" t="s">
        <v>6066</v>
      </c>
      <c r="T420" s="1" t="s">
        <v>6067</v>
      </c>
      <c r="U420" s="1" t="s">
        <v>6103</v>
      </c>
      <c r="V420" s="1" t="s">
        <v>6198</v>
      </c>
      <c r="W420" s="27">
        <v>71.428571428571431</v>
      </c>
      <c r="X420" s="29">
        <f>Table13[[#This Row],[Score 1]]</f>
        <v>71.428571428571431</v>
      </c>
      <c r="Y420" s="33">
        <f>AVERAGE(Table13[[#This Row],[Score 1]],Table13[[#This Row],[Score 2]])</f>
        <v>71.428571428571431</v>
      </c>
      <c r="Z420" s="1">
        <v>4</v>
      </c>
      <c r="AA420" s="2">
        <f>Table13[[#This Row],[Rank 1]]</f>
        <v>4</v>
      </c>
      <c r="AB420" s="22">
        <f>Table13[[#This Row],[Rank 1]]+Table13[[#This Row],[Rank 2]]</f>
        <v>8</v>
      </c>
      <c r="AC420" s="1" t="str">
        <f>IF(AND(Table13[[#This Row],[Average score]]&gt;75,Table13[[#This Row],[Total rank]]&gt;6.5),"Yes","No")</f>
        <v>No</v>
      </c>
      <c r="AD420" s="1" t="str">
        <f>IF(AND(Table13[[#This Row],[Average score]]&gt;80,Table13[[#This Row],[Total rank]]&gt;7.5),"Yes","No")</f>
        <v>No</v>
      </c>
      <c r="AF420" s="8">
        <v>46048</v>
      </c>
      <c r="AG420" s="1">
        <v>2</v>
      </c>
      <c r="AH420" s="27">
        <v>290100</v>
      </c>
      <c r="AI420" s="27">
        <v>221800</v>
      </c>
      <c r="AJ420" s="30">
        <v>0</v>
      </c>
      <c r="AK420" s="30">
        <f>Table13[[#This Row],[Year 1]]</f>
        <v>290100</v>
      </c>
      <c r="AL420" s="30">
        <f>Table13[[#This Row],[Year 2]]</f>
        <v>221800</v>
      </c>
      <c r="AM420" s="30">
        <f>Table13[[#This Row],[Year 3]]</f>
        <v>0</v>
      </c>
      <c r="AN420" s="1">
        <v>3</v>
      </c>
    </row>
    <row r="421" spans="1:40" hidden="1" x14ac:dyDescent="0.25">
      <c r="A421" s="1" t="s">
        <v>48</v>
      </c>
      <c r="B421" s="1" t="s">
        <v>2345</v>
      </c>
      <c r="C421" s="1" t="s">
        <v>50</v>
      </c>
      <c r="D421" s="1" t="s">
        <v>3140</v>
      </c>
      <c r="E421" s="1" t="s">
        <v>3141</v>
      </c>
      <c r="F421" s="22" t="s">
        <v>3</v>
      </c>
      <c r="G421" s="1" t="s">
        <v>6085</v>
      </c>
      <c r="H421" s="1" t="s">
        <v>6</v>
      </c>
      <c r="I421" s="1" t="s">
        <v>24</v>
      </c>
      <c r="J421" s="1" t="s">
        <v>25</v>
      </c>
      <c r="K421" s="1" t="s">
        <v>9</v>
      </c>
      <c r="L421" s="1" t="s">
        <v>53</v>
      </c>
      <c r="M421" s="11" t="s">
        <v>188</v>
      </c>
      <c r="N421" s="1" t="s">
        <v>6037</v>
      </c>
      <c r="O421" s="1" t="s">
        <v>13</v>
      </c>
      <c r="P421" s="1" t="s">
        <v>593</v>
      </c>
      <c r="Q421" s="1" t="s">
        <v>5811</v>
      </c>
      <c r="R421" s="1" t="s">
        <v>4545</v>
      </c>
      <c r="S421" s="1" t="s">
        <v>6075</v>
      </c>
      <c r="T421" s="1" t="s">
        <v>6074</v>
      </c>
      <c r="U421" s="1" t="s">
        <v>6093</v>
      </c>
      <c r="V421" s="1" t="s">
        <v>6181</v>
      </c>
      <c r="W421" s="27">
        <v>85.714285714285708</v>
      </c>
      <c r="X421" s="27">
        <v>82.142857142857139</v>
      </c>
      <c r="Y421" s="33">
        <f>AVERAGE(Table13[[#This Row],[Score 1]],Table13[[#This Row],[Score 2]])</f>
        <v>83.928571428571416</v>
      </c>
      <c r="Z421" s="1">
        <v>4</v>
      </c>
      <c r="AA421" s="1">
        <v>4</v>
      </c>
      <c r="AB421" s="22">
        <f>Table13[[#This Row],[Rank 1]]+Table13[[#This Row],[Rank 2]]</f>
        <v>8</v>
      </c>
      <c r="AC421" s="1" t="str">
        <f>IF(AND(Table13[[#This Row],[Average score]]&gt;75,Table13[[#This Row],[Total rank]]&gt;6.5),"Yes","No")</f>
        <v>Yes</v>
      </c>
      <c r="AD421" s="1" t="str">
        <f>IF(AND(Table13[[#This Row],[Average score]]&gt;80,Table13[[#This Row],[Total rank]]&gt;7.5),"Yes","No")</f>
        <v>Yes</v>
      </c>
      <c r="AF421" s="8">
        <v>46053</v>
      </c>
      <c r="AG421" s="1">
        <v>2</v>
      </c>
      <c r="AH421" s="27">
        <v>185000</v>
      </c>
      <c r="AI421" s="27">
        <v>185000</v>
      </c>
      <c r="AJ421" s="30">
        <v>0</v>
      </c>
      <c r="AK421" s="30">
        <f>Table13[[#This Row],[Year 1]]</f>
        <v>185000</v>
      </c>
      <c r="AL421" s="30">
        <f>Table13[[#This Row],[Year 2]]</f>
        <v>185000</v>
      </c>
      <c r="AM421" s="30">
        <f>Table13[[#This Row],[Year 3]]</f>
        <v>0</v>
      </c>
      <c r="AN421" s="1">
        <v>3</v>
      </c>
    </row>
    <row r="422" spans="1:40" hidden="1" x14ac:dyDescent="0.25">
      <c r="A422" s="1" t="s">
        <v>48</v>
      </c>
      <c r="B422" s="2" t="s">
        <v>2410</v>
      </c>
      <c r="C422" s="1" t="s">
        <v>50</v>
      </c>
      <c r="D422" s="1" t="s">
        <v>3270</v>
      </c>
      <c r="E422" s="1" t="s">
        <v>3271</v>
      </c>
      <c r="F422" s="22" t="s">
        <v>3</v>
      </c>
      <c r="G422" s="1" t="s">
        <v>6085</v>
      </c>
      <c r="H422" s="1" t="s">
        <v>5</v>
      </c>
      <c r="I422" s="1" t="s">
        <v>24</v>
      </c>
      <c r="J422" s="1" t="s">
        <v>26</v>
      </c>
      <c r="K422" s="1" t="s">
        <v>9</v>
      </c>
      <c r="L422" s="1" t="s">
        <v>78</v>
      </c>
      <c r="M422" s="11" t="s">
        <v>188</v>
      </c>
      <c r="N422" s="1" t="s">
        <v>6037</v>
      </c>
      <c r="O422" s="1" t="s">
        <v>16</v>
      </c>
      <c r="P422" s="1" t="s">
        <v>4700</v>
      </c>
      <c r="Q422" s="1" t="s">
        <v>5860</v>
      </c>
      <c r="R422" s="1" t="s">
        <v>4701</v>
      </c>
      <c r="S422" s="1" t="s">
        <v>6122</v>
      </c>
      <c r="T422" s="1" t="s">
        <v>6121</v>
      </c>
      <c r="U422" s="1" t="s">
        <v>6122</v>
      </c>
      <c r="V422" s="1" t="s">
        <v>6180</v>
      </c>
      <c r="W422" s="27">
        <v>85.714285714285708</v>
      </c>
      <c r="X422" s="27">
        <v>82.142857142857139</v>
      </c>
      <c r="Y422" s="33">
        <f>AVERAGE(Table13[[#This Row],[Score 1]],Table13[[#This Row],[Score 2]])</f>
        <v>83.928571428571416</v>
      </c>
      <c r="Z422" s="1">
        <v>4</v>
      </c>
      <c r="AA422" s="1">
        <v>4</v>
      </c>
      <c r="AB422" s="22">
        <f>Table13[[#This Row],[Rank 1]]+Table13[[#This Row],[Rank 2]]</f>
        <v>8</v>
      </c>
      <c r="AC422" s="1" t="str">
        <f>IF(AND(Table13[[#This Row],[Average score]]&gt;75,Table13[[#This Row],[Total rank]]&gt;6.5),"Yes","No")</f>
        <v>Yes</v>
      </c>
      <c r="AD422" s="1" t="str">
        <f>IF(AND(Table13[[#This Row],[Average score]]&gt;80,Table13[[#This Row],[Total rank]]&gt;7.5),"Yes","No")</f>
        <v>Yes</v>
      </c>
      <c r="AF422" s="8">
        <v>46113</v>
      </c>
      <c r="AG422" s="1">
        <v>3</v>
      </c>
      <c r="AH422" s="27">
        <v>160000</v>
      </c>
      <c r="AI422" s="27">
        <v>160000</v>
      </c>
      <c r="AJ422" s="27">
        <v>160000</v>
      </c>
      <c r="AK422" s="27">
        <f>Table13[[#This Row],[Year 1]]</f>
        <v>160000</v>
      </c>
      <c r="AL422" s="27">
        <f>Table13[[#This Row],[Year 2]]</f>
        <v>160000</v>
      </c>
      <c r="AM422" s="27">
        <f>Table13[[#This Row],[Year 3]]</f>
        <v>160000</v>
      </c>
      <c r="AN422" s="1">
        <v>3</v>
      </c>
    </row>
    <row r="423" spans="1:40" hidden="1" x14ac:dyDescent="0.25">
      <c r="A423" s="1" t="s">
        <v>48</v>
      </c>
      <c r="B423" s="1" t="s">
        <v>2347</v>
      </c>
      <c r="C423" s="1" t="s">
        <v>50</v>
      </c>
      <c r="D423" s="1" t="s">
        <v>3144</v>
      </c>
      <c r="E423" s="1" t="s">
        <v>3145</v>
      </c>
      <c r="F423" s="22" t="s">
        <v>3</v>
      </c>
      <c r="G423" s="1" t="s">
        <v>6085</v>
      </c>
      <c r="H423" s="1" t="s">
        <v>6</v>
      </c>
      <c r="I423" s="1" t="s">
        <v>20</v>
      </c>
      <c r="J423" s="1" t="s">
        <v>25</v>
      </c>
      <c r="K423" s="1" t="s">
        <v>9</v>
      </c>
      <c r="L423" s="1" t="s">
        <v>53</v>
      </c>
      <c r="M423" s="11" t="s">
        <v>188</v>
      </c>
      <c r="N423" s="1" t="s">
        <v>6037</v>
      </c>
      <c r="O423" s="1" t="s">
        <v>19</v>
      </c>
      <c r="P423" s="1" t="s">
        <v>60</v>
      </c>
      <c r="Q423" s="18" t="s">
        <v>5813</v>
      </c>
      <c r="R423" s="1" t="s">
        <v>4548</v>
      </c>
      <c r="S423" s="1" t="s">
        <v>6133</v>
      </c>
      <c r="T423" s="1" t="s">
        <v>6134</v>
      </c>
      <c r="U423" s="1" t="s">
        <v>6094</v>
      </c>
      <c r="V423" s="1" t="s">
        <v>6184</v>
      </c>
      <c r="W423" s="27">
        <v>71.428571428571431</v>
      </c>
      <c r="X423" s="27">
        <v>67.857142857142861</v>
      </c>
      <c r="Y423" s="33">
        <f>AVERAGE(Table13[[#This Row],[Score 1]],Table13[[#This Row],[Score 2]])</f>
        <v>69.642857142857139</v>
      </c>
      <c r="Z423" s="1">
        <v>3</v>
      </c>
      <c r="AA423" s="1">
        <v>4</v>
      </c>
      <c r="AB423" s="22">
        <f>Table13[[#This Row],[Rank 1]]+Table13[[#This Row],[Rank 2]]</f>
        <v>7</v>
      </c>
      <c r="AC423" s="1" t="str">
        <f>IF(AND(Table13[[#This Row],[Average score]]&gt;75,Table13[[#This Row],[Total rank]]&gt;6.5),"Yes","No")</f>
        <v>No</v>
      </c>
      <c r="AD423" s="1" t="str">
        <f>IF(AND(Table13[[#This Row],[Average score]]&gt;80,Table13[[#This Row],[Total rank]]&gt;7.5),"Yes","No")</f>
        <v>No</v>
      </c>
      <c r="AF423" s="8">
        <v>46034</v>
      </c>
      <c r="AG423" s="1">
        <v>2</v>
      </c>
      <c r="AH423" s="27">
        <v>239430</v>
      </c>
      <c r="AI423" s="27">
        <v>230000</v>
      </c>
      <c r="AJ423" s="30">
        <v>0</v>
      </c>
      <c r="AK423" s="30">
        <f>Table13[[#This Row],[Year 1]]</f>
        <v>239430</v>
      </c>
      <c r="AL423" s="30">
        <f>Table13[[#This Row],[Year 2]]</f>
        <v>230000</v>
      </c>
      <c r="AM423" s="30">
        <f>Table13[[#This Row],[Year 3]]</f>
        <v>0</v>
      </c>
      <c r="AN423" s="1">
        <v>3</v>
      </c>
    </row>
    <row r="424" spans="1:40" hidden="1" x14ac:dyDescent="0.25">
      <c r="A424" s="1" t="s">
        <v>48</v>
      </c>
      <c r="B424" s="1" t="s">
        <v>2348</v>
      </c>
      <c r="C424" s="1" t="s">
        <v>50</v>
      </c>
      <c r="D424" s="1" t="s">
        <v>3146</v>
      </c>
      <c r="E424" s="1" t="s">
        <v>3147</v>
      </c>
      <c r="F424" s="22" t="s">
        <v>3</v>
      </c>
      <c r="G424" s="1" t="s">
        <v>6085</v>
      </c>
      <c r="H424" s="1" t="s">
        <v>6</v>
      </c>
      <c r="I424" s="1" t="s">
        <v>24</v>
      </c>
      <c r="J424" s="1" t="s">
        <v>25</v>
      </c>
      <c r="K424" s="1" t="s">
        <v>9</v>
      </c>
      <c r="L424" s="1" t="s">
        <v>53</v>
      </c>
      <c r="M424" s="11" t="s">
        <v>188</v>
      </c>
      <c r="N424" s="1" t="s">
        <v>6037</v>
      </c>
      <c r="O424" s="1" t="s">
        <v>13</v>
      </c>
      <c r="P424" s="1" t="s">
        <v>247</v>
      </c>
      <c r="Q424" s="1" t="s">
        <v>5814</v>
      </c>
      <c r="R424" s="1" t="s">
        <v>734</v>
      </c>
      <c r="S424" s="1" t="s">
        <v>6070</v>
      </c>
      <c r="T424" s="1" t="s">
        <v>6071</v>
      </c>
      <c r="U424" s="1" t="s">
        <v>6088</v>
      </c>
      <c r="V424" s="1" t="s">
        <v>6171</v>
      </c>
      <c r="W424" s="27">
        <v>71.428571428571431</v>
      </c>
      <c r="X424" s="27">
        <v>78.571428571428569</v>
      </c>
      <c r="Y424" s="33">
        <f>AVERAGE(Table13[[#This Row],[Score 1]],Table13[[#This Row],[Score 2]])</f>
        <v>75</v>
      </c>
      <c r="Z424" s="1">
        <v>3</v>
      </c>
      <c r="AA424" s="1">
        <v>4</v>
      </c>
      <c r="AB424" s="22">
        <f>Table13[[#This Row],[Rank 1]]+Table13[[#This Row],[Rank 2]]</f>
        <v>7</v>
      </c>
      <c r="AC424" s="1" t="str">
        <f>IF(AND(Table13[[#This Row],[Average score]]&gt;75,Table13[[#This Row],[Total rank]]&gt;6.5),"Yes","No")</f>
        <v>No</v>
      </c>
      <c r="AD424" s="1" t="str">
        <f>IF(AND(Table13[[#This Row],[Average score]]&gt;80,Table13[[#This Row],[Total rank]]&gt;7.5),"Yes","No")</f>
        <v>No</v>
      </c>
      <c r="AF424" s="8">
        <v>45663</v>
      </c>
      <c r="AG424" s="1">
        <v>1</v>
      </c>
      <c r="AH424" s="27">
        <v>177500</v>
      </c>
      <c r="AI424" s="30">
        <v>0</v>
      </c>
      <c r="AJ424" s="30">
        <v>0</v>
      </c>
      <c r="AK424" s="30">
        <f>Table13[[#This Row],[Year 1]]</f>
        <v>177500</v>
      </c>
      <c r="AL424" s="30">
        <f>Table13[[#This Row],[Year 2]]</f>
        <v>0</v>
      </c>
      <c r="AM424" s="30">
        <f>Table13[[#This Row],[Year 3]]</f>
        <v>0</v>
      </c>
      <c r="AN424" s="1">
        <v>3</v>
      </c>
    </row>
    <row r="425" spans="1:40" hidden="1" x14ac:dyDescent="0.25">
      <c r="A425" s="1" t="s">
        <v>48</v>
      </c>
      <c r="B425" s="1" t="s">
        <v>2349</v>
      </c>
      <c r="C425" s="1" t="s">
        <v>50</v>
      </c>
      <c r="D425" s="1" t="s">
        <v>3148</v>
      </c>
      <c r="E425" s="1" t="s">
        <v>3149</v>
      </c>
      <c r="F425" s="22" t="s">
        <v>3</v>
      </c>
      <c r="G425" s="1" t="s">
        <v>6085</v>
      </c>
      <c r="H425" s="1" t="s">
        <v>5</v>
      </c>
      <c r="I425" s="1" t="s">
        <v>24</v>
      </c>
      <c r="J425" s="1" t="s">
        <v>25</v>
      </c>
      <c r="K425" s="1" t="s">
        <v>9</v>
      </c>
      <c r="L425" s="1" t="s">
        <v>53</v>
      </c>
      <c r="M425" s="11" t="s">
        <v>188</v>
      </c>
      <c r="N425" s="1" t="s">
        <v>6037</v>
      </c>
      <c r="O425" s="1" t="s">
        <v>14</v>
      </c>
      <c r="P425" s="1" t="s">
        <v>4551</v>
      </c>
      <c r="Q425" s="1" t="s">
        <v>5815</v>
      </c>
      <c r="R425" s="1" t="s">
        <v>4552</v>
      </c>
      <c r="S425" s="1" t="s">
        <v>6141</v>
      </c>
      <c r="T425" s="11" t="s">
        <v>6210</v>
      </c>
      <c r="U425" s="1" t="s">
        <v>6165</v>
      </c>
      <c r="V425" s="1" t="s">
        <v>6162</v>
      </c>
      <c r="W425" s="27">
        <v>78.571428571428569</v>
      </c>
      <c r="X425" s="27">
        <v>78.571428571428569</v>
      </c>
      <c r="Y425" s="33">
        <f>AVERAGE(Table13[[#This Row],[Score 1]],Table13[[#This Row],[Score 2]])</f>
        <v>78.571428571428569</v>
      </c>
      <c r="Z425" s="1">
        <v>4</v>
      </c>
      <c r="AA425" s="1">
        <v>2</v>
      </c>
      <c r="AB425" s="22">
        <f>Table13[[#This Row],[Rank 1]]+Table13[[#This Row],[Rank 2]]</f>
        <v>6</v>
      </c>
      <c r="AC425" s="1" t="str">
        <f>IF(AND(Table13[[#This Row],[Average score]]&gt;75,Table13[[#This Row],[Total rank]]&gt;6.5),"Yes","No")</f>
        <v>No</v>
      </c>
      <c r="AD425" s="1" t="str">
        <f>IF(AND(Table13[[#This Row],[Average score]]&gt;80,Table13[[#This Row],[Total rank]]&gt;7.5),"Yes","No")</f>
        <v>No</v>
      </c>
      <c r="AF425" s="8">
        <v>46023</v>
      </c>
      <c r="AG425" s="1">
        <v>1</v>
      </c>
      <c r="AH425" s="27">
        <v>86000</v>
      </c>
      <c r="AI425" s="30">
        <v>0</v>
      </c>
      <c r="AJ425" s="30">
        <v>0</v>
      </c>
      <c r="AK425" s="30">
        <f>Table13[[#This Row],[Year 1]]</f>
        <v>86000</v>
      </c>
      <c r="AL425" s="30">
        <f>Table13[[#This Row],[Year 2]]</f>
        <v>0</v>
      </c>
      <c r="AM425" s="30">
        <f>Table13[[#This Row],[Year 3]]</f>
        <v>0</v>
      </c>
      <c r="AN425" s="1">
        <v>3</v>
      </c>
    </row>
    <row r="426" spans="1:40" hidden="1" x14ac:dyDescent="0.25">
      <c r="A426" s="1" t="s">
        <v>48</v>
      </c>
      <c r="B426" s="2" t="s">
        <v>2350</v>
      </c>
      <c r="C426" s="1" t="s">
        <v>50</v>
      </c>
      <c r="D426" s="1" t="s">
        <v>3150</v>
      </c>
      <c r="E426" s="1" t="s">
        <v>3151</v>
      </c>
      <c r="F426" s="22" t="s">
        <v>3</v>
      </c>
      <c r="G426" s="1" t="s">
        <v>6085</v>
      </c>
      <c r="H426" s="1" t="s">
        <v>6</v>
      </c>
      <c r="I426" s="1" t="s">
        <v>20</v>
      </c>
      <c r="J426" s="1" t="s">
        <v>25</v>
      </c>
      <c r="K426" s="1" t="s">
        <v>9</v>
      </c>
      <c r="L426" s="1" t="s">
        <v>53</v>
      </c>
      <c r="M426" s="11" t="s">
        <v>188</v>
      </c>
      <c r="N426" s="1" t="s">
        <v>6037</v>
      </c>
      <c r="O426" s="1" t="s">
        <v>18</v>
      </c>
      <c r="P426" s="1" t="s">
        <v>4553</v>
      </c>
      <c r="Q426" s="1" t="s">
        <v>5816</v>
      </c>
      <c r="R426" s="19" t="s">
        <v>4554</v>
      </c>
      <c r="S426" s="1" t="s">
        <v>6152</v>
      </c>
      <c r="T426" s="1" t="s">
        <v>6205</v>
      </c>
      <c r="U426" s="1" t="s">
        <v>6178</v>
      </c>
      <c r="V426" s="1" t="s">
        <v>6159</v>
      </c>
      <c r="W426" s="27">
        <v>60.714285714285708</v>
      </c>
      <c r="X426" s="27">
        <v>85.714285714285708</v>
      </c>
      <c r="Y426" s="33">
        <f>AVERAGE(Table13[[#This Row],[Score 1]],Table13[[#This Row],[Score 2]])</f>
        <v>73.214285714285708</v>
      </c>
      <c r="Z426" s="1">
        <v>3</v>
      </c>
      <c r="AA426" s="1">
        <v>5</v>
      </c>
      <c r="AB426" s="22">
        <f>Table13[[#This Row],[Rank 1]]+Table13[[#This Row],[Rank 2]]</f>
        <v>8</v>
      </c>
      <c r="AC426" s="1" t="str">
        <f>IF(AND(Table13[[#This Row],[Average score]]&gt;75,Table13[[#This Row],[Total rank]]&gt;6.5),"Yes","No")</f>
        <v>No</v>
      </c>
      <c r="AD426" s="1" t="str">
        <f>IF(AND(Table13[[#This Row],[Average score]]&gt;80,Table13[[#This Row],[Total rank]]&gt;7.5),"Yes","No")</f>
        <v>No</v>
      </c>
      <c r="AF426" s="8">
        <v>46062</v>
      </c>
      <c r="AG426" s="1">
        <v>1</v>
      </c>
      <c r="AH426" s="27">
        <v>38000</v>
      </c>
      <c r="AI426" s="30">
        <v>0</v>
      </c>
      <c r="AJ426" s="30">
        <v>0</v>
      </c>
      <c r="AK426" s="30">
        <f>Table13[[#This Row],[Year 1]]</f>
        <v>38000</v>
      </c>
      <c r="AL426" s="30">
        <f>Table13[[#This Row],[Year 2]]</f>
        <v>0</v>
      </c>
      <c r="AM426" s="30">
        <f>Table13[[#This Row],[Year 3]]</f>
        <v>0</v>
      </c>
      <c r="AN426" s="1">
        <v>4</v>
      </c>
    </row>
    <row r="427" spans="1:40" hidden="1" x14ac:dyDescent="0.25">
      <c r="A427" s="1" t="s">
        <v>48</v>
      </c>
      <c r="B427" s="2" t="s">
        <v>2178</v>
      </c>
      <c r="C427" s="1" t="s">
        <v>50</v>
      </c>
      <c r="D427" s="1" t="s">
        <v>2806</v>
      </c>
      <c r="E427" s="1" t="s">
        <v>2807</v>
      </c>
      <c r="F427" s="22" t="s">
        <v>3</v>
      </c>
      <c r="G427" s="1" t="s">
        <v>6085</v>
      </c>
      <c r="H427" s="1" t="s">
        <v>5</v>
      </c>
      <c r="I427" s="1" t="s">
        <v>24</v>
      </c>
      <c r="J427" s="1" t="s">
        <v>26</v>
      </c>
      <c r="K427" s="1" t="s">
        <v>9</v>
      </c>
      <c r="L427" s="1" t="s">
        <v>53</v>
      </c>
      <c r="M427" s="11" t="s">
        <v>188</v>
      </c>
      <c r="N427" s="1" t="s">
        <v>6037</v>
      </c>
      <c r="O427" s="1" t="s">
        <v>14</v>
      </c>
      <c r="P427" s="1" t="s">
        <v>247</v>
      </c>
      <c r="Q427" s="1" t="s">
        <v>892</v>
      </c>
      <c r="R427" s="1" t="s">
        <v>4151</v>
      </c>
      <c r="S427" s="1" t="s">
        <v>6135</v>
      </c>
      <c r="T427" s="1" t="s">
        <v>6136</v>
      </c>
      <c r="U427" s="1" t="s">
        <v>6201</v>
      </c>
      <c r="V427" s="1" t="s">
        <v>6163</v>
      </c>
      <c r="W427" s="27">
        <v>96.428571428571431</v>
      </c>
      <c r="X427" s="27">
        <v>82.142857142857139</v>
      </c>
      <c r="Y427" s="33">
        <f>AVERAGE(Table13[[#This Row],[Score 1]],Table13[[#This Row],[Score 2]])</f>
        <v>89.285714285714278</v>
      </c>
      <c r="Z427" s="1">
        <v>5</v>
      </c>
      <c r="AA427" s="1">
        <v>3</v>
      </c>
      <c r="AB427" s="22">
        <f>Table13[[#This Row],[Rank 1]]+Table13[[#This Row],[Rank 2]]</f>
        <v>8</v>
      </c>
      <c r="AC427" s="1" t="str">
        <f>IF(AND(Table13[[#This Row],[Average score]]&gt;75,Table13[[#This Row],[Total rank]]&gt;6.5),"Yes","No")</f>
        <v>Yes</v>
      </c>
      <c r="AD427" s="1" t="str">
        <f>IF(AND(Table13[[#This Row],[Average score]]&gt;80,Table13[[#This Row],[Total rank]]&gt;7.5),"Yes","No")</f>
        <v>Yes</v>
      </c>
      <c r="AF427" s="8">
        <v>46030</v>
      </c>
      <c r="AG427" s="1">
        <v>2</v>
      </c>
      <c r="AH427" s="27">
        <v>268163</v>
      </c>
      <c r="AI427" s="27">
        <v>279495</v>
      </c>
      <c r="AJ427" s="30">
        <v>0</v>
      </c>
      <c r="AK427" s="30">
        <f>Table13[[#This Row],[Year 1]]</f>
        <v>268163</v>
      </c>
      <c r="AL427" s="30">
        <f>Table13[[#This Row],[Year 2]]</f>
        <v>279495</v>
      </c>
      <c r="AM427" s="30">
        <f>Table13[[#This Row],[Year 3]]</f>
        <v>0</v>
      </c>
      <c r="AN427" s="1">
        <v>3</v>
      </c>
    </row>
    <row r="428" spans="1:40" hidden="1" x14ac:dyDescent="0.25">
      <c r="A428" s="1" t="s">
        <v>48</v>
      </c>
      <c r="B428" s="1" t="s">
        <v>2352</v>
      </c>
      <c r="C428" s="1" t="s">
        <v>50</v>
      </c>
      <c r="D428" s="1" t="s">
        <v>3154</v>
      </c>
      <c r="E428" s="1" t="s">
        <v>3155</v>
      </c>
      <c r="F428" s="22" t="s">
        <v>3</v>
      </c>
      <c r="G428" s="1" t="s">
        <v>6085</v>
      </c>
      <c r="H428" s="1" t="s">
        <v>6</v>
      </c>
      <c r="I428" s="1" t="s">
        <v>20</v>
      </c>
      <c r="J428" s="1" t="s">
        <v>25</v>
      </c>
      <c r="K428" s="1" t="s">
        <v>9</v>
      </c>
      <c r="L428" s="1" t="s">
        <v>53</v>
      </c>
      <c r="M428" s="11" t="s">
        <v>2091</v>
      </c>
      <c r="N428" s="1" t="s">
        <v>6037</v>
      </c>
      <c r="O428" s="1" t="s">
        <v>14</v>
      </c>
      <c r="P428" s="1" t="s">
        <v>66</v>
      </c>
      <c r="Q428" s="1" t="s">
        <v>5539</v>
      </c>
      <c r="R428" s="1" t="s">
        <v>4556</v>
      </c>
      <c r="S428" s="1" t="s">
        <v>6139</v>
      </c>
      <c r="T428" s="1" t="s">
        <v>6140</v>
      </c>
      <c r="U428" s="1" t="s">
        <v>6162</v>
      </c>
      <c r="V428" s="1" t="s">
        <v>6187</v>
      </c>
      <c r="W428" s="27">
        <v>64.285714285714292</v>
      </c>
      <c r="X428" s="27">
        <v>82.142857142857139</v>
      </c>
      <c r="Y428" s="33">
        <f>AVERAGE(Table13[[#This Row],[Score 1]],Table13[[#This Row],[Score 2]])</f>
        <v>73.214285714285722</v>
      </c>
      <c r="Z428" s="1">
        <v>2</v>
      </c>
      <c r="AA428" s="1">
        <v>3</v>
      </c>
      <c r="AB428" s="22">
        <f>Table13[[#This Row],[Rank 1]]+Table13[[#This Row],[Rank 2]]</f>
        <v>5</v>
      </c>
      <c r="AC428" s="1" t="str">
        <f>IF(AND(Table13[[#This Row],[Average score]]&gt;75,Table13[[#This Row],[Total rank]]&gt;6.5),"Yes","No")</f>
        <v>No</v>
      </c>
      <c r="AD428" s="1" t="str">
        <f>IF(AND(Table13[[#This Row],[Average score]]&gt;80,Table13[[#This Row],[Total rank]]&gt;7.5),"Yes","No")</f>
        <v>No</v>
      </c>
      <c r="AF428" s="8">
        <v>46035</v>
      </c>
      <c r="AG428" s="1">
        <v>2</v>
      </c>
      <c r="AH428" s="27">
        <v>189000</v>
      </c>
      <c r="AI428" s="27">
        <v>92000</v>
      </c>
      <c r="AJ428" s="30">
        <v>0</v>
      </c>
      <c r="AK428" s="30">
        <f>Table13[[#This Row],[Year 1]]</f>
        <v>189000</v>
      </c>
      <c r="AL428" s="30">
        <f>Table13[[#This Row],[Year 2]]</f>
        <v>92000</v>
      </c>
      <c r="AM428" s="30">
        <f>Table13[[#This Row],[Year 3]]</f>
        <v>0</v>
      </c>
      <c r="AN428" s="1">
        <v>4</v>
      </c>
    </row>
    <row r="429" spans="1:40" hidden="1" x14ac:dyDescent="0.25">
      <c r="A429" s="1" t="s">
        <v>48</v>
      </c>
      <c r="B429" s="2" t="s">
        <v>2353</v>
      </c>
      <c r="C429" s="1" t="s">
        <v>50</v>
      </c>
      <c r="D429" s="1" t="s">
        <v>3156</v>
      </c>
      <c r="E429" s="1" t="s">
        <v>3157</v>
      </c>
      <c r="F429" s="22" t="s">
        <v>3</v>
      </c>
      <c r="G429" s="1" t="s">
        <v>6085</v>
      </c>
      <c r="H429" s="1" t="s">
        <v>5</v>
      </c>
      <c r="I429" s="1" t="s">
        <v>20</v>
      </c>
      <c r="J429" s="1" t="s">
        <v>25</v>
      </c>
      <c r="K429" s="1" t="s">
        <v>9</v>
      </c>
      <c r="L429" s="1" t="s">
        <v>53</v>
      </c>
      <c r="M429" s="11" t="s">
        <v>188</v>
      </c>
      <c r="N429" s="1" t="s">
        <v>6037</v>
      </c>
      <c r="O429" s="1" t="s">
        <v>10</v>
      </c>
      <c r="P429" s="1" t="s">
        <v>162</v>
      </c>
      <c r="Q429" s="20" t="s">
        <v>5818</v>
      </c>
      <c r="R429" s="1" t="s">
        <v>4558</v>
      </c>
      <c r="S429" s="1" t="s">
        <v>6051</v>
      </c>
      <c r="T429" s="1" t="s">
        <v>6047</v>
      </c>
      <c r="U429" s="1" t="s">
        <v>6106</v>
      </c>
      <c r="V429" s="1" t="s">
        <v>6193</v>
      </c>
      <c r="W429" s="27">
        <v>75</v>
      </c>
      <c r="X429" s="27">
        <v>67.857142857142861</v>
      </c>
      <c r="Y429" s="33">
        <f>AVERAGE(Table13[[#This Row],[Score 1]],Table13[[#This Row],[Score 2]])</f>
        <v>71.428571428571431</v>
      </c>
      <c r="Z429" s="1">
        <v>4</v>
      </c>
      <c r="AA429" s="1">
        <v>3</v>
      </c>
      <c r="AB429" s="22">
        <f>Table13[[#This Row],[Rank 1]]+Table13[[#This Row],[Rank 2]]</f>
        <v>7</v>
      </c>
      <c r="AC429" s="1" t="str">
        <f>IF(AND(Table13[[#This Row],[Average score]]&gt;75,Table13[[#This Row],[Total rank]]&gt;6.5),"Yes","No")</f>
        <v>No</v>
      </c>
      <c r="AD429" s="1" t="str">
        <f>IF(AND(Table13[[#This Row],[Average score]]&gt;80,Table13[[#This Row],[Total rank]]&gt;7.5),"Yes","No")</f>
        <v>No</v>
      </c>
      <c r="AF429" s="8">
        <v>46051</v>
      </c>
      <c r="AG429" s="1">
        <v>3</v>
      </c>
      <c r="AH429" s="27">
        <v>235800</v>
      </c>
      <c r="AI429" s="27">
        <v>331800</v>
      </c>
      <c r="AJ429" s="27">
        <v>381800</v>
      </c>
      <c r="AK429" s="27">
        <f>Table13[[#This Row],[Year 1]]</f>
        <v>235800</v>
      </c>
      <c r="AL429" s="27">
        <f>Table13[[#This Row],[Year 2]]</f>
        <v>331800</v>
      </c>
      <c r="AM429" s="27">
        <f>Table13[[#This Row],[Year 3]]</f>
        <v>381800</v>
      </c>
      <c r="AN429" s="1">
        <v>2</v>
      </c>
    </row>
    <row r="430" spans="1:40" hidden="1" x14ac:dyDescent="0.25">
      <c r="A430" s="1" t="s">
        <v>48</v>
      </c>
      <c r="B430" s="1" t="s">
        <v>2354</v>
      </c>
      <c r="C430" s="1" t="s">
        <v>50</v>
      </c>
      <c r="D430" s="1" t="s">
        <v>3158</v>
      </c>
      <c r="E430" s="1" t="s">
        <v>3159</v>
      </c>
      <c r="F430" s="22" t="s">
        <v>3</v>
      </c>
      <c r="G430" s="1" t="s">
        <v>6085</v>
      </c>
      <c r="H430" s="1" t="s">
        <v>5</v>
      </c>
      <c r="I430" s="1" t="s">
        <v>20</v>
      </c>
      <c r="J430" s="1" t="s">
        <v>26</v>
      </c>
      <c r="K430" s="1" t="s">
        <v>8</v>
      </c>
      <c r="L430" s="1" t="s">
        <v>53</v>
      </c>
      <c r="M430" s="11" t="s">
        <v>188</v>
      </c>
      <c r="N430" s="1" t="s">
        <v>6037</v>
      </c>
      <c r="O430" s="1" t="s">
        <v>12</v>
      </c>
      <c r="P430" s="1" t="s">
        <v>4302</v>
      </c>
      <c r="Q430" s="1" t="s">
        <v>5819</v>
      </c>
      <c r="R430" s="1" t="s">
        <v>4562</v>
      </c>
      <c r="S430" s="1" t="s">
        <v>6155</v>
      </c>
      <c r="T430" s="1" t="s">
        <v>6154</v>
      </c>
      <c r="U430" s="1" t="s">
        <v>6164</v>
      </c>
      <c r="V430" s="1" t="s">
        <v>6167</v>
      </c>
      <c r="W430" s="27">
        <v>81.25</v>
      </c>
      <c r="X430" s="27">
        <v>65.625</v>
      </c>
      <c r="Y430" s="33">
        <f>AVERAGE(Table13[[#This Row],[Score 1]],Table13[[#This Row],[Score 2]])</f>
        <v>73.4375</v>
      </c>
      <c r="Z430" s="1">
        <v>4</v>
      </c>
      <c r="AA430" s="1">
        <v>4</v>
      </c>
      <c r="AB430" s="22">
        <f>Table13[[#This Row],[Rank 1]]+Table13[[#This Row],[Rank 2]]</f>
        <v>8</v>
      </c>
      <c r="AC430" s="1" t="str">
        <f>IF(AND(Table13[[#This Row],[Average score]]&gt;75,Table13[[#This Row],[Total rank]]&gt;6.5),"Yes","No")</f>
        <v>No</v>
      </c>
      <c r="AD430" s="1" t="str">
        <f>IF(AND(Table13[[#This Row],[Average score]]&gt;80,Table13[[#This Row],[Total rank]]&gt;7.5),"Yes","No")</f>
        <v>No</v>
      </c>
      <c r="AF430" s="8">
        <v>45355</v>
      </c>
      <c r="AG430" s="1">
        <v>2</v>
      </c>
      <c r="AH430" s="27">
        <v>641919.18000000005</v>
      </c>
      <c r="AI430" s="27">
        <v>624926.34</v>
      </c>
      <c r="AJ430" s="30">
        <v>0</v>
      </c>
      <c r="AK430" s="30">
        <f>Table13[[#This Row],[Year 1]]</f>
        <v>641919.18000000005</v>
      </c>
      <c r="AL430" s="30">
        <f>Table13[[#This Row],[Year 2]]</f>
        <v>624926.34</v>
      </c>
      <c r="AM430" s="30">
        <f>Table13[[#This Row],[Year 3]]</f>
        <v>0</v>
      </c>
      <c r="AN430" s="1">
        <v>3</v>
      </c>
    </row>
    <row r="431" spans="1:40" hidden="1" x14ac:dyDescent="0.25">
      <c r="A431" s="1" t="s">
        <v>48</v>
      </c>
      <c r="B431" s="10" t="s">
        <v>2355</v>
      </c>
      <c r="C431" s="1" t="s">
        <v>50</v>
      </c>
      <c r="D431" s="1" t="s">
        <v>3160</v>
      </c>
      <c r="E431" s="1" t="s">
        <v>3161</v>
      </c>
      <c r="F431" s="22" t="s">
        <v>3</v>
      </c>
      <c r="G431" s="1" t="s">
        <v>6085</v>
      </c>
      <c r="H431" s="1" t="s">
        <v>6</v>
      </c>
      <c r="I431" s="1" t="s">
        <v>24</v>
      </c>
      <c r="J431" s="1" t="s">
        <v>25</v>
      </c>
      <c r="K431" s="1" t="s">
        <v>9</v>
      </c>
      <c r="L431" s="1" t="s">
        <v>53</v>
      </c>
      <c r="M431" s="11" t="s">
        <v>2091</v>
      </c>
      <c r="N431" s="1" t="s">
        <v>6037</v>
      </c>
      <c r="O431" s="1" t="s">
        <v>13</v>
      </c>
      <c r="P431" s="1" t="s">
        <v>60</v>
      </c>
      <c r="Q431" s="1" t="s">
        <v>5392</v>
      </c>
      <c r="R431" s="1" t="s">
        <v>4565</v>
      </c>
      <c r="S431" s="1" t="s">
        <v>6068</v>
      </c>
      <c r="T431" s="1" t="s">
        <v>6069</v>
      </c>
      <c r="U431" s="1" t="s">
        <v>6099</v>
      </c>
      <c r="V431" s="1" t="s">
        <v>6194</v>
      </c>
      <c r="W431" s="27">
        <v>57.142857142857139</v>
      </c>
      <c r="X431" s="27">
        <v>71.428571428571431</v>
      </c>
      <c r="Y431" s="33">
        <f>AVERAGE(Table13[[#This Row],[Score 1]],Table13[[#This Row],[Score 2]])</f>
        <v>64.285714285714278</v>
      </c>
      <c r="Z431" s="1">
        <v>3</v>
      </c>
      <c r="AA431" s="1">
        <v>4</v>
      </c>
      <c r="AB431" s="22">
        <f>Table13[[#This Row],[Rank 1]]+Table13[[#This Row],[Rank 2]]</f>
        <v>7</v>
      </c>
      <c r="AC431" s="1" t="str">
        <f>IF(AND(Table13[[#This Row],[Average score]]&gt;75,Table13[[#This Row],[Total rank]]&gt;6.5),"Yes","No")</f>
        <v>No</v>
      </c>
      <c r="AD431" s="1" t="str">
        <f>IF(AND(Table13[[#This Row],[Average score]]&gt;80,Table13[[#This Row],[Total rank]]&gt;7.5),"Yes","No")</f>
        <v>No</v>
      </c>
      <c r="AF431" s="8">
        <v>45672</v>
      </c>
      <c r="AG431" s="1">
        <v>1</v>
      </c>
      <c r="AH431" s="27">
        <v>128000</v>
      </c>
      <c r="AI431" s="30">
        <v>0</v>
      </c>
      <c r="AJ431" s="30">
        <v>0</v>
      </c>
      <c r="AK431" s="30">
        <f>Table13[[#This Row],[Year 1]]</f>
        <v>128000</v>
      </c>
      <c r="AL431" s="30">
        <f>Table13[[#This Row],[Year 2]]</f>
        <v>0</v>
      </c>
      <c r="AM431" s="30">
        <f>Table13[[#This Row],[Year 3]]</f>
        <v>0</v>
      </c>
      <c r="AN431" s="1">
        <v>3</v>
      </c>
    </row>
    <row r="432" spans="1:40" hidden="1" x14ac:dyDescent="0.25">
      <c r="A432" s="1" t="s">
        <v>48</v>
      </c>
      <c r="B432" s="2" t="s">
        <v>2196</v>
      </c>
      <c r="C432" s="1" t="s">
        <v>50</v>
      </c>
      <c r="D432" s="1" t="s">
        <v>2842</v>
      </c>
      <c r="E432" s="1" t="s">
        <v>2843</v>
      </c>
      <c r="F432" s="22" t="s">
        <v>3</v>
      </c>
      <c r="G432" s="1" t="s">
        <v>6085</v>
      </c>
      <c r="H432" s="1" t="s">
        <v>5</v>
      </c>
      <c r="I432" s="1" t="s">
        <v>20</v>
      </c>
      <c r="J432" s="1" t="s">
        <v>26</v>
      </c>
      <c r="K432" s="1" t="s">
        <v>9</v>
      </c>
      <c r="L432" s="1" t="s">
        <v>53</v>
      </c>
      <c r="M432" s="11" t="s">
        <v>188</v>
      </c>
      <c r="N432" s="1" t="s">
        <v>6037</v>
      </c>
      <c r="O432" s="1" t="s">
        <v>14</v>
      </c>
      <c r="P432" s="1" t="s">
        <v>247</v>
      </c>
      <c r="Q432" s="1" t="s">
        <v>5688</v>
      </c>
      <c r="R432" s="1" t="s">
        <v>4188</v>
      </c>
      <c r="S432" s="1" t="s">
        <v>6135</v>
      </c>
      <c r="T432" s="1" t="s">
        <v>6136</v>
      </c>
      <c r="U432" s="1" t="s">
        <v>6201</v>
      </c>
      <c r="V432" s="1" t="s">
        <v>6163</v>
      </c>
      <c r="W432" s="27">
        <v>64.285714285714292</v>
      </c>
      <c r="X432" s="27">
        <v>89.285714285714292</v>
      </c>
      <c r="Y432" s="33">
        <f>AVERAGE(Table13[[#This Row],[Score 1]],Table13[[#This Row],[Score 2]])</f>
        <v>76.785714285714292</v>
      </c>
      <c r="Z432" s="1">
        <v>3</v>
      </c>
      <c r="AA432" s="1">
        <v>3</v>
      </c>
      <c r="AB432" s="22">
        <f>Table13[[#This Row],[Rank 1]]+Table13[[#This Row],[Rank 2]]</f>
        <v>6</v>
      </c>
      <c r="AC432" s="1" t="str">
        <f>IF(AND(Table13[[#This Row],[Average score]]&gt;75,Table13[[#This Row],[Total rank]]&gt;6.5),"Yes","No")</f>
        <v>No</v>
      </c>
      <c r="AD432" s="1" t="str">
        <f>IF(AND(Table13[[#This Row],[Average score]]&gt;80,Table13[[#This Row],[Total rank]]&gt;7.5),"Yes","No")</f>
        <v>No</v>
      </c>
      <c r="AF432" s="8">
        <v>46023</v>
      </c>
      <c r="AG432" s="1">
        <v>3</v>
      </c>
      <c r="AH432" s="27">
        <v>261340</v>
      </c>
      <c r="AI432" s="27">
        <v>287000</v>
      </c>
      <c r="AJ432" s="27">
        <v>324000</v>
      </c>
      <c r="AK432" s="27">
        <f>Table13[[#This Row],[Year 1]]</f>
        <v>261340</v>
      </c>
      <c r="AL432" s="27">
        <f>Table13[[#This Row],[Year 2]]</f>
        <v>287000</v>
      </c>
      <c r="AM432" s="27">
        <f>Table13[[#This Row],[Year 3]]</f>
        <v>324000</v>
      </c>
      <c r="AN432" s="1">
        <v>3</v>
      </c>
    </row>
    <row r="433" spans="1:40" hidden="1" x14ac:dyDescent="0.25">
      <c r="A433" s="1" t="s">
        <v>48</v>
      </c>
      <c r="B433" s="1" t="s">
        <v>2357</v>
      </c>
      <c r="C433" s="1" t="s">
        <v>50</v>
      </c>
      <c r="D433" s="1" t="s">
        <v>3164</v>
      </c>
      <c r="E433" s="1" t="s">
        <v>3165</v>
      </c>
      <c r="F433" s="22" t="s">
        <v>3</v>
      </c>
      <c r="G433" s="1" t="s">
        <v>6085</v>
      </c>
      <c r="H433" s="1" t="s">
        <v>6</v>
      </c>
      <c r="I433" s="1" t="s">
        <v>20</v>
      </c>
      <c r="J433" s="1" t="s">
        <v>25</v>
      </c>
      <c r="K433" s="1" t="s">
        <v>9</v>
      </c>
      <c r="L433" s="1" t="s">
        <v>53</v>
      </c>
      <c r="M433" s="11" t="s">
        <v>188</v>
      </c>
      <c r="N433" s="1" t="s">
        <v>6037</v>
      </c>
      <c r="O433" s="1" t="s">
        <v>15</v>
      </c>
      <c r="P433" s="1" t="s">
        <v>4568</v>
      </c>
      <c r="Q433" s="1" t="s">
        <v>5820</v>
      </c>
      <c r="R433" s="1" t="s">
        <v>4569</v>
      </c>
      <c r="S433" s="1" t="s">
        <v>6057</v>
      </c>
      <c r="T433" s="1" t="s">
        <v>6058</v>
      </c>
      <c r="U433" s="1" t="s">
        <v>6095</v>
      </c>
      <c r="V433" s="1" t="s">
        <v>6186</v>
      </c>
      <c r="W433" s="27">
        <v>53.571428571428569</v>
      </c>
      <c r="X433" s="27">
        <v>35.714285714285715</v>
      </c>
      <c r="Y433" s="33">
        <f>AVERAGE(Table13[[#This Row],[Score 1]],Table13[[#This Row],[Score 2]])</f>
        <v>44.642857142857139</v>
      </c>
      <c r="Z433" s="1">
        <v>2</v>
      </c>
      <c r="AA433" s="1">
        <v>1</v>
      </c>
      <c r="AB433" s="22">
        <f>Table13[[#This Row],[Rank 1]]+Table13[[#This Row],[Rank 2]]</f>
        <v>3</v>
      </c>
      <c r="AC433" s="1" t="str">
        <f>IF(AND(Table13[[#This Row],[Average score]]&gt;75,Table13[[#This Row],[Total rank]]&gt;6.5),"Yes","No")</f>
        <v>No</v>
      </c>
      <c r="AD433" s="1" t="str">
        <f>IF(AND(Table13[[#This Row],[Average score]]&gt;80,Table13[[#This Row],[Total rank]]&gt;7.5),"Yes","No")</f>
        <v>No</v>
      </c>
      <c r="AF433" s="8">
        <v>46023</v>
      </c>
      <c r="AG433" s="1">
        <v>2</v>
      </c>
      <c r="AH433" s="27">
        <v>171000</v>
      </c>
      <c r="AI433" s="27">
        <v>193000</v>
      </c>
      <c r="AJ433" s="30">
        <v>0</v>
      </c>
      <c r="AK433" s="30">
        <f>Table13[[#This Row],[Year 1]]</f>
        <v>171000</v>
      </c>
      <c r="AL433" s="30">
        <f>Table13[[#This Row],[Year 2]]</f>
        <v>193000</v>
      </c>
      <c r="AM433" s="30">
        <f>Table13[[#This Row],[Year 3]]</f>
        <v>0</v>
      </c>
      <c r="AN433" s="1">
        <v>2</v>
      </c>
    </row>
    <row r="434" spans="1:40" hidden="1" x14ac:dyDescent="0.25">
      <c r="A434" s="1" t="s">
        <v>48</v>
      </c>
      <c r="B434" s="2" t="s">
        <v>2204</v>
      </c>
      <c r="C434" s="1" t="s">
        <v>50</v>
      </c>
      <c r="D434" s="1" t="s">
        <v>2858</v>
      </c>
      <c r="E434" s="1" t="s">
        <v>2859</v>
      </c>
      <c r="F434" s="22" t="s">
        <v>3</v>
      </c>
      <c r="G434" s="1" t="s">
        <v>6085</v>
      </c>
      <c r="H434" s="1" t="s">
        <v>6</v>
      </c>
      <c r="I434" s="1" t="s">
        <v>20</v>
      </c>
      <c r="J434" s="1" t="s">
        <v>25</v>
      </c>
      <c r="K434" s="1" t="s">
        <v>9</v>
      </c>
      <c r="L434" s="1" t="s">
        <v>53</v>
      </c>
      <c r="M434" s="11" t="s">
        <v>188</v>
      </c>
      <c r="N434" s="1" t="s">
        <v>6037</v>
      </c>
      <c r="O434" s="1" t="s">
        <v>14</v>
      </c>
      <c r="P434" s="1" t="s">
        <v>247</v>
      </c>
      <c r="Q434" s="1" t="s">
        <v>1479</v>
      </c>
      <c r="R434" s="1" t="s">
        <v>4210</v>
      </c>
      <c r="S434" s="1" t="s">
        <v>6135</v>
      </c>
      <c r="T434" s="1" t="s">
        <v>6136</v>
      </c>
      <c r="U434" s="1" t="s">
        <v>6201</v>
      </c>
      <c r="V434" s="1" t="s">
        <v>6163</v>
      </c>
      <c r="W434" s="27">
        <v>78.571428571428569</v>
      </c>
      <c r="X434" s="27">
        <v>64.285714285714292</v>
      </c>
      <c r="Y434" s="33">
        <f>AVERAGE(Table13[[#This Row],[Score 1]],Table13[[#This Row],[Score 2]])</f>
        <v>71.428571428571431</v>
      </c>
      <c r="Z434" s="1">
        <v>3</v>
      </c>
      <c r="AA434" s="1">
        <v>1</v>
      </c>
      <c r="AB434" s="22">
        <f>Table13[[#This Row],[Rank 1]]+Table13[[#This Row],[Rank 2]]</f>
        <v>4</v>
      </c>
      <c r="AC434" s="1" t="str">
        <f>IF(AND(Table13[[#This Row],[Average score]]&gt;75,Table13[[#This Row],[Total rank]]&gt;6.5),"Yes","No")</f>
        <v>No</v>
      </c>
      <c r="AD434" s="1" t="str">
        <f>IF(AND(Table13[[#This Row],[Average score]]&gt;80,Table13[[#This Row],[Total rank]]&gt;7.5),"Yes","No")</f>
        <v>No</v>
      </c>
      <c r="AF434" s="8">
        <v>46027</v>
      </c>
      <c r="AG434" s="1">
        <v>1</v>
      </c>
      <c r="AH434" s="27">
        <v>130900</v>
      </c>
      <c r="AI434" s="30">
        <v>0</v>
      </c>
      <c r="AJ434" s="30">
        <v>0</v>
      </c>
      <c r="AK434" s="30">
        <f>Table13[[#This Row],[Year 1]]</f>
        <v>130900</v>
      </c>
      <c r="AL434" s="30">
        <f>Table13[[#This Row],[Year 2]]</f>
        <v>0</v>
      </c>
      <c r="AM434" s="30">
        <f>Table13[[#This Row],[Year 3]]</f>
        <v>0</v>
      </c>
      <c r="AN434" s="1">
        <v>3</v>
      </c>
    </row>
    <row r="435" spans="1:40" hidden="1" x14ac:dyDescent="0.25">
      <c r="A435" s="1" t="s">
        <v>48</v>
      </c>
      <c r="B435" s="1" t="s">
        <v>2362</v>
      </c>
      <c r="C435" s="1" t="s">
        <v>50</v>
      </c>
      <c r="D435" s="1" t="s">
        <v>3174</v>
      </c>
      <c r="E435" s="1" t="s">
        <v>3175</v>
      </c>
      <c r="F435" s="22" t="s">
        <v>3</v>
      </c>
      <c r="G435" s="1" t="s">
        <v>6085</v>
      </c>
      <c r="H435" s="1" t="s">
        <v>5</v>
      </c>
      <c r="I435" s="1" t="s">
        <v>20</v>
      </c>
      <c r="J435" s="1" t="s">
        <v>26</v>
      </c>
      <c r="K435" s="1" t="s">
        <v>9</v>
      </c>
      <c r="L435" s="1" t="s">
        <v>53</v>
      </c>
      <c r="M435" s="11" t="s">
        <v>188</v>
      </c>
      <c r="N435" s="1" t="s">
        <v>6037</v>
      </c>
      <c r="O435" s="1" t="s">
        <v>19</v>
      </c>
      <c r="P435" s="1" t="s">
        <v>4581</v>
      </c>
      <c r="Q435" s="1" t="s">
        <v>5825</v>
      </c>
      <c r="R435" s="1" t="s">
        <v>4582</v>
      </c>
      <c r="S435" s="1" t="s">
        <v>6137</v>
      </c>
      <c r="T435" s="1" t="s">
        <v>6138</v>
      </c>
      <c r="U435" s="1" t="s">
        <v>6160</v>
      </c>
      <c r="V435" s="1" t="s">
        <v>6203</v>
      </c>
      <c r="W435" s="27">
        <v>75</v>
      </c>
      <c r="X435" s="27">
        <v>67.857142857142861</v>
      </c>
      <c r="Y435" s="33">
        <f>AVERAGE(Table13[[#This Row],[Score 1]],Table13[[#This Row],[Score 2]])</f>
        <v>71.428571428571431</v>
      </c>
      <c r="Z435" s="1">
        <v>3</v>
      </c>
      <c r="AA435" s="1">
        <v>3</v>
      </c>
      <c r="AB435" s="22">
        <f>Table13[[#This Row],[Rank 1]]+Table13[[#This Row],[Rank 2]]</f>
        <v>6</v>
      </c>
      <c r="AC435" s="1" t="str">
        <f>IF(AND(Table13[[#This Row],[Average score]]&gt;75,Table13[[#This Row],[Total rank]]&gt;6.5),"Yes","No")</f>
        <v>No</v>
      </c>
      <c r="AD435" s="1" t="str">
        <f>IF(AND(Table13[[#This Row],[Average score]]&gt;80,Table13[[#This Row],[Total rank]]&gt;7.5),"Yes","No")</f>
        <v>No</v>
      </c>
      <c r="AF435" s="8">
        <v>45676</v>
      </c>
      <c r="AG435" s="1">
        <v>3</v>
      </c>
      <c r="AH435" s="27">
        <v>222000</v>
      </c>
      <c r="AI435" s="27">
        <v>250000</v>
      </c>
      <c r="AJ435" s="27">
        <v>250000</v>
      </c>
      <c r="AK435" s="27">
        <f>Table13[[#This Row],[Year 1]]</f>
        <v>222000</v>
      </c>
      <c r="AL435" s="27">
        <f>Table13[[#This Row],[Year 2]]</f>
        <v>250000</v>
      </c>
      <c r="AM435" s="27">
        <f>Table13[[#This Row],[Year 3]]</f>
        <v>250000</v>
      </c>
      <c r="AN435" s="1">
        <v>3</v>
      </c>
    </row>
    <row r="436" spans="1:40" hidden="1" x14ac:dyDescent="0.25">
      <c r="A436" s="1" t="s">
        <v>48</v>
      </c>
      <c r="B436" s="25" t="s">
        <v>2409</v>
      </c>
      <c r="C436" s="1" t="s">
        <v>50</v>
      </c>
      <c r="D436" s="1" t="s">
        <v>3268</v>
      </c>
      <c r="E436" s="1" t="s">
        <v>3269</v>
      </c>
      <c r="F436" s="22" t="s">
        <v>3</v>
      </c>
      <c r="G436" s="1" t="s">
        <v>6085</v>
      </c>
      <c r="H436" s="1" t="s">
        <v>6</v>
      </c>
      <c r="I436" s="1" t="s">
        <v>20</v>
      </c>
      <c r="J436" s="1" t="s">
        <v>25</v>
      </c>
      <c r="K436" s="1" t="s">
        <v>9</v>
      </c>
      <c r="L436" s="1" t="s">
        <v>78</v>
      </c>
      <c r="M436" s="11" t="s">
        <v>188</v>
      </c>
      <c r="N436" s="1" t="s">
        <v>6037</v>
      </c>
      <c r="O436" s="1" t="s">
        <v>16</v>
      </c>
      <c r="P436" s="1" t="s">
        <v>1456</v>
      </c>
      <c r="Q436" s="1" t="s">
        <v>5392</v>
      </c>
      <c r="R436" s="1" t="s">
        <v>4698</v>
      </c>
      <c r="S436" s="1" t="s">
        <v>6109</v>
      </c>
      <c r="T436" s="1" t="s">
        <v>6110</v>
      </c>
      <c r="U436" s="1" t="s">
        <v>6125</v>
      </c>
      <c r="V436" s="1" t="s">
        <v>6202</v>
      </c>
      <c r="W436" s="27">
        <v>57.142857142857139</v>
      </c>
      <c r="X436" s="27">
        <v>64.285714285714292</v>
      </c>
      <c r="Y436" s="33">
        <f>AVERAGE(Table13[[#This Row],[Score 1]],Table13[[#This Row],[Score 2]])</f>
        <v>60.714285714285715</v>
      </c>
      <c r="Z436" s="1">
        <v>2</v>
      </c>
      <c r="AA436" s="1">
        <v>2</v>
      </c>
      <c r="AB436" s="22">
        <f>Table13[[#This Row],[Rank 1]]+Table13[[#This Row],[Rank 2]]</f>
        <v>4</v>
      </c>
      <c r="AC436" s="1" t="str">
        <f>IF(AND(Table13[[#This Row],[Average score]]&gt;75,Table13[[#This Row],[Total rank]]&gt;6.5),"Yes","No")</f>
        <v>No</v>
      </c>
      <c r="AD436" s="1" t="str">
        <f>IF(AND(Table13[[#This Row],[Average score]]&gt;80,Table13[[#This Row],[Total rank]]&gt;7.5),"Yes","No")</f>
        <v>No</v>
      </c>
      <c r="AF436" s="8">
        <v>45663</v>
      </c>
      <c r="AG436" s="1">
        <v>1</v>
      </c>
      <c r="AH436" s="27">
        <v>123455</v>
      </c>
      <c r="AI436" s="30">
        <v>0</v>
      </c>
      <c r="AJ436" s="30">
        <v>0</v>
      </c>
      <c r="AK436" s="30">
        <f>Table13[[#This Row],[Year 1]]</f>
        <v>123455</v>
      </c>
      <c r="AL436" s="30">
        <f>Table13[[#This Row],[Year 2]]</f>
        <v>0</v>
      </c>
      <c r="AM436" s="30">
        <f>Table13[[#This Row],[Year 3]]</f>
        <v>0</v>
      </c>
      <c r="AN436" s="1">
        <v>3</v>
      </c>
    </row>
    <row r="437" spans="1:40" hidden="1" x14ac:dyDescent="0.25">
      <c r="A437" s="1" t="s">
        <v>48</v>
      </c>
      <c r="B437" s="1" t="s">
        <v>2364</v>
      </c>
      <c r="C437" s="1" t="s">
        <v>50</v>
      </c>
      <c r="D437" s="1" t="s">
        <v>3178</v>
      </c>
      <c r="E437" s="1" t="s">
        <v>3179</v>
      </c>
      <c r="F437" s="22" t="s">
        <v>3</v>
      </c>
      <c r="G437" s="1" t="s">
        <v>6085</v>
      </c>
      <c r="H437" s="1" t="s">
        <v>6</v>
      </c>
      <c r="I437" s="1" t="s">
        <v>20</v>
      </c>
      <c r="J437" s="1" t="s">
        <v>25</v>
      </c>
      <c r="K437" s="1" t="s">
        <v>9</v>
      </c>
      <c r="L437" s="1" t="s">
        <v>78</v>
      </c>
      <c r="M437" s="11" t="s">
        <v>188</v>
      </c>
      <c r="N437" s="1" t="s">
        <v>6037</v>
      </c>
      <c r="O437" s="1" t="s">
        <v>13</v>
      </c>
      <c r="P437" s="1" t="s">
        <v>60</v>
      </c>
      <c r="Q437" s="1" t="s">
        <v>5826</v>
      </c>
      <c r="R437" s="1" t="s">
        <v>4587</v>
      </c>
      <c r="S437" s="1" t="s">
        <v>6075</v>
      </c>
      <c r="T437" s="1" t="s">
        <v>6074</v>
      </c>
      <c r="U437" s="1" t="s">
        <v>6093</v>
      </c>
      <c r="V437" s="1" t="s">
        <v>6181</v>
      </c>
      <c r="W437" s="27">
        <v>71.428571428571431</v>
      </c>
      <c r="X437" s="27">
        <v>67.857142857142861</v>
      </c>
      <c r="Y437" s="33">
        <f>AVERAGE(Table13[[#This Row],[Score 1]],Table13[[#This Row],[Score 2]])</f>
        <v>69.642857142857139</v>
      </c>
      <c r="Z437" s="1">
        <v>3</v>
      </c>
      <c r="AA437" s="1">
        <v>4</v>
      </c>
      <c r="AB437" s="22">
        <f>Table13[[#This Row],[Rank 1]]+Table13[[#This Row],[Rank 2]]</f>
        <v>7</v>
      </c>
      <c r="AC437" s="1" t="str">
        <f>IF(AND(Table13[[#This Row],[Average score]]&gt;75,Table13[[#This Row],[Total rank]]&gt;6.5),"Yes","No")</f>
        <v>No</v>
      </c>
      <c r="AD437" s="1" t="str">
        <f>IF(AND(Table13[[#This Row],[Average score]]&gt;80,Table13[[#This Row],[Total rank]]&gt;7.5),"Yes","No")</f>
        <v>No</v>
      </c>
      <c r="AF437" s="8">
        <v>46062</v>
      </c>
      <c r="AG437" s="1">
        <v>2</v>
      </c>
      <c r="AH437" s="27">
        <v>138371</v>
      </c>
      <c r="AI437" s="27">
        <v>139166</v>
      </c>
      <c r="AJ437" s="30">
        <v>0</v>
      </c>
      <c r="AK437" s="30">
        <f>Table13[[#This Row],[Year 1]]</f>
        <v>138371</v>
      </c>
      <c r="AL437" s="30">
        <f>Table13[[#This Row],[Year 2]]</f>
        <v>139166</v>
      </c>
      <c r="AM437" s="30">
        <f>Table13[[#This Row],[Year 3]]</f>
        <v>0</v>
      </c>
      <c r="AN437" s="1">
        <v>3</v>
      </c>
    </row>
    <row r="438" spans="1:40" x14ac:dyDescent="0.25">
      <c r="A438" s="1" t="s">
        <v>48</v>
      </c>
      <c r="B438" s="2" t="s">
        <v>2365</v>
      </c>
      <c r="C438" s="1" t="s">
        <v>50</v>
      </c>
      <c r="D438" s="1" t="s">
        <v>3180</v>
      </c>
      <c r="E438" s="1" t="s">
        <v>3181</v>
      </c>
      <c r="F438" s="22" t="s">
        <v>3</v>
      </c>
      <c r="G438" s="1" t="s">
        <v>6085</v>
      </c>
      <c r="H438" s="1" t="s">
        <v>6</v>
      </c>
      <c r="I438" s="1" t="s">
        <v>24</v>
      </c>
      <c r="J438" s="1" t="s">
        <v>26</v>
      </c>
      <c r="K438" s="1" t="s">
        <v>8</v>
      </c>
      <c r="L438" s="1" t="s">
        <v>78</v>
      </c>
      <c r="M438" s="11" t="s">
        <v>188</v>
      </c>
      <c r="N438" s="1" t="s">
        <v>6037</v>
      </c>
      <c r="O438" s="1" t="s">
        <v>18</v>
      </c>
      <c r="P438" s="1" t="s">
        <v>4590</v>
      </c>
      <c r="Q438" s="1" t="s">
        <v>5827</v>
      </c>
      <c r="R438" s="20" t="s">
        <v>4591</v>
      </c>
      <c r="S438" s="1" t="s">
        <v>6059</v>
      </c>
      <c r="T438" s="1" t="s">
        <v>6060</v>
      </c>
      <c r="U438" s="1" t="s">
        <v>6096</v>
      </c>
      <c r="V438" s="1" t="s">
        <v>6214</v>
      </c>
      <c r="W438" s="27">
        <v>100</v>
      </c>
      <c r="X438" s="29">
        <f>Table13[[#This Row],[Score 1]]</f>
        <v>100</v>
      </c>
      <c r="Y438" s="33">
        <f>AVERAGE(Table13[[#This Row],[Score 1]],Table13[[#This Row],[Score 2]])</f>
        <v>100</v>
      </c>
      <c r="Z438" s="1">
        <v>5</v>
      </c>
      <c r="AA438" s="2">
        <f>Table13[[#This Row],[Rank 1]]</f>
        <v>5</v>
      </c>
      <c r="AB438" s="22">
        <f>Table13[[#This Row],[Rank 1]]+Table13[[#This Row],[Rank 2]]</f>
        <v>10</v>
      </c>
      <c r="AC438" s="1" t="str">
        <f>IF(AND(Table13[[#This Row],[Average score]]&gt;75,Table13[[#This Row],[Total rank]]&gt;6.5),"Yes","No")</f>
        <v>Yes</v>
      </c>
      <c r="AD438" s="1" t="str">
        <f>IF(AND(Table13[[#This Row],[Average score]]&gt;80,Table13[[#This Row],[Total rank]]&gt;7.5),"Yes","No")</f>
        <v>Yes</v>
      </c>
      <c r="AE438" s="1" t="s">
        <v>6221</v>
      </c>
      <c r="AF438" s="8">
        <v>46031</v>
      </c>
      <c r="AG438" s="1">
        <v>2</v>
      </c>
      <c r="AH438" s="27">
        <v>747092.37</v>
      </c>
      <c r="AI438" s="27">
        <v>747092.37</v>
      </c>
      <c r="AJ438" s="30">
        <v>0</v>
      </c>
      <c r="AK438" s="30">
        <v>748000</v>
      </c>
      <c r="AL438" s="30">
        <v>748000</v>
      </c>
      <c r="AM438" s="30">
        <f>Table13[[#This Row],[Year 3]]</f>
        <v>0</v>
      </c>
      <c r="AN438" s="1">
        <v>3</v>
      </c>
    </row>
    <row r="439" spans="1:40" hidden="1" x14ac:dyDescent="0.25">
      <c r="A439" s="1" t="s">
        <v>48</v>
      </c>
      <c r="B439" s="1" t="s">
        <v>2368</v>
      </c>
      <c r="C439" s="1" t="s">
        <v>50</v>
      </c>
      <c r="D439" s="1" t="s">
        <v>3186</v>
      </c>
      <c r="E439" s="1" t="s">
        <v>3187</v>
      </c>
      <c r="F439" s="22" t="s">
        <v>3</v>
      </c>
      <c r="G439" s="1" t="s">
        <v>6085</v>
      </c>
      <c r="H439" s="1" t="s">
        <v>7</v>
      </c>
      <c r="I439" s="1" t="s">
        <v>23</v>
      </c>
      <c r="J439" s="1" t="s">
        <v>26</v>
      </c>
      <c r="K439" s="1" t="s">
        <v>9</v>
      </c>
      <c r="L439" s="1" t="s">
        <v>78</v>
      </c>
      <c r="M439" s="11" t="s">
        <v>188</v>
      </c>
      <c r="N439" s="1" t="s">
        <v>6037</v>
      </c>
      <c r="O439" s="1" t="s">
        <v>16</v>
      </c>
      <c r="P439" s="1" t="s">
        <v>60</v>
      </c>
      <c r="Q439" s="1" t="s">
        <v>5830</v>
      </c>
      <c r="R439" s="1" t="s">
        <v>4599</v>
      </c>
      <c r="S439" s="1" t="s">
        <v>6107</v>
      </c>
      <c r="T439" s="1" t="s">
        <v>6108</v>
      </c>
      <c r="U439" s="1" t="s">
        <v>6131</v>
      </c>
      <c r="V439" s="1" t="s">
        <v>6192</v>
      </c>
      <c r="W439" s="27">
        <v>97.222222222222214</v>
      </c>
      <c r="X439" s="27">
        <v>88.888888888888886</v>
      </c>
      <c r="Y439" s="33">
        <f>AVERAGE(Table13[[#This Row],[Score 1]],Table13[[#This Row],[Score 2]])</f>
        <v>93.055555555555543</v>
      </c>
      <c r="Z439" s="1">
        <v>5</v>
      </c>
      <c r="AA439" s="1">
        <v>4</v>
      </c>
      <c r="AB439" s="22">
        <f>Table13[[#This Row],[Rank 1]]+Table13[[#This Row],[Rank 2]]</f>
        <v>9</v>
      </c>
      <c r="AC439" s="1" t="str">
        <f>IF(AND(Table13[[#This Row],[Average score]]&gt;75,Table13[[#This Row],[Total rank]]&gt;6.5),"Yes","No")</f>
        <v>Yes</v>
      </c>
      <c r="AD439" s="1" t="str">
        <f>IF(AND(Table13[[#This Row],[Average score]]&gt;80,Table13[[#This Row],[Total rank]]&gt;7.5),"Yes","No")</f>
        <v>Yes</v>
      </c>
      <c r="AE439" s="1" t="s">
        <v>6223</v>
      </c>
      <c r="AF439" s="8">
        <v>46023</v>
      </c>
      <c r="AG439" s="1">
        <v>2</v>
      </c>
      <c r="AH439" s="27">
        <v>4000</v>
      </c>
      <c r="AI439" s="27">
        <v>49000</v>
      </c>
      <c r="AJ439" s="30">
        <v>0</v>
      </c>
      <c r="AK439" s="30">
        <f>Table13[[#This Row],[Year 1]]</f>
        <v>4000</v>
      </c>
      <c r="AL439" s="30">
        <f>Table13[[#This Row],[Year 2]]</f>
        <v>49000</v>
      </c>
      <c r="AM439" s="30">
        <f>Table13[[#This Row],[Year 3]]</f>
        <v>0</v>
      </c>
      <c r="AN439" s="1">
        <v>3</v>
      </c>
    </row>
    <row r="440" spans="1:40" hidden="1" x14ac:dyDescent="0.25">
      <c r="A440" s="1" t="s">
        <v>48</v>
      </c>
      <c r="B440" s="1" t="s">
        <v>2369</v>
      </c>
      <c r="C440" s="1" t="s">
        <v>50</v>
      </c>
      <c r="D440" s="1" t="s">
        <v>3188</v>
      </c>
      <c r="E440" s="1" t="s">
        <v>3189</v>
      </c>
      <c r="F440" s="22" t="s">
        <v>3</v>
      </c>
      <c r="G440" s="1" t="s">
        <v>6085</v>
      </c>
      <c r="H440" s="1" t="s">
        <v>6</v>
      </c>
      <c r="I440" s="1" t="s">
        <v>20</v>
      </c>
      <c r="J440" s="1" t="s">
        <v>25</v>
      </c>
      <c r="K440" s="1" t="s">
        <v>8</v>
      </c>
      <c r="L440" s="1" t="s">
        <v>78</v>
      </c>
      <c r="M440" s="11" t="s">
        <v>188</v>
      </c>
      <c r="N440" s="1" t="s">
        <v>6037</v>
      </c>
      <c r="O440" s="1" t="s">
        <v>19</v>
      </c>
      <c r="P440" s="1" t="s">
        <v>4602</v>
      </c>
      <c r="Q440" s="1" t="s">
        <v>5308</v>
      </c>
      <c r="R440" s="1" t="s">
        <v>4603</v>
      </c>
      <c r="S440" s="1" t="s">
        <v>6137</v>
      </c>
      <c r="T440" s="1" t="s">
        <v>6138</v>
      </c>
      <c r="U440" s="1" t="s">
        <v>6160</v>
      </c>
      <c r="V440" s="1" t="s">
        <v>6203</v>
      </c>
      <c r="W440" s="27">
        <v>84.375</v>
      </c>
      <c r="X440" s="27">
        <v>78.125</v>
      </c>
      <c r="Y440" s="33">
        <f>AVERAGE(Table13[[#This Row],[Score 1]],Table13[[#This Row],[Score 2]])</f>
        <v>81.25</v>
      </c>
      <c r="Z440" s="1">
        <v>3</v>
      </c>
      <c r="AA440" s="1">
        <v>4</v>
      </c>
      <c r="AB440" s="22">
        <f>Table13[[#This Row],[Rank 1]]+Table13[[#This Row],[Rank 2]]</f>
        <v>7</v>
      </c>
      <c r="AC440" s="1" t="str">
        <f>IF(AND(Table13[[#This Row],[Average score]]&gt;75,Table13[[#This Row],[Total rank]]&gt;6.5),"Yes","No")</f>
        <v>Yes</v>
      </c>
      <c r="AD440" s="1" t="str">
        <f>IF(AND(Table13[[#This Row],[Average score]]&gt;80,Table13[[#This Row],[Total rank]]&gt;7.5),"Yes","No")</f>
        <v>No</v>
      </c>
      <c r="AF440" s="8">
        <v>46113</v>
      </c>
      <c r="AG440" s="1">
        <v>2</v>
      </c>
      <c r="AH440" s="27">
        <v>458412.5</v>
      </c>
      <c r="AI440" s="27">
        <v>458412.5</v>
      </c>
      <c r="AJ440" s="30">
        <v>0</v>
      </c>
      <c r="AK440" s="30">
        <f>Table13[[#This Row],[Year 1]]</f>
        <v>458412.5</v>
      </c>
      <c r="AL440" s="30">
        <f>Table13[[#This Row],[Year 2]]</f>
        <v>458412.5</v>
      </c>
      <c r="AM440" s="30">
        <f>Table13[[#This Row],[Year 3]]</f>
        <v>0</v>
      </c>
      <c r="AN440" s="1">
        <v>3</v>
      </c>
    </row>
    <row r="441" spans="1:40" hidden="1" x14ac:dyDescent="0.25">
      <c r="A441" s="1" t="s">
        <v>48</v>
      </c>
      <c r="B441" s="10" t="s">
        <v>2371</v>
      </c>
      <c r="C441" s="1" t="s">
        <v>50</v>
      </c>
      <c r="D441" s="1" t="s">
        <v>3192</v>
      </c>
      <c r="E441" s="1" t="s">
        <v>3193</v>
      </c>
      <c r="F441" s="22" t="s">
        <v>3</v>
      </c>
      <c r="G441" s="1" t="s">
        <v>6085</v>
      </c>
      <c r="H441" s="1" t="s">
        <v>6</v>
      </c>
      <c r="I441" s="1" t="s">
        <v>24</v>
      </c>
      <c r="J441" s="1" t="s">
        <v>25</v>
      </c>
      <c r="K441" s="1" t="s">
        <v>9</v>
      </c>
      <c r="L441" s="1" t="s">
        <v>78</v>
      </c>
      <c r="M441" s="11" t="s">
        <v>188</v>
      </c>
      <c r="N441" s="1" t="s">
        <v>6037</v>
      </c>
      <c r="O441" s="1" t="s">
        <v>13</v>
      </c>
      <c r="P441" s="1" t="s">
        <v>126</v>
      </c>
      <c r="Q441" s="1" t="s">
        <v>4417</v>
      </c>
      <c r="R441" s="1" t="s">
        <v>4607</v>
      </c>
      <c r="S441" s="1" t="s">
        <v>6068</v>
      </c>
      <c r="T441" s="1" t="s">
        <v>6069</v>
      </c>
      <c r="U441" s="1" t="s">
        <v>6099</v>
      </c>
      <c r="V441" s="1" t="s">
        <v>6194</v>
      </c>
      <c r="W441" s="27">
        <v>89.285714285714292</v>
      </c>
      <c r="X441" s="27">
        <v>67.857142857142861</v>
      </c>
      <c r="Y441" s="33">
        <f>AVERAGE(Table13[[#This Row],[Score 1]],Table13[[#This Row],[Score 2]])</f>
        <v>78.571428571428584</v>
      </c>
      <c r="Z441" s="1">
        <v>4</v>
      </c>
      <c r="AA441" s="1">
        <v>4</v>
      </c>
      <c r="AB441" s="22">
        <f>Table13[[#This Row],[Rank 1]]+Table13[[#This Row],[Rank 2]]</f>
        <v>8</v>
      </c>
      <c r="AC441" s="1" t="str">
        <f>IF(AND(Table13[[#This Row],[Average score]]&gt;75,Table13[[#This Row],[Total rank]]&gt;6.5),"Yes","No")</f>
        <v>Yes</v>
      </c>
      <c r="AD441" s="1" t="str">
        <f>IF(AND(Table13[[#This Row],[Average score]]&gt;80,Table13[[#This Row],[Total rank]]&gt;7.5),"Yes","No")</f>
        <v>No</v>
      </c>
      <c r="AF441" s="8">
        <v>46085</v>
      </c>
      <c r="AG441" s="1">
        <v>2</v>
      </c>
      <c r="AH441" s="27">
        <v>152000</v>
      </c>
      <c r="AI441" s="27">
        <v>152000</v>
      </c>
      <c r="AJ441" s="30">
        <v>0</v>
      </c>
      <c r="AK441" s="30">
        <f>Table13[[#This Row],[Year 1]]</f>
        <v>152000</v>
      </c>
      <c r="AL441" s="30">
        <f>Table13[[#This Row],[Year 2]]</f>
        <v>152000</v>
      </c>
      <c r="AM441" s="30">
        <f>Table13[[#This Row],[Year 3]]</f>
        <v>0</v>
      </c>
      <c r="AN441" s="1">
        <v>3</v>
      </c>
    </row>
    <row r="442" spans="1:40" hidden="1" x14ac:dyDescent="0.25">
      <c r="A442" s="1" t="s">
        <v>48</v>
      </c>
      <c r="B442" s="10" t="s">
        <v>2372</v>
      </c>
      <c r="C442" s="1" t="s">
        <v>50</v>
      </c>
      <c r="D442" s="1" t="s">
        <v>3194</v>
      </c>
      <c r="E442" s="1" t="s">
        <v>3195</v>
      </c>
      <c r="F442" s="22" t="s">
        <v>3</v>
      </c>
      <c r="G442" s="1" t="s">
        <v>6085</v>
      </c>
      <c r="H442" s="1" t="s">
        <v>7</v>
      </c>
      <c r="I442" s="1" t="s">
        <v>24</v>
      </c>
      <c r="J442" s="1" t="s">
        <v>25</v>
      </c>
      <c r="K442" s="1" t="s">
        <v>9</v>
      </c>
      <c r="L442" s="1" t="s">
        <v>78</v>
      </c>
      <c r="M442" s="11" t="s">
        <v>188</v>
      </c>
      <c r="N442" s="1" t="s">
        <v>6037</v>
      </c>
      <c r="O442" s="1" t="s">
        <v>16</v>
      </c>
      <c r="P442" s="1" t="s">
        <v>1456</v>
      </c>
      <c r="Q442" s="1" t="s">
        <v>1456</v>
      </c>
      <c r="R442" s="1" t="s">
        <v>4608</v>
      </c>
      <c r="S442" s="1" t="s">
        <v>6113</v>
      </c>
      <c r="T442" s="1" t="s">
        <v>6114</v>
      </c>
      <c r="U442" s="2" t="s">
        <v>6128</v>
      </c>
      <c r="V442" s="1" t="s">
        <v>6182</v>
      </c>
      <c r="W442" s="29">
        <f>Table13[[#This Row],[Score 2]]</f>
        <v>83.333333333333343</v>
      </c>
      <c r="X442" s="27">
        <v>83.333333333333343</v>
      </c>
      <c r="Y442" s="33">
        <f>AVERAGE(Table13[[#This Row],[Score 1]],Table13[[#This Row],[Score 2]])</f>
        <v>83.333333333333343</v>
      </c>
      <c r="Z442" s="2">
        <f>Table13[[#This Row],[Rank 2]]</f>
        <v>4</v>
      </c>
      <c r="AA442" s="1">
        <v>4</v>
      </c>
      <c r="AB442" s="22">
        <f>Table13[[#This Row],[Rank 1]]+Table13[[#This Row],[Rank 2]]</f>
        <v>8</v>
      </c>
      <c r="AC442" s="1" t="str">
        <f>IF(AND(Table13[[#This Row],[Average score]]&gt;75,Table13[[#This Row],[Total rank]]&gt;6.5),"Yes","No")</f>
        <v>Yes</v>
      </c>
      <c r="AD442" s="1" t="str">
        <f>IF(AND(Table13[[#This Row],[Average score]]&gt;80,Table13[[#This Row],[Total rank]]&gt;7.5),"Yes","No")</f>
        <v>Yes</v>
      </c>
      <c r="AF442" s="8">
        <v>46113</v>
      </c>
      <c r="AG442" s="1">
        <v>2</v>
      </c>
      <c r="AH442" s="27">
        <v>295000</v>
      </c>
      <c r="AI442" s="27">
        <v>245000</v>
      </c>
      <c r="AJ442" s="30">
        <v>0</v>
      </c>
      <c r="AK442" s="30">
        <f>Table13[[#This Row],[Year 1]]</f>
        <v>295000</v>
      </c>
      <c r="AL442" s="30">
        <f>Table13[[#This Row],[Year 2]]</f>
        <v>245000</v>
      </c>
      <c r="AM442" s="30">
        <f>Table13[[#This Row],[Year 3]]</f>
        <v>0</v>
      </c>
      <c r="AN442" s="1">
        <v>3</v>
      </c>
    </row>
    <row r="443" spans="1:40" hidden="1" x14ac:dyDescent="0.25">
      <c r="A443" s="1" t="s">
        <v>48</v>
      </c>
      <c r="B443" s="1" t="s">
        <v>2374</v>
      </c>
      <c r="C443" s="1" t="s">
        <v>50</v>
      </c>
      <c r="D443" s="1" t="s">
        <v>3198</v>
      </c>
      <c r="E443" s="1" t="s">
        <v>3199</v>
      </c>
      <c r="F443" s="22" t="s">
        <v>3</v>
      </c>
      <c r="G443" s="1" t="s">
        <v>6085</v>
      </c>
      <c r="H443" s="1" t="s">
        <v>5</v>
      </c>
      <c r="I443" s="1" t="s">
        <v>20</v>
      </c>
      <c r="J443" s="1" t="s">
        <v>25</v>
      </c>
      <c r="K443" s="1" t="s">
        <v>9</v>
      </c>
      <c r="L443" s="1" t="s">
        <v>78</v>
      </c>
      <c r="M443" s="11" t="s">
        <v>188</v>
      </c>
      <c r="N443" s="1" t="s">
        <v>6037</v>
      </c>
      <c r="O443" s="1" t="s">
        <v>13</v>
      </c>
      <c r="P443" s="1" t="s">
        <v>126</v>
      </c>
      <c r="Q443" s="1" t="s">
        <v>5833</v>
      </c>
      <c r="R443" s="1" t="s">
        <v>4613</v>
      </c>
      <c r="S443" s="1" t="s">
        <v>6070</v>
      </c>
      <c r="T443" s="1" t="s">
        <v>6071</v>
      </c>
      <c r="U443" s="1" t="s">
        <v>6088</v>
      </c>
      <c r="V443" s="1" t="s">
        <v>6171</v>
      </c>
      <c r="W443" s="27">
        <v>75</v>
      </c>
      <c r="X443" s="27">
        <v>75</v>
      </c>
      <c r="Y443" s="33">
        <f>AVERAGE(Table13[[#This Row],[Score 1]],Table13[[#This Row],[Score 2]])</f>
        <v>75</v>
      </c>
      <c r="Z443" s="1">
        <v>3</v>
      </c>
      <c r="AA443" s="1">
        <v>3</v>
      </c>
      <c r="AB443" s="22">
        <f>Table13[[#This Row],[Rank 1]]+Table13[[#This Row],[Rank 2]]</f>
        <v>6</v>
      </c>
      <c r="AC443" s="1" t="str">
        <f>IF(AND(Table13[[#This Row],[Average score]]&gt;75,Table13[[#This Row],[Total rank]]&gt;6.5),"Yes","No")</f>
        <v>No</v>
      </c>
      <c r="AD443" s="1" t="str">
        <f>IF(AND(Table13[[#This Row],[Average score]]&gt;80,Table13[[#This Row],[Total rank]]&gt;7.5),"Yes","No")</f>
        <v>No</v>
      </c>
      <c r="AF443" s="8">
        <v>45735</v>
      </c>
      <c r="AG443" s="1">
        <v>3</v>
      </c>
      <c r="AH443" s="27">
        <v>118000</v>
      </c>
      <c r="AI443" s="27">
        <v>128000</v>
      </c>
      <c r="AJ443" s="27">
        <v>128000</v>
      </c>
      <c r="AK443" s="27">
        <f>Table13[[#This Row],[Year 1]]</f>
        <v>118000</v>
      </c>
      <c r="AL443" s="27">
        <f>Table13[[#This Row],[Year 2]]</f>
        <v>128000</v>
      </c>
      <c r="AM443" s="27">
        <f>Table13[[#This Row],[Year 3]]</f>
        <v>128000</v>
      </c>
      <c r="AN443" s="1">
        <v>3</v>
      </c>
    </row>
    <row r="444" spans="1:40" hidden="1" x14ac:dyDescent="0.25">
      <c r="A444" s="1" t="s">
        <v>48</v>
      </c>
      <c r="B444" s="1" t="s">
        <v>2375</v>
      </c>
      <c r="C444" s="1" t="s">
        <v>50</v>
      </c>
      <c r="D444" s="1" t="s">
        <v>3200</v>
      </c>
      <c r="E444" s="1" t="s">
        <v>3201</v>
      </c>
      <c r="F444" s="22" t="s">
        <v>3</v>
      </c>
      <c r="G444" s="1" t="s">
        <v>6085</v>
      </c>
      <c r="H444" s="1" t="s">
        <v>5</v>
      </c>
      <c r="I444" s="1" t="s">
        <v>24</v>
      </c>
      <c r="J444" s="1" t="s">
        <v>26</v>
      </c>
      <c r="K444" s="1" t="s">
        <v>9</v>
      </c>
      <c r="L444" s="1" t="s">
        <v>78</v>
      </c>
      <c r="M444" s="11" t="s">
        <v>188</v>
      </c>
      <c r="N444" s="1" t="s">
        <v>6037</v>
      </c>
      <c r="O444" s="1" t="s">
        <v>13</v>
      </c>
      <c r="P444" s="1" t="s">
        <v>247</v>
      </c>
      <c r="Q444" s="1" t="s">
        <v>5834</v>
      </c>
      <c r="R444" s="1" t="s">
        <v>4615</v>
      </c>
      <c r="S444" s="1" t="s">
        <v>6064</v>
      </c>
      <c r="T444" s="1" t="s">
        <v>6065</v>
      </c>
      <c r="U444" s="1" t="s">
        <v>6102</v>
      </c>
      <c r="V444" s="1" t="s">
        <v>6197</v>
      </c>
      <c r="W444" s="27">
        <v>89.285714285714292</v>
      </c>
      <c r="X444" s="27">
        <v>82.142857142857139</v>
      </c>
      <c r="Y444" s="33">
        <f>AVERAGE(Table13[[#This Row],[Score 1]],Table13[[#This Row],[Score 2]])</f>
        <v>85.714285714285722</v>
      </c>
      <c r="Z444" s="1">
        <v>4</v>
      </c>
      <c r="AA444" s="1">
        <v>3</v>
      </c>
      <c r="AB444" s="22">
        <f>Table13[[#This Row],[Rank 1]]+Table13[[#This Row],[Rank 2]]</f>
        <v>7</v>
      </c>
      <c r="AC444" s="1" t="str">
        <f>IF(AND(Table13[[#This Row],[Average score]]&gt;75,Table13[[#This Row],[Total rank]]&gt;6.5),"Yes","No")</f>
        <v>Yes</v>
      </c>
      <c r="AD444" s="1" t="str">
        <f>IF(AND(Table13[[#This Row],[Average score]]&gt;80,Table13[[#This Row],[Total rank]]&gt;7.5),"Yes","No")</f>
        <v>No</v>
      </c>
      <c r="AF444" s="8">
        <v>46023</v>
      </c>
      <c r="AG444" s="1">
        <v>3</v>
      </c>
      <c r="AH444" s="27">
        <v>156000</v>
      </c>
      <c r="AI444" s="27">
        <v>156000</v>
      </c>
      <c r="AJ444" s="27">
        <v>156000</v>
      </c>
      <c r="AK444" s="27">
        <f>Table13[[#This Row],[Year 1]]</f>
        <v>156000</v>
      </c>
      <c r="AL444" s="27">
        <f>Table13[[#This Row],[Year 2]]</f>
        <v>156000</v>
      </c>
      <c r="AM444" s="27">
        <f>Table13[[#This Row],[Year 3]]</f>
        <v>156000</v>
      </c>
      <c r="AN444" s="1">
        <v>2</v>
      </c>
    </row>
    <row r="445" spans="1:40" hidden="1" x14ac:dyDescent="0.25">
      <c r="A445" s="1" t="s">
        <v>48</v>
      </c>
      <c r="B445" s="1" t="s">
        <v>2376</v>
      </c>
      <c r="C445" s="1" t="s">
        <v>50</v>
      </c>
      <c r="D445" s="1" t="s">
        <v>3202</v>
      </c>
      <c r="E445" s="1" t="s">
        <v>3203</v>
      </c>
      <c r="F445" s="22" t="s">
        <v>3</v>
      </c>
      <c r="G445" s="1" t="s">
        <v>6085</v>
      </c>
      <c r="H445" s="1" t="s">
        <v>7</v>
      </c>
      <c r="I445" s="1" t="s">
        <v>20</v>
      </c>
      <c r="J445" s="1" t="s">
        <v>25</v>
      </c>
      <c r="K445" s="1" t="s">
        <v>9</v>
      </c>
      <c r="L445" s="1" t="s">
        <v>78</v>
      </c>
      <c r="M445" s="11" t="s">
        <v>188</v>
      </c>
      <c r="N445" s="1" t="s">
        <v>6037</v>
      </c>
      <c r="O445" s="1" t="s">
        <v>13</v>
      </c>
      <c r="P445" s="1" t="s">
        <v>247</v>
      </c>
      <c r="Q445" s="1" t="s">
        <v>734</v>
      </c>
      <c r="R445" s="1" t="s">
        <v>4616</v>
      </c>
      <c r="S445" s="1" t="s">
        <v>6070</v>
      </c>
      <c r="T445" s="1" t="s">
        <v>6071</v>
      </c>
      <c r="U445" s="1" t="s">
        <v>6088</v>
      </c>
      <c r="V445" s="1" t="s">
        <v>6171</v>
      </c>
      <c r="W445" s="27">
        <v>69.444444444444443</v>
      </c>
      <c r="X445" s="27">
        <v>80.555555555555557</v>
      </c>
      <c r="Y445" s="33">
        <f>AVERAGE(Table13[[#This Row],[Score 1]],Table13[[#This Row],[Score 2]])</f>
        <v>75</v>
      </c>
      <c r="Z445" s="1">
        <v>2</v>
      </c>
      <c r="AA445" s="1">
        <v>4</v>
      </c>
      <c r="AB445" s="22">
        <f>Table13[[#This Row],[Rank 1]]+Table13[[#This Row],[Rank 2]]</f>
        <v>6</v>
      </c>
      <c r="AC445" s="1" t="str">
        <f>IF(AND(Table13[[#This Row],[Average score]]&gt;75,Table13[[#This Row],[Total rank]]&gt;6.5),"Yes","No")</f>
        <v>No</v>
      </c>
      <c r="AD445" s="1" t="str">
        <f>IF(AND(Table13[[#This Row],[Average score]]&gt;80,Table13[[#This Row],[Total rank]]&gt;7.5),"Yes","No")</f>
        <v>No</v>
      </c>
      <c r="AF445" s="8">
        <v>46023</v>
      </c>
      <c r="AG445" s="1">
        <v>2</v>
      </c>
      <c r="AH445" s="27">
        <v>475000</v>
      </c>
      <c r="AI445" s="27">
        <v>479000</v>
      </c>
      <c r="AJ445" s="30">
        <v>0</v>
      </c>
      <c r="AK445" s="30">
        <f>Table13[[#This Row],[Year 1]]</f>
        <v>475000</v>
      </c>
      <c r="AL445" s="30">
        <f>Table13[[#This Row],[Year 2]]</f>
        <v>479000</v>
      </c>
      <c r="AM445" s="30">
        <f>Table13[[#This Row],[Year 3]]</f>
        <v>0</v>
      </c>
      <c r="AN445" s="1">
        <v>3</v>
      </c>
    </row>
    <row r="446" spans="1:40" x14ac:dyDescent="0.25">
      <c r="A446" s="1" t="s">
        <v>48</v>
      </c>
      <c r="B446" s="1" t="s">
        <v>2377</v>
      </c>
      <c r="C446" s="1" t="s">
        <v>50</v>
      </c>
      <c r="D446" s="1" t="s">
        <v>3204</v>
      </c>
      <c r="E446" s="1" t="s">
        <v>3205</v>
      </c>
      <c r="F446" s="22" t="s">
        <v>3</v>
      </c>
      <c r="G446" s="1" t="s">
        <v>6085</v>
      </c>
      <c r="H446" s="1" t="s">
        <v>6</v>
      </c>
      <c r="I446" s="1" t="s">
        <v>20</v>
      </c>
      <c r="J446" s="1" t="s">
        <v>26</v>
      </c>
      <c r="K446" s="1" t="s">
        <v>9</v>
      </c>
      <c r="L446" s="1" t="s">
        <v>78</v>
      </c>
      <c r="M446" s="11" t="s">
        <v>188</v>
      </c>
      <c r="N446" s="1" t="s">
        <v>6037</v>
      </c>
      <c r="O446" s="1" t="s">
        <v>14</v>
      </c>
      <c r="P446" s="1" t="s">
        <v>126</v>
      </c>
      <c r="Q446" s="18" t="s">
        <v>5835</v>
      </c>
      <c r="R446" s="1" t="s">
        <v>4619</v>
      </c>
      <c r="S446" s="1" t="s">
        <v>6133</v>
      </c>
      <c r="T446" s="1" t="s">
        <v>6134</v>
      </c>
      <c r="U446" s="1" t="s">
        <v>6094</v>
      </c>
      <c r="V446" s="1" t="s">
        <v>6184</v>
      </c>
      <c r="W446" s="27">
        <v>96.428571428571431</v>
      </c>
      <c r="X446" s="27">
        <v>82.142857142857139</v>
      </c>
      <c r="Y446" s="33">
        <f>AVERAGE(Table13[[#This Row],[Score 1]],Table13[[#This Row],[Score 2]])</f>
        <v>89.285714285714278</v>
      </c>
      <c r="Z446" s="1">
        <v>5</v>
      </c>
      <c r="AA446" s="1">
        <v>5</v>
      </c>
      <c r="AB446" s="22">
        <f>Table13[[#This Row],[Rank 1]]+Table13[[#This Row],[Rank 2]]</f>
        <v>10</v>
      </c>
      <c r="AC446" s="1" t="str">
        <f>IF(AND(Table13[[#This Row],[Average score]]&gt;75,Table13[[#This Row],[Total rank]]&gt;6.5),"Yes","No")</f>
        <v>Yes</v>
      </c>
      <c r="AD446" s="1" t="str">
        <f>IF(AND(Table13[[#This Row],[Average score]]&gt;80,Table13[[#This Row],[Total rank]]&gt;7.5),"Yes","No")</f>
        <v>Yes</v>
      </c>
      <c r="AE446" s="1" t="s">
        <v>6221</v>
      </c>
      <c r="AF446" s="8">
        <v>46062</v>
      </c>
      <c r="AG446" s="1">
        <v>1</v>
      </c>
      <c r="AH446" s="27">
        <v>70930</v>
      </c>
      <c r="AI446" s="30">
        <v>0</v>
      </c>
      <c r="AJ446" s="30">
        <v>0</v>
      </c>
      <c r="AK446" s="30">
        <v>71000</v>
      </c>
      <c r="AL446" s="30">
        <f>Table13[[#This Row],[Year 2]]</f>
        <v>0</v>
      </c>
      <c r="AM446" s="30">
        <f>Table13[[#This Row],[Year 3]]</f>
        <v>0</v>
      </c>
      <c r="AN446" s="1">
        <v>3</v>
      </c>
    </row>
    <row r="447" spans="1:40" hidden="1" x14ac:dyDescent="0.25">
      <c r="A447" s="1" t="s">
        <v>48</v>
      </c>
      <c r="B447" s="1" t="s">
        <v>2378</v>
      </c>
      <c r="C447" s="1" t="s">
        <v>50</v>
      </c>
      <c r="D447" s="1" t="s">
        <v>3206</v>
      </c>
      <c r="E447" s="1" t="s">
        <v>3207</v>
      </c>
      <c r="F447" s="22" t="s">
        <v>3</v>
      </c>
      <c r="G447" s="1" t="s">
        <v>6085</v>
      </c>
      <c r="H447" s="1" t="s">
        <v>7</v>
      </c>
      <c r="I447" s="1" t="s">
        <v>20</v>
      </c>
      <c r="J447" s="1" t="s">
        <v>26</v>
      </c>
      <c r="K447" s="1" t="s">
        <v>9</v>
      </c>
      <c r="L447" s="1" t="s">
        <v>78</v>
      </c>
      <c r="M447" s="1" t="s">
        <v>1013</v>
      </c>
      <c r="N447" s="1" t="s">
        <v>6037</v>
      </c>
      <c r="O447" s="1" t="s">
        <v>10</v>
      </c>
      <c r="P447" s="1" t="s">
        <v>107</v>
      </c>
      <c r="Q447" s="18" t="s">
        <v>7</v>
      </c>
      <c r="R447" s="1" t="s">
        <v>4621</v>
      </c>
      <c r="S447" s="1" t="s">
        <v>6049</v>
      </c>
      <c r="T447" s="1" t="s">
        <v>6050</v>
      </c>
      <c r="U447" s="1" t="s">
        <v>6104</v>
      </c>
      <c r="V447" s="1" t="s">
        <v>6200</v>
      </c>
      <c r="W447" s="27">
        <v>61.111111111111114</v>
      </c>
      <c r="X447" s="27">
        <v>69.444444444444443</v>
      </c>
      <c r="Y447" s="33">
        <f>AVERAGE(Table13[[#This Row],[Score 1]],Table13[[#This Row],[Score 2]])</f>
        <v>65.277777777777771</v>
      </c>
      <c r="Z447" s="1">
        <v>3</v>
      </c>
      <c r="AA447" s="1">
        <v>3</v>
      </c>
      <c r="AB447" s="22">
        <f>Table13[[#This Row],[Rank 1]]+Table13[[#This Row],[Rank 2]]</f>
        <v>6</v>
      </c>
      <c r="AC447" s="1" t="str">
        <f>IF(AND(Table13[[#This Row],[Average score]]&gt;75,Table13[[#This Row],[Total rank]]&gt;6.5),"Yes","No")</f>
        <v>No</v>
      </c>
      <c r="AD447" s="1" t="str">
        <f>IF(AND(Table13[[#This Row],[Average score]]&gt;80,Table13[[#This Row],[Total rank]]&gt;7.5),"Yes","No")</f>
        <v>No</v>
      </c>
      <c r="AF447" s="8">
        <v>46081</v>
      </c>
      <c r="AG447" s="1">
        <v>2</v>
      </c>
      <c r="AH447" s="27">
        <v>622500</v>
      </c>
      <c r="AI447" s="27">
        <v>472500</v>
      </c>
      <c r="AJ447" s="30">
        <v>0</v>
      </c>
      <c r="AK447" s="30">
        <f>Table13[[#This Row],[Year 1]]</f>
        <v>622500</v>
      </c>
      <c r="AL447" s="30">
        <f>Table13[[#This Row],[Year 2]]</f>
        <v>472500</v>
      </c>
      <c r="AM447" s="30">
        <f>Table13[[#This Row],[Year 3]]</f>
        <v>0</v>
      </c>
      <c r="AN447" s="1">
        <v>2</v>
      </c>
    </row>
    <row r="448" spans="1:40" hidden="1" x14ac:dyDescent="0.25">
      <c r="A448" s="1" t="s">
        <v>48</v>
      </c>
      <c r="B448" s="1" t="s">
        <v>2380</v>
      </c>
      <c r="C448" s="1" t="s">
        <v>50</v>
      </c>
      <c r="D448" s="1" t="s">
        <v>3210</v>
      </c>
      <c r="E448" s="1" t="s">
        <v>3211</v>
      </c>
      <c r="F448" s="22" t="s">
        <v>3</v>
      </c>
      <c r="G448" s="1" t="s">
        <v>6085</v>
      </c>
      <c r="H448" s="1" t="s">
        <v>6</v>
      </c>
      <c r="I448" s="1" t="s">
        <v>20</v>
      </c>
      <c r="J448" s="1" t="s">
        <v>25</v>
      </c>
      <c r="K448" s="1" t="s">
        <v>9</v>
      </c>
      <c r="L448" s="1" t="s">
        <v>78</v>
      </c>
      <c r="M448" s="11" t="s">
        <v>188</v>
      </c>
      <c r="N448" s="1" t="s">
        <v>6037</v>
      </c>
      <c r="O448" s="1" t="s">
        <v>13</v>
      </c>
      <c r="P448" s="1" t="s">
        <v>306</v>
      </c>
      <c r="Q448" s="1" t="s">
        <v>5837</v>
      </c>
      <c r="R448" s="1" t="s">
        <v>4625</v>
      </c>
      <c r="S448" s="1" t="s">
        <v>6064</v>
      </c>
      <c r="T448" s="1" t="s">
        <v>6065</v>
      </c>
      <c r="U448" s="1" t="s">
        <v>6102</v>
      </c>
      <c r="V448" s="1" t="s">
        <v>6197</v>
      </c>
      <c r="W448" s="27">
        <v>46.428571428571431</v>
      </c>
      <c r="X448" s="27">
        <v>60.714285714285708</v>
      </c>
      <c r="Y448" s="33">
        <f>AVERAGE(Table13[[#This Row],[Score 1]],Table13[[#This Row],[Score 2]])</f>
        <v>53.571428571428569</v>
      </c>
      <c r="Z448" s="1">
        <v>2</v>
      </c>
      <c r="AA448" s="1">
        <v>5</v>
      </c>
      <c r="AB448" s="22">
        <f>Table13[[#This Row],[Rank 1]]+Table13[[#This Row],[Rank 2]]</f>
        <v>7</v>
      </c>
      <c r="AC448" s="1" t="str">
        <f>IF(AND(Table13[[#This Row],[Average score]]&gt;75,Table13[[#This Row],[Total rank]]&gt;6.5),"Yes","No")</f>
        <v>No</v>
      </c>
      <c r="AD448" s="1" t="str">
        <f>IF(AND(Table13[[#This Row],[Average score]]&gt;80,Table13[[#This Row],[Total rank]]&gt;7.5),"Yes","No")</f>
        <v>No</v>
      </c>
      <c r="AF448" s="8">
        <v>46023</v>
      </c>
      <c r="AG448" s="1">
        <v>2</v>
      </c>
      <c r="AH448" s="27">
        <v>60000</v>
      </c>
      <c r="AI448" s="27">
        <v>95000</v>
      </c>
      <c r="AJ448" s="30">
        <v>0</v>
      </c>
      <c r="AK448" s="30">
        <f>Table13[[#This Row],[Year 1]]</f>
        <v>60000</v>
      </c>
      <c r="AL448" s="30">
        <f>Table13[[#This Row],[Year 2]]</f>
        <v>95000</v>
      </c>
      <c r="AM448" s="30">
        <f>Table13[[#This Row],[Year 3]]</f>
        <v>0</v>
      </c>
      <c r="AN448" s="1">
        <v>3</v>
      </c>
    </row>
    <row r="449" spans="1:40" hidden="1" x14ac:dyDescent="0.25">
      <c r="A449" s="1" t="s">
        <v>48</v>
      </c>
      <c r="B449" s="1" t="s">
        <v>2381</v>
      </c>
      <c r="C449" s="1" t="s">
        <v>50</v>
      </c>
      <c r="D449" s="1" t="s">
        <v>3212</v>
      </c>
      <c r="E449" s="1" t="s">
        <v>3213</v>
      </c>
      <c r="F449" s="22" t="s">
        <v>3</v>
      </c>
      <c r="G449" s="1" t="s">
        <v>6085</v>
      </c>
      <c r="H449" s="1" t="s">
        <v>6</v>
      </c>
      <c r="I449" s="1" t="s">
        <v>20</v>
      </c>
      <c r="J449" s="1" t="s">
        <v>25</v>
      </c>
      <c r="K449" s="1" t="s">
        <v>9</v>
      </c>
      <c r="L449" s="1" t="s">
        <v>78</v>
      </c>
      <c r="M449" s="11" t="s">
        <v>188</v>
      </c>
      <c r="N449" s="1" t="s">
        <v>6037</v>
      </c>
      <c r="O449" s="1" t="s">
        <v>14</v>
      </c>
      <c r="P449" s="1" t="s">
        <v>126</v>
      </c>
      <c r="Q449" s="1" t="s">
        <v>5838</v>
      </c>
      <c r="R449" s="1" t="s">
        <v>4626</v>
      </c>
      <c r="S449" s="1" t="s">
        <v>6150</v>
      </c>
      <c r="T449" s="1" t="s">
        <v>6149</v>
      </c>
      <c r="U449" s="1" t="s">
        <v>6158</v>
      </c>
      <c r="V449" s="1" t="s">
        <v>6166</v>
      </c>
      <c r="W449" s="27">
        <v>78.571428571428569</v>
      </c>
      <c r="X449" s="27">
        <v>60.714285714285708</v>
      </c>
      <c r="Y449" s="33">
        <f>AVERAGE(Table13[[#This Row],[Score 1]],Table13[[#This Row],[Score 2]])</f>
        <v>69.642857142857139</v>
      </c>
      <c r="Z449" s="1">
        <v>4</v>
      </c>
      <c r="AA449" s="1">
        <v>3</v>
      </c>
      <c r="AB449" s="22">
        <f>Table13[[#This Row],[Rank 1]]+Table13[[#This Row],[Rank 2]]</f>
        <v>7</v>
      </c>
      <c r="AC449" s="1" t="str">
        <f>IF(AND(Table13[[#This Row],[Average score]]&gt;75,Table13[[#This Row],[Total rank]]&gt;6.5),"Yes","No")</f>
        <v>No</v>
      </c>
      <c r="AD449" s="1" t="str">
        <f>IF(AND(Table13[[#This Row],[Average score]]&gt;80,Table13[[#This Row],[Total rank]]&gt;7.5),"Yes","No")</f>
        <v>No</v>
      </c>
      <c r="AF449" s="8">
        <v>46054</v>
      </c>
      <c r="AG449" s="1">
        <v>2</v>
      </c>
      <c r="AH449" s="27">
        <v>158000</v>
      </c>
      <c r="AI449" s="27">
        <v>168100</v>
      </c>
      <c r="AJ449" s="30">
        <v>0</v>
      </c>
      <c r="AK449" s="30">
        <f>Table13[[#This Row],[Year 1]]</f>
        <v>158000</v>
      </c>
      <c r="AL449" s="30">
        <f>Table13[[#This Row],[Year 2]]</f>
        <v>168100</v>
      </c>
      <c r="AM449" s="30">
        <f>Table13[[#This Row],[Year 3]]</f>
        <v>0</v>
      </c>
      <c r="AN449" s="1">
        <v>3</v>
      </c>
    </row>
    <row r="450" spans="1:40" hidden="1" x14ac:dyDescent="0.25">
      <c r="A450" s="1" t="s">
        <v>48</v>
      </c>
      <c r="B450" s="1" t="s">
        <v>2382</v>
      </c>
      <c r="C450" s="1" t="s">
        <v>50</v>
      </c>
      <c r="D450" s="1" t="s">
        <v>3214</v>
      </c>
      <c r="E450" s="1" t="s">
        <v>3215</v>
      </c>
      <c r="F450" s="22" t="s">
        <v>3</v>
      </c>
      <c r="G450" s="1" t="s">
        <v>6085</v>
      </c>
      <c r="H450" s="1" t="s">
        <v>6</v>
      </c>
      <c r="I450" s="1" t="s">
        <v>24</v>
      </c>
      <c r="J450" s="1" t="s">
        <v>25</v>
      </c>
      <c r="K450" s="1" t="s">
        <v>9</v>
      </c>
      <c r="L450" s="1" t="s">
        <v>78</v>
      </c>
      <c r="M450" s="11" t="s">
        <v>188</v>
      </c>
      <c r="N450" s="1" t="s">
        <v>6037</v>
      </c>
      <c r="O450" s="1" t="s">
        <v>13</v>
      </c>
      <c r="P450" s="1" t="s">
        <v>126</v>
      </c>
      <c r="Q450" s="1" t="s">
        <v>5839</v>
      </c>
      <c r="R450" s="1" t="s">
        <v>4628</v>
      </c>
      <c r="S450" s="1" t="s">
        <v>6070</v>
      </c>
      <c r="T450" s="1" t="s">
        <v>6071</v>
      </c>
      <c r="U450" s="1" t="s">
        <v>6088</v>
      </c>
      <c r="V450" s="1" t="s">
        <v>6171</v>
      </c>
      <c r="W450" s="27">
        <v>78.571428571428569</v>
      </c>
      <c r="X450" s="27">
        <v>75</v>
      </c>
      <c r="Y450" s="33">
        <f>AVERAGE(Table13[[#This Row],[Score 1]],Table13[[#This Row],[Score 2]])</f>
        <v>76.785714285714278</v>
      </c>
      <c r="Z450" s="1">
        <v>4</v>
      </c>
      <c r="AA450" s="1">
        <v>4</v>
      </c>
      <c r="AB450" s="22">
        <f>Table13[[#This Row],[Rank 1]]+Table13[[#This Row],[Rank 2]]</f>
        <v>8</v>
      </c>
      <c r="AC450" s="1" t="str">
        <f>IF(AND(Table13[[#This Row],[Average score]]&gt;75,Table13[[#This Row],[Total rank]]&gt;6.5),"Yes","No")</f>
        <v>Yes</v>
      </c>
      <c r="AD450" s="1" t="str">
        <f>IF(AND(Table13[[#This Row],[Average score]]&gt;80,Table13[[#This Row],[Total rank]]&gt;7.5),"Yes","No")</f>
        <v>No</v>
      </c>
      <c r="AF450" s="8">
        <v>45658</v>
      </c>
      <c r="AG450" s="1">
        <v>1</v>
      </c>
      <c r="AH450" s="27">
        <v>106000</v>
      </c>
      <c r="AI450" s="30">
        <v>0</v>
      </c>
      <c r="AJ450" s="30">
        <v>0</v>
      </c>
      <c r="AK450" s="30">
        <f>Table13[[#This Row],[Year 1]]</f>
        <v>106000</v>
      </c>
      <c r="AL450" s="30">
        <f>Table13[[#This Row],[Year 2]]</f>
        <v>0</v>
      </c>
      <c r="AM450" s="30">
        <f>Table13[[#This Row],[Year 3]]</f>
        <v>0</v>
      </c>
      <c r="AN450" s="1">
        <v>3</v>
      </c>
    </row>
    <row r="451" spans="1:40" x14ac:dyDescent="0.25">
      <c r="A451" s="1" t="s">
        <v>48</v>
      </c>
      <c r="B451" s="1" t="s">
        <v>2383</v>
      </c>
      <c r="C451" s="1" t="s">
        <v>50</v>
      </c>
      <c r="D451" s="1" t="s">
        <v>3216</v>
      </c>
      <c r="E451" s="1" t="s">
        <v>3217</v>
      </c>
      <c r="F451" s="22" t="s">
        <v>3</v>
      </c>
      <c r="G451" s="1" t="s">
        <v>6085</v>
      </c>
      <c r="H451" s="1" t="s">
        <v>7</v>
      </c>
      <c r="I451" s="1" t="s">
        <v>24</v>
      </c>
      <c r="J451" s="1" t="s">
        <v>26</v>
      </c>
      <c r="K451" s="1" t="s">
        <v>9</v>
      </c>
      <c r="L451" s="1" t="s">
        <v>78</v>
      </c>
      <c r="M451" s="11" t="s">
        <v>188</v>
      </c>
      <c r="N451" s="1" t="s">
        <v>6037</v>
      </c>
      <c r="O451" s="1" t="s">
        <v>16</v>
      </c>
      <c r="P451" s="1" t="s">
        <v>60</v>
      </c>
      <c r="Q451" s="1" t="s">
        <v>7</v>
      </c>
      <c r="R451" s="1" t="s">
        <v>4630</v>
      </c>
      <c r="S451" s="1" t="s">
        <v>6117</v>
      </c>
      <c r="T451" s="1" t="s">
        <v>6118</v>
      </c>
      <c r="U451" s="1" t="s">
        <v>6126</v>
      </c>
      <c r="V451" s="1" t="s">
        <v>6177</v>
      </c>
      <c r="W451" s="27">
        <v>97.222222222222214</v>
      </c>
      <c r="X451" s="27">
        <v>97.222222222222214</v>
      </c>
      <c r="Y451" s="33">
        <f>AVERAGE(Table13[[#This Row],[Score 1]],Table13[[#This Row],[Score 2]])</f>
        <v>97.222222222222214</v>
      </c>
      <c r="Z451" s="1">
        <v>5</v>
      </c>
      <c r="AA451" s="1">
        <v>5</v>
      </c>
      <c r="AB451" s="22">
        <f>Table13[[#This Row],[Rank 1]]+Table13[[#This Row],[Rank 2]]</f>
        <v>10</v>
      </c>
      <c r="AC451" s="1" t="str">
        <f>IF(AND(Table13[[#This Row],[Average score]]&gt;75,Table13[[#This Row],[Total rank]]&gt;6.5),"Yes","No")</f>
        <v>Yes</v>
      </c>
      <c r="AD451" s="1" t="str">
        <f>IF(AND(Table13[[#This Row],[Average score]]&gt;80,Table13[[#This Row],[Total rank]]&gt;7.5),"Yes","No")</f>
        <v>Yes</v>
      </c>
      <c r="AE451" s="1" t="s">
        <v>6221</v>
      </c>
      <c r="AF451" s="8">
        <v>45809</v>
      </c>
      <c r="AG451" s="1">
        <v>2</v>
      </c>
      <c r="AH451" s="27">
        <v>180000</v>
      </c>
      <c r="AI451" s="27">
        <v>180000</v>
      </c>
      <c r="AJ451" s="30">
        <v>0</v>
      </c>
      <c r="AK451" s="30">
        <f>Table13[[#This Row],[Year 1]]</f>
        <v>180000</v>
      </c>
      <c r="AL451" s="30">
        <f>Table13[[#This Row],[Year 2]]</f>
        <v>180000</v>
      </c>
      <c r="AM451" s="30">
        <f>Table13[[#This Row],[Year 3]]</f>
        <v>0</v>
      </c>
      <c r="AN451" s="1">
        <v>3</v>
      </c>
    </row>
    <row r="452" spans="1:40" hidden="1" x14ac:dyDescent="0.25">
      <c r="A452" s="1" t="s">
        <v>48</v>
      </c>
      <c r="B452" s="1" t="s">
        <v>2384</v>
      </c>
      <c r="C452" s="1" t="s">
        <v>50</v>
      </c>
      <c r="D452" s="1" t="s">
        <v>3218</v>
      </c>
      <c r="E452" s="1" t="s">
        <v>3219</v>
      </c>
      <c r="F452" s="22" t="s">
        <v>3</v>
      </c>
      <c r="G452" s="1" t="s">
        <v>6085</v>
      </c>
      <c r="H452" s="1" t="s">
        <v>6</v>
      </c>
      <c r="I452" s="1" t="s">
        <v>20</v>
      </c>
      <c r="J452" s="1" t="s">
        <v>25</v>
      </c>
      <c r="K452" s="1" t="s">
        <v>9</v>
      </c>
      <c r="L452" s="1" t="s">
        <v>78</v>
      </c>
      <c r="M452" s="11" t="s">
        <v>188</v>
      </c>
      <c r="N452" s="1" t="s">
        <v>6037</v>
      </c>
      <c r="O452" s="1" t="s">
        <v>14</v>
      </c>
      <c r="P452" s="1" t="s">
        <v>707</v>
      </c>
      <c r="Q452" s="1" t="s">
        <v>5840</v>
      </c>
      <c r="R452" s="1" t="s">
        <v>4631</v>
      </c>
      <c r="S452" s="1" t="s">
        <v>6150</v>
      </c>
      <c r="T452" s="1" t="s">
        <v>6149</v>
      </c>
      <c r="U452" s="1" t="s">
        <v>6158</v>
      </c>
      <c r="V452" s="1" t="s">
        <v>6166</v>
      </c>
      <c r="W452" s="27">
        <v>78.571428571428569</v>
      </c>
      <c r="X452" s="27">
        <v>64.285714285714292</v>
      </c>
      <c r="Y452" s="33">
        <f>AVERAGE(Table13[[#This Row],[Score 1]],Table13[[#This Row],[Score 2]])</f>
        <v>71.428571428571431</v>
      </c>
      <c r="Z452" s="1">
        <v>3</v>
      </c>
      <c r="AA452" s="1">
        <v>4</v>
      </c>
      <c r="AB452" s="22">
        <f>Table13[[#This Row],[Rank 1]]+Table13[[#This Row],[Rank 2]]</f>
        <v>7</v>
      </c>
      <c r="AC452" s="1" t="str">
        <f>IF(AND(Table13[[#This Row],[Average score]]&gt;75,Table13[[#This Row],[Total rank]]&gt;6.5),"Yes","No")</f>
        <v>No</v>
      </c>
      <c r="AD452" s="1" t="str">
        <f>IF(AND(Table13[[#This Row],[Average score]]&gt;80,Table13[[#This Row],[Total rank]]&gt;7.5),"Yes","No")</f>
        <v>No</v>
      </c>
      <c r="AF452" s="8">
        <v>46048</v>
      </c>
      <c r="AG452" s="1">
        <v>1</v>
      </c>
      <c r="AH452" s="27">
        <v>139000</v>
      </c>
      <c r="AI452" s="30">
        <v>0</v>
      </c>
      <c r="AJ452" s="30">
        <v>0</v>
      </c>
      <c r="AK452" s="30">
        <f>Table13[[#This Row],[Year 1]]</f>
        <v>139000</v>
      </c>
      <c r="AL452" s="30">
        <f>Table13[[#This Row],[Year 2]]</f>
        <v>0</v>
      </c>
      <c r="AM452" s="30">
        <f>Table13[[#This Row],[Year 3]]</f>
        <v>0</v>
      </c>
      <c r="AN452" s="1">
        <v>3</v>
      </c>
    </row>
    <row r="453" spans="1:40" hidden="1" x14ac:dyDescent="0.25">
      <c r="A453" s="1" t="s">
        <v>48</v>
      </c>
      <c r="B453" s="1" t="s">
        <v>2385</v>
      </c>
      <c r="C453" s="1" t="s">
        <v>50</v>
      </c>
      <c r="D453" s="1" t="s">
        <v>3220</v>
      </c>
      <c r="E453" s="1" t="s">
        <v>3221</v>
      </c>
      <c r="F453" s="22" t="s">
        <v>3</v>
      </c>
      <c r="G453" s="1" t="s">
        <v>6085</v>
      </c>
      <c r="H453" s="1" t="s">
        <v>7</v>
      </c>
      <c r="I453" s="1" t="s">
        <v>24</v>
      </c>
      <c r="J453" s="1" t="s">
        <v>25</v>
      </c>
      <c r="K453" s="1" t="s">
        <v>9</v>
      </c>
      <c r="L453" s="1" t="s">
        <v>78</v>
      </c>
      <c r="M453" s="11" t="s">
        <v>188</v>
      </c>
      <c r="N453" s="1" t="s">
        <v>6037</v>
      </c>
      <c r="O453" s="1" t="s">
        <v>13</v>
      </c>
      <c r="P453" s="1" t="s">
        <v>4633</v>
      </c>
      <c r="Q453" s="1" t="s">
        <v>5841</v>
      </c>
      <c r="R453" s="1" t="s">
        <v>4634</v>
      </c>
      <c r="S453" s="1" t="s">
        <v>6072</v>
      </c>
      <c r="T453" s="1" t="s">
        <v>6073</v>
      </c>
      <c r="U453" s="1" t="s">
        <v>6092</v>
      </c>
      <c r="V453" s="1" t="s">
        <v>6176</v>
      </c>
      <c r="W453" s="27">
        <v>80.555555555555557</v>
      </c>
      <c r="X453" s="27">
        <v>63.888888888888886</v>
      </c>
      <c r="Y453" s="33">
        <f>AVERAGE(Table13[[#This Row],[Score 1]],Table13[[#This Row],[Score 2]])</f>
        <v>72.222222222222229</v>
      </c>
      <c r="Z453" s="1">
        <v>3</v>
      </c>
      <c r="AA453" s="1">
        <v>2</v>
      </c>
      <c r="AB453" s="22">
        <f>Table13[[#This Row],[Rank 1]]+Table13[[#This Row],[Rank 2]]</f>
        <v>5</v>
      </c>
      <c r="AC453" s="1" t="str">
        <f>IF(AND(Table13[[#This Row],[Average score]]&gt;75,Table13[[#This Row],[Total rank]]&gt;6.5),"Yes","No")</f>
        <v>No</v>
      </c>
      <c r="AD453" s="1" t="str">
        <f>IF(AND(Table13[[#This Row],[Average score]]&gt;80,Table13[[#This Row],[Total rank]]&gt;7.5),"Yes","No")</f>
        <v>No</v>
      </c>
      <c r="AF453" s="8">
        <v>45658</v>
      </c>
      <c r="AG453" s="1">
        <v>1</v>
      </c>
      <c r="AH453" s="27">
        <v>10400</v>
      </c>
      <c r="AI453" s="30">
        <v>0</v>
      </c>
      <c r="AJ453" s="30">
        <v>0</v>
      </c>
      <c r="AK453" s="30">
        <f>Table13[[#This Row],[Year 1]]</f>
        <v>10400</v>
      </c>
      <c r="AL453" s="30">
        <f>Table13[[#This Row],[Year 2]]</f>
        <v>0</v>
      </c>
      <c r="AM453" s="30">
        <f>Table13[[#This Row],[Year 3]]</f>
        <v>0</v>
      </c>
      <c r="AN453" s="1">
        <v>3</v>
      </c>
    </row>
    <row r="454" spans="1:40" hidden="1" x14ac:dyDescent="0.25">
      <c r="A454" s="1" t="s">
        <v>48</v>
      </c>
      <c r="B454" s="1" t="s">
        <v>2386</v>
      </c>
      <c r="C454" s="1" t="s">
        <v>50</v>
      </c>
      <c r="D454" s="1" t="s">
        <v>3222</v>
      </c>
      <c r="E454" s="1" t="s">
        <v>3223</v>
      </c>
      <c r="F454" s="22" t="s">
        <v>3</v>
      </c>
      <c r="G454" s="1" t="s">
        <v>6085</v>
      </c>
      <c r="H454" s="1" t="s">
        <v>5</v>
      </c>
      <c r="I454" s="1" t="s">
        <v>20</v>
      </c>
      <c r="J454" s="1" t="s">
        <v>25</v>
      </c>
      <c r="K454" s="1" t="s">
        <v>9</v>
      </c>
      <c r="L454" s="1" t="s">
        <v>78</v>
      </c>
      <c r="M454" s="11" t="s">
        <v>188</v>
      </c>
      <c r="N454" s="1" t="s">
        <v>6037</v>
      </c>
      <c r="O454" s="1" t="s">
        <v>14</v>
      </c>
      <c r="P454" s="1" t="s">
        <v>126</v>
      </c>
      <c r="Q454" s="1" t="s">
        <v>5842</v>
      </c>
      <c r="R454" s="1" t="s">
        <v>4636</v>
      </c>
      <c r="S454" s="1" t="s">
        <v>6150</v>
      </c>
      <c r="T454" s="1" t="s">
        <v>6149</v>
      </c>
      <c r="U454" s="1" t="s">
        <v>6158</v>
      </c>
      <c r="V454" s="1" t="s">
        <v>6166</v>
      </c>
      <c r="W454" s="27">
        <v>96.428571428571431</v>
      </c>
      <c r="X454" s="27">
        <v>82.142857142857139</v>
      </c>
      <c r="Y454" s="33">
        <f>AVERAGE(Table13[[#This Row],[Score 1]],Table13[[#This Row],[Score 2]])</f>
        <v>89.285714285714278</v>
      </c>
      <c r="Z454" s="1">
        <v>3</v>
      </c>
      <c r="AA454" s="1">
        <v>3</v>
      </c>
      <c r="AB454" s="22">
        <f>Table13[[#This Row],[Rank 1]]+Table13[[#This Row],[Rank 2]]</f>
        <v>6</v>
      </c>
      <c r="AC454" s="1" t="str">
        <f>IF(AND(Table13[[#This Row],[Average score]]&gt;75,Table13[[#This Row],[Total rank]]&gt;6.5),"Yes","No")</f>
        <v>No</v>
      </c>
      <c r="AD454" s="1" t="str">
        <f>IF(AND(Table13[[#This Row],[Average score]]&gt;80,Table13[[#This Row],[Total rank]]&gt;7.5),"Yes","No")</f>
        <v>No</v>
      </c>
      <c r="AF454" s="8">
        <v>45691</v>
      </c>
      <c r="AG454" s="1">
        <v>3</v>
      </c>
      <c r="AH454" s="27">
        <v>302870</v>
      </c>
      <c r="AI454" s="27">
        <v>322460</v>
      </c>
      <c r="AJ454" s="27">
        <v>347950</v>
      </c>
      <c r="AK454" s="27">
        <f>Table13[[#This Row],[Year 1]]</f>
        <v>302870</v>
      </c>
      <c r="AL454" s="27">
        <f>Table13[[#This Row],[Year 2]]</f>
        <v>322460</v>
      </c>
      <c r="AM454" s="27">
        <f>Table13[[#This Row],[Year 3]]</f>
        <v>347950</v>
      </c>
      <c r="AN454" s="1">
        <v>3</v>
      </c>
    </row>
    <row r="455" spans="1:40" hidden="1" x14ac:dyDescent="0.25">
      <c r="A455" s="1" t="s">
        <v>48</v>
      </c>
      <c r="B455" s="1" t="s">
        <v>2388</v>
      </c>
      <c r="C455" s="1" t="s">
        <v>50</v>
      </c>
      <c r="D455" s="1" t="s">
        <v>3226</v>
      </c>
      <c r="E455" s="1" t="s">
        <v>3227</v>
      </c>
      <c r="F455" s="22" t="s">
        <v>3</v>
      </c>
      <c r="G455" s="1" t="s">
        <v>6085</v>
      </c>
      <c r="H455" s="1" t="s">
        <v>7</v>
      </c>
      <c r="I455" s="1" t="s">
        <v>24</v>
      </c>
      <c r="J455" s="1" t="s">
        <v>26</v>
      </c>
      <c r="K455" s="1" t="s">
        <v>9</v>
      </c>
      <c r="L455" s="1" t="s">
        <v>78</v>
      </c>
      <c r="M455" s="11" t="s">
        <v>188</v>
      </c>
      <c r="N455" s="1" t="s">
        <v>6037</v>
      </c>
      <c r="O455" s="1" t="s">
        <v>13</v>
      </c>
      <c r="P455" s="1" t="s">
        <v>267</v>
      </c>
      <c r="Q455" s="1" t="s">
        <v>5844</v>
      </c>
      <c r="R455" s="1" t="s">
        <v>4641</v>
      </c>
      <c r="S455" s="1" t="s">
        <v>6081</v>
      </c>
      <c r="T455" s="1" t="s">
        <v>6082</v>
      </c>
      <c r="U455" s="1" t="s">
        <v>6097</v>
      </c>
      <c r="V455" s="1" t="s">
        <v>6188</v>
      </c>
      <c r="W455" s="27">
        <v>88.888888888888886</v>
      </c>
      <c r="X455" s="27">
        <v>66.666666666666657</v>
      </c>
      <c r="Y455" s="33">
        <f>AVERAGE(Table13[[#This Row],[Score 1]],Table13[[#This Row],[Score 2]])</f>
        <v>77.777777777777771</v>
      </c>
      <c r="Z455" s="1">
        <v>5</v>
      </c>
      <c r="AA455" s="1">
        <v>3</v>
      </c>
      <c r="AB455" s="22">
        <f>Table13[[#This Row],[Rank 1]]+Table13[[#This Row],[Rank 2]]</f>
        <v>8</v>
      </c>
      <c r="AC455" s="1" t="str">
        <f>IF(AND(Table13[[#This Row],[Average score]]&gt;75,Table13[[#This Row],[Total rank]]&gt;6.5),"Yes","No")</f>
        <v>Yes</v>
      </c>
      <c r="AD455" s="1" t="str">
        <f>IF(AND(Table13[[#This Row],[Average score]]&gt;80,Table13[[#This Row],[Total rank]]&gt;7.5),"Yes","No")</f>
        <v>No</v>
      </c>
      <c r="AF455" s="8">
        <v>44935</v>
      </c>
      <c r="AG455" s="1">
        <v>2</v>
      </c>
      <c r="AH455" s="29">
        <v>250000</v>
      </c>
      <c r="AI455" s="29">
        <v>250000</v>
      </c>
      <c r="AJ455" s="31">
        <v>0</v>
      </c>
      <c r="AK455" s="31">
        <f>Table13[[#This Row],[Year 1]]</f>
        <v>250000</v>
      </c>
      <c r="AL455" s="31">
        <f>Table13[[#This Row],[Year 2]]</f>
        <v>250000</v>
      </c>
      <c r="AM455" s="31">
        <f>Table13[[#This Row],[Year 3]]</f>
        <v>0</v>
      </c>
      <c r="AN455" s="1">
        <v>3</v>
      </c>
    </row>
    <row r="456" spans="1:40" hidden="1" x14ac:dyDescent="0.25">
      <c r="A456" s="1" t="s">
        <v>48</v>
      </c>
      <c r="B456" s="1" t="s">
        <v>2389</v>
      </c>
      <c r="C456" s="1" t="s">
        <v>50</v>
      </c>
      <c r="D456" s="1" t="s">
        <v>3228</v>
      </c>
      <c r="E456" s="1" t="s">
        <v>3229</v>
      </c>
      <c r="F456" s="22" t="s">
        <v>3</v>
      </c>
      <c r="G456" s="1" t="s">
        <v>6085</v>
      </c>
      <c r="H456" s="1" t="s">
        <v>5</v>
      </c>
      <c r="I456" s="1" t="s">
        <v>20</v>
      </c>
      <c r="J456" s="1" t="s">
        <v>25</v>
      </c>
      <c r="K456" s="1" t="s">
        <v>9</v>
      </c>
      <c r="L456" s="1" t="s">
        <v>78</v>
      </c>
      <c r="M456" s="11" t="s">
        <v>188</v>
      </c>
      <c r="N456" s="1" t="s">
        <v>6037</v>
      </c>
      <c r="O456" s="1" t="s">
        <v>15</v>
      </c>
      <c r="P456" s="1" t="s">
        <v>126</v>
      </c>
      <c r="Q456" s="1" t="s">
        <v>5845</v>
      </c>
      <c r="R456" s="1" t="s">
        <v>4643</v>
      </c>
      <c r="S456" s="1" t="s">
        <v>6057</v>
      </c>
      <c r="T456" s="1" t="s">
        <v>6058</v>
      </c>
      <c r="U456" s="1" t="s">
        <v>6095</v>
      </c>
      <c r="V456" s="1" t="s">
        <v>6186</v>
      </c>
      <c r="W456" s="27">
        <v>75</v>
      </c>
      <c r="X456" s="27">
        <v>92.857142857142861</v>
      </c>
      <c r="Y456" s="33">
        <f>AVERAGE(Table13[[#This Row],[Score 1]],Table13[[#This Row],[Score 2]])</f>
        <v>83.928571428571431</v>
      </c>
      <c r="Z456" s="1">
        <v>4</v>
      </c>
      <c r="AA456" s="1">
        <v>4</v>
      </c>
      <c r="AB456" s="22">
        <f>Table13[[#This Row],[Rank 1]]+Table13[[#This Row],[Rank 2]]</f>
        <v>8</v>
      </c>
      <c r="AC456" s="1" t="str">
        <f>IF(AND(Table13[[#This Row],[Average score]]&gt;75,Table13[[#This Row],[Total rank]]&gt;6.5),"Yes","No")</f>
        <v>Yes</v>
      </c>
      <c r="AD456" s="1" t="str">
        <f>IF(AND(Table13[[#This Row],[Average score]]&gt;80,Table13[[#This Row],[Total rank]]&gt;7.5),"Yes","No")</f>
        <v>Yes</v>
      </c>
      <c r="AF456" s="8">
        <v>46055</v>
      </c>
      <c r="AG456" s="1">
        <v>3</v>
      </c>
      <c r="AH456" s="27">
        <v>280167</v>
      </c>
      <c r="AI456" s="27">
        <v>293692</v>
      </c>
      <c r="AJ456" s="27">
        <v>347100</v>
      </c>
      <c r="AK456" s="27">
        <f>Table13[[#This Row],[Year 1]]</f>
        <v>280167</v>
      </c>
      <c r="AL456" s="27">
        <f>Table13[[#This Row],[Year 2]]</f>
        <v>293692</v>
      </c>
      <c r="AM456" s="27">
        <f>Table13[[#This Row],[Year 3]]</f>
        <v>347100</v>
      </c>
      <c r="AN456" s="1">
        <v>3</v>
      </c>
    </row>
    <row r="457" spans="1:40" hidden="1" x14ac:dyDescent="0.25">
      <c r="A457" s="1" t="s">
        <v>48</v>
      </c>
      <c r="B457" s="2" t="s">
        <v>2216</v>
      </c>
      <c r="C457" s="1" t="s">
        <v>50</v>
      </c>
      <c r="D457" s="1" t="s">
        <v>2882</v>
      </c>
      <c r="E457" s="1" t="s">
        <v>2883</v>
      </c>
      <c r="F457" s="22" t="s">
        <v>3</v>
      </c>
      <c r="G457" s="1" t="s">
        <v>6085</v>
      </c>
      <c r="H457" s="1" t="s">
        <v>6</v>
      </c>
      <c r="I457" s="1" t="s">
        <v>20</v>
      </c>
      <c r="J457" s="1" t="s">
        <v>25</v>
      </c>
      <c r="K457" s="1" t="s">
        <v>9</v>
      </c>
      <c r="L457" s="1" t="s">
        <v>53</v>
      </c>
      <c r="M457" s="11" t="s">
        <v>188</v>
      </c>
      <c r="N457" s="1" t="s">
        <v>6037</v>
      </c>
      <c r="O457" s="1" t="s">
        <v>14</v>
      </c>
      <c r="P457" s="1" t="s">
        <v>247</v>
      </c>
      <c r="Q457" s="1" t="s">
        <v>5705</v>
      </c>
      <c r="R457" s="1" t="s">
        <v>4238</v>
      </c>
      <c r="S457" s="1" t="s">
        <v>6135</v>
      </c>
      <c r="T457" s="1" t="s">
        <v>6136</v>
      </c>
      <c r="U457" s="1" t="s">
        <v>6201</v>
      </c>
      <c r="V457" s="1" t="s">
        <v>6163</v>
      </c>
      <c r="W457" s="27">
        <v>92.857142857142861</v>
      </c>
      <c r="X457" s="27">
        <v>92.857142857142861</v>
      </c>
      <c r="Y457" s="33">
        <f>AVERAGE(Table13[[#This Row],[Score 1]],Table13[[#This Row],[Score 2]])</f>
        <v>92.857142857142861</v>
      </c>
      <c r="Z457" s="1">
        <v>4</v>
      </c>
      <c r="AA457" s="1">
        <v>5</v>
      </c>
      <c r="AB457" s="22">
        <f>Table13[[#This Row],[Rank 1]]+Table13[[#This Row],[Rank 2]]</f>
        <v>9</v>
      </c>
      <c r="AC457" s="1" t="str">
        <f>IF(AND(Table13[[#This Row],[Average score]]&gt;75,Table13[[#This Row],[Total rank]]&gt;6.5),"Yes","No")</f>
        <v>Yes</v>
      </c>
      <c r="AD457" s="1" t="str">
        <f>IF(AND(Table13[[#This Row],[Average score]]&gt;80,Table13[[#This Row],[Total rank]]&gt;7.5),"Yes","No")</f>
        <v>Yes</v>
      </c>
      <c r="AF457" s="8">
        <v>46057</v>
      </c>
      <c r="AG457" s="1">
        <v>1</v>
      </c>
      <c r="AH457" s="27">
        <v>178200</v>
      </c>
      <c r="AI457" s="30">
        <v>0</v>
      </c>
      <c r="AJ457" s="30">
        <v>0</v>
      </c>
      <c r="AK457" s="30">
        <f>Table13[[#This Row],[Year 1]]</f>
        <v>178200</v>
      </c>
      <c r="AL457" s="30">
        <f>Table13[[#This Row],[Year 2]]</f>
        <v>0</v>
      </c>
      <c r="AM457" s="30">
        <f>Table13[[#This Row],[Year 3]]</f>
        <v>0</v>
      </c>
      <c r="AN457" s="1">
        <v>3</v>
      </c>
    </row>
    <row r="458" spans="1:40" hidden="1" x14ac:dyDescent="0.25">
      <c r="A458" s="1" t="s">
        <v>48</v>
      </c>
      <c r="B458" s="1" t="s">
        <v>2391</v>
      </c>
      <c r="C458" s="1" t="s">
        <v>50</v>
      </c>
      <c r="D458" s="1" t="s">
        <v>3232</v>
      </c>
      <c r="E458" s="1" t="s">
        <v>3233</v>
      </c>
      <c r="F458" s="22" t="s">
        <v>3</v>
      </c>
      <c r="G458" s="1" t="s">
        <v>6085</v>
      </c>
      <c r="H458" s="1" t="s">
        <v>5</v>
      </c>
      <c r="I458" s="1" t="s">
        <v>20</v>
      </c>
      <c r="J458" s="1" t="s">
        <v>25</v>
      </c>
      <c r="K458" s="1" t="s">
        <v>9</v>
      </c>
      <c r="L458" s="1" t="s">
        <v>78</v>
      </c>
      <c r="M458" s="11" t="s">
        <v>188</v>
      </c>
      <c r="N458" s="1" t="s">
        <v>6037</v>
      </c>
      <c r="O458" s="1" t="s">
        <v>13</v>
      </c>
      <c r="P458" s="1" t="s">
        <v>247</v>
      </c>
      <c r="Q458" s="1" t="s">
        <v>5847</v>
      </c>
      <c r="R458" s="1" t="s">
        <v>4649</v>
      </c>
      <c r="S458" s="1" t="s">
        <v>6068</v>
      </c>
      <c r="T458" s="1" t="s">
        <v>6069</v>
      </c>
      <c r="U458" s="1" t="s">
        <v>6099</v>
      </c>
      <c r="V458" s="1" t="s">
        <v>6194</v>
      </c>
      <c r="W458" s="27">
        <v>71.428571428571431</v>
      </c>
      <c r="X458" s="27">
        <v>57.142857142857139</v>
      </c>
      <c r="Y458" s="33">
        <f>AVERAGE(Table13[[#This Row],[Score 1]],Table13[[#This Row],[Score 2]])</f>
        <v>64.285714285714278</v>
      </c>
      <c r="Z458" s="1">
        <v>3</v>
      </c>
      <c r="AA458" s="1">
        <v>1</v>
      </c>
      <c r="AB458" s="22">
        <f>Table13[[#This Row],[Rank 1]]+Table13[[#This Row],[Rank 2]]</f>
        <v>4</v>
      </c>
      <c r="AC458" s="1" t="str">
        <f>IF(AND(Table13[[#This Row],[Average score]]&gt;75,Table13[[#This Row],[Total rank]]&gt;6.5),"Yes","No")</f>
        <v>No</v>
      </c>
      <c r="AD458" s="1" t="str">
        <f>IF(AND(Table13[[#This Row],[Average score]]&gt;80,Table13[[#This Row],[Total rank]]&gt;7.5),"Yes","No")</f>
        <v>No</v>
      </c>
      <c r="AF458" s="8">
        <v>45397</v>
      </c>
      <c r="AG458" s="1">
        <v>1</v>
      </c>
      <c r="AH458" s="27">
        <v>175000</v>
      </c>
      <c r="AI458" s="30">
        <v>0</v>
      </c>
      <c r="AJ458" s="30">
        <v>0</v>
      </c>
      <c r="AK458" s="30">
        <f>Table13[[#This Row],[Year 1]]</f>
        <v>175000</v>
      </c>
      <c r="AL458" s="30">
        <f>Table13[[#This Row],[Year 2]]</f>
        <v>0</v>
      </c>
      <c r="AM458" s="30">
        <f>Table13[[#This Row],[Year 3]]</f>
        <v>0</v>
      </c>
      <c r="AN458" s="1">
        <v>3</v>
      </c>
    </row>
    <row r="459" spans="1:40" hidden="1" x14ac:dyDescent="0.25">
      <c r="A459" s="1" t="s">
        <v>48</v>
      </c>
      <c r="B459" s="1" t="s">
        <v>2392</v>
      </c>
      <c r="C459" s="1" t="s">
        <v>50</v>
      </c>
      <c r="D459" s="1" t="s">
        <v>3234</v>
      </c>
      <c r="E459" s="1" t="s">
        <v>3235</v>
      </c>
      <c r="F459" s="22" t="s">
        <v>3</v>
      </c>
      <c r="G459" s="1" t="s">
        <v>6085</v>
      </c>
      <c r="H459" s="1" t="s">
        <v>5</v>
      </c>
      <c r="I459" s="1" t="s">
        <v>22</v>
      </c>
      <c r="J459" s="1" t="s">
        <v>25</v>
      </c>
      <c r="K459" s="1" t="s">
        <v>9</v>
      </c>
      <c r="L459" s="1" t="s">
        <v>78</v>
      </c>
      <c r="M459" s="11" t="s">
        <v>188</v>
      </c>
      <c r="N459" s="1" t="s">
        <v>6037</v>
      </c>
      <c r="O459" s="1" t="s">
        <v>10</v>
      </c>
      <c r="P459" s="1" t="s">
        <v>306</v>
      </c>
      <c r="Q459" s="18" t="s">
        <v>5380</v>
      </c>
      <c r="R459" s="1" t="s">
        <v>4650</v>
      </c>
      <c r="S459" s="1" t="s">
        <v>6049</v>
      </c>
      <c r="T459" s="1" t="s">
        <v>6050</v>
      </c>
      <c r="U459" s="1" t="s">
        <v>6104</v>
      </c>
      <c r="V459" s="1" t="s">
        <v>6200</v>
      </c>
      <c r="W459" s="27">
        <v>64.285714285714292</v>
      </c>
      <c r="X459" s="27">
        <v>60.714285714285708</v>
      </c>
      <c r="Y459" s="33">
        <f>AVERAGE(Table13[[#This Row],[Score 1]],Table13[[#This Row],[Score 2]])</f>
        <v>62.5</v>
      </c>
      <c r="Z459" s="1">
        <v>3</v>
      </c>
      <c r="AA459" s="1">
        <v>2</v>
      </c>
      <c r="AB459" s="22">
        <f>Table13[[#This Row],[Rank 1]]+Table13[[#This Row],[Rank 2]]</f>
        <v>5</v>
      </c>
      <c r="AC459" s="1" t="str">
        <f>IF(AND(Table13[[#This Row],[Average score]]&gt;75,Table13[[#This Row],[Total rank]]&gt;6.5),"Yes","No")</f>
        <v>No</v>
      </c>
      <c r="AD459" s="1" t="str">
        <f>IF(AND(Table13[[#This Row],[Average score]]&gt;80,Table13[[#This Row],[Total rank]]&gt;7.5),"Yes","No")</f>
        <v>No</v>
      </c>
      <c r="AF459" s="8">
        <v>46023</v>
      </c>
      <c r="AG459" s="1">
        <v>3</v>
      </c>
      <c r="AH459" s="27">
        <v>198847</v>
      </c>
      <c r="AI459" s="27">
        <v>177428</v>
      </c>
      <c r="AJ459" s="27">
        <v>177428</v>
      </c>
      <c r="AK459" s="27">
        <f>Table13[[#This Row],[Year 1]]</f>
        <v>198847</v>
      </c>
      <c r="AL459" s="27">
        <f>Table13[[#This Row],[Year 2]]</f>
        <v>177428</v>
      </c>
      <c r="AM459" s="27">
        <f>Table13[[#This Row],[Year 3]]</f>
        <v>177428</v>
      </c>
      <c r="AN459" s="1">
        <v>3</v>
      </c>
    </row>
    <row r="460" spans="1:40" hidden="1" x14ac:dyDescent="0.25">
      <c r="A460" s="1" t="s">
        <v>48</v>
      </c>
      <c r="B460" s="1" t="s">
        <v>2395</v>
      </c>
      <c r="C460" s="1" t="s">
        <v>50</v>
      </c>
      <c r="D460" s="1" t="s">
        <v>3240</v>
      </c>
      <c r="E460" s="1" t="s">
        <v>3241</v>
      </c>
      <c r="F460" s="22" t="s">
        <v>3</v>
      </c>
      <c r="G460" s="1" t="s">
        <v>6085</v>
      </c>
      <c r="H460" s="1" t="s">
        <v>5</v>
      </c>
      <c r="I460" s="1" t="s">
        <v>20</v>
      </c>
      <c r="J460" s="1" t="s">
        <v>25</v>
      </c>
      <c r="K460" s="1" t="s">
        <v>9</v>
      </c>
      <c r="L460" s="1" t="s">
        <v>78</v>
      </c>
      <c r="M460" s="11" t="s">
        <v>188</v>
      </c>
      <c r="N460" s="1" t="s">
        <v>6037</v>
      </c>
      <c r="O460" s="1" t="s">
        <v>14</v>
      </c>
      <c r="P460" s="1" t="s">
        <v>247</v>
      </c>
      <c r="Q460" s="18" t="s">
        <v>5850</v>
      </c>
      <c r="R460" s="1" t="s">
        <v>4657</v>
      </c>
      <c r="S460" s="1" t="s">
        <v>6133</v>
      </c>
      <c r="T460" s="1" t="s">
        <v>6134</v>
      </c>
      <c r="U460" s="1" t="s">
        <v>6094</v>
      </c>
      <c r="V460" s="1" t="s">
        <v>6184</v>
      </c>
      <c r="W460" s="27">
        <v>82.142857142857139</v>
      </c>
      <c r="X460" s="27">
        <v>75</v>
      </c>
      <c r="Y460" s="33">
        <f>AVERAGE(Table13[[#This Row],[Score 1]],Table13[[#This Row],[Score 2]])</f>
        <v>78.571428571428569</v>
      </c>
      <c r="Z460" s="1">
        <v>4</v>
      </c>
      <c r="AA460" s="1">
        <v>5</v>
      </c>
      <c r="AB460" s="22">
        <f>Table13[[#This Row],[Rank 1]]+Table13[[#This Row],[Rank 2]]</f>
        <v>9</v>
      </c>
      <c r="AC460" s="1" t="str">
        <f>IF(AND(Table13[[#This Row],[Average score]]&gt;75,Table13[[#This Row],[Total rank]]&gt;6.5),"Yes","No")</f>
        <v>Yes</v>
      </c>
      <c r="AD460" s="1" t="str">
        <f>IF(AND(Table13[[#This Row],[Average score]]&gt;80,Table13[[#This Row],[Total rank]]&gt;7.5),"Yes","No")</f>
        <v>No</v>
      </c>
      <c r="AF460" s="8">
        <v>45677</v>
      </c>
      <c r="AG460" s="1">
        <v>2</v>
      </c>
      <c r="AH460" s="27">
        <v>288464.59999999998</v>
      </c>
      <c r="AI460" s="27">
        <v>406590.2</v>
      </c>
      <c r="AJ460" s="30">
        <v>0</v>
      </c>
      <c r="AK460" s="30">
        <f>Table13[[#This Row],[Year 1]]</f>
        <v>288464.59999999998</v>
      </c>
      <c r="AL460" s="30">
        <f>Table13[[#This Row],[Year 2]]</f>
        <v>406590.2</v>
      </c>
      <c r="AM460" s="30">
        <f>Table13[[#This Row],[Year 3]]</f>
        <v>0</v>
      </c>
      <c r="AN460" s="1">
        <v>3</v>
      </c>
    </row>
    <row r="461" spans="1:40" hidden="1" x14ac:dyDescent="0.25">
      <c r="A461" s="1" t="s">
        <v>48</v>
      </c>
      <c r="B461" s="1" t="s">
        <v>2396</v>
      </c>
      <c r="C461" s="1" t="s">
        <v>50</v>
      </c>
      <c r="D461" s="1" t="s">
        <v>3242</v>
      </c>
      <c r="E461" s="1" t="s">
        <v>3243</v>
      </c>
      <c r="F461" s="22" t="s">
        <v>3</v>
      </c>
      <c r="G461" s="1" t="s">
        <v>6085</v>
      </c>
      <c r="H461" s="1" t="s">
        <v>5</v>
      </c>
      <c r="I461" s="1" t="s">
        <v>20</v>
      </c>
      <c r="J461" s="1" t="s">
        <v>25</v>
      </c>
      <c r="K461" s="1" t="s">
        <v>9</v>
      </c>
      <c r="L461" s="1" t="s">
        <v>78</v>
      </c>
      <c r="M461" s="11" t="s">
        <v>188</v>
      </c>
      <c r="N461" s="1" t="s">
        <v>6037</v>
      </c>
      <c r="O461" s="1" t="s">
        <v>13</v>
      </c>
      <c r="P461" s="1" t="s">
        <v>593</v>
      </c>
      <c r="Q461" s="1" t="s">
        <v>5851</v>
      </c>
      <c r="R461" s="1" t="s">
        <v>4660</v>
      </c>
      <c r="S461" s="1" t="s">
        <v>6071</v>
      </c>
      <c r="T461" s="1" t="s">
        <v>6074</v>
      </c>
      <c r="U461" s="1" t="s">
        <v>6181</v>
      </c>
      <c r="V461" s="1" t="s">
        <v>6171</v>
      </c>
      <c r="W461" s="27">
        <v>85.714285714285708</v>
      </c>
      <c r="X461" s="27">
        <v>89.285714285714292</v>
      </c>
      <c r="Y461" s="33">
        <f>AVERAGE(Table13[[#This Row],[Score 1]],Table13[[#This Row],[Score 2]])</f>
        <v>87.5</v>
      </c>
      <c r="Z461" s="1">
        <v>4</v>
      </c>
      <c r="AA461" s="1">
        <v>4</v>
      </c>
      <c r="AB461" s="22">
        <f>Table13[[#This Row],[Rank 1]]+Table13[[#This Row],[Rank 2]]</f>
        <v>8</v>
      </c>
      <c r="AC461" s="1" t="str">
        <f>IF(AND(Table13[[#This Row],[Average score]]&gt;75,Table13[[#This Row],[Total rank]]&gt;6.5),"Yes","No")</f>
        <v>Yes</v>
      </c>
      <c r="AD461" s="1" t="str">
        <f>IF(AND(Table13[[#This Row],[Average score]]&gt;80,Table13[[#This Row],[Total rank]]&gt;7.5),"Yes","No")</f>
        <v>Yes</v>
      </c>
      <c r="AF461" s="8">
        <v>46024</v>
      </c>
      <c r="AG461" s="1">
        <v>2</v>
      </c>
      <c r="AH461" s="27">
        <v>51770</v>
      </c>
      <c r="AI461" s="27">
        <v>53770</v>
      </c>
      <c r="AJ461" s="30">
        <v>0</v>
      </c>
      <c r="AK461" s="30">
        <f>Table13[[#This Row],[Year 1]]</f>
        <v>51770</v>
      </c>
      <c r="AL461" s="30">
        <f>Table13[[#This Row],[Year 2]]</f>
        <v>53770</v>
      </c>
      <c r="AM461" s="30">
        <f>Table13[[#This Row],[Year 3]]</f>
        <v>0</v>
      </c>
      <c r="AN461" s="1">
        <v>3</v>
      </c>
    </row>
    <row r="462" spans="1:40" hidden="1" x14ac:dyDescent="0.25">
      <c r="A462" s="1" t="s">
        <v>48</v>
      </c>
      <c r="B462" s="10" t="s">
        <v>2397</v>
      </c>
      <c r="C462" s="1" t="s">
        <v>50</v>
      </c>
      <c r="D462" s="1" t="s">
        <v>3244</v>
      </c>
      <c r="E462" s="1" t="s">
        <v>3245</v>
      </c>
      <c r="F462" s="22" t="s">
        <v>3</v>
      </c>
      <c r="G462" s="1" t="s">
        <v>6085</v>
      </c>
      <c r="H462" s="1" t="s">
        <v>5</v>
      </c>
      <c r="I462" s="1" t="s">
        <v>20</v>
      </c>
      <c r="J462" s="1" t="s">
        <v>26</v>
      </c>
      <c r="K462" s="1" t="s">
        <v>9</v>
      </c>
      <c r="L462" s="1" t="s">
        <v>78</v>
      </c>
      <c r="M462" s="11" t="s">
        <v>188</v>
      </c>
      <c r="N462" s="1" t="s">
        <v>6037</v>
      </c>
      <c r="O462" s="1" t="s">
        <v>16</v>
      </c>
      <c r="P462" s="1" t="s">
        <v>267</v>
      </c>
      <c r="Q462" s="1" t="s">
        <v>5380</v>
      </c>
      <c r="R462" s="1" t="s">
        <v>4663</v>
      </c>
      <c r="S462" s="1" t="s">
        <v>6113</v>
      </c>
      <c r="T462" s="1" t="s">
        <v>6114</v>
      </c>
      <c r="U462" s="2" t="s">
        <v>6128</v>
      </c>
      <c r="V462" s="1" t="s">
        <v>6182</v>
      </c>
      <c r="W462" s="29">
        <f>Table13[[#This Row],[Score 2]]</f>
        <v>60.714285714285708</v>
      </c>
      <c r="X462" s="27">
        <v>60.714285714285708</v>
      </c>
      <c r="Y462" s="33">
        <f>AVERAGE(Table13[[#This Row],[Score 1]],Table13[[#This Row],[Score 2]])</f>
        <v>60.714285714285708</v>
      </c>
      <c r="Z462" s="2">
        <f>Table13[[#This Row],[Rank 2]]</f>
        <v>1</v>
      </c>
      <c r="AA462" s="1">
        <v>1</v>
      </c>
      <c r="AB462" s="22">
        <f>Table13[[#This Row],[Rank 1]]+Table13[[#This Row],[Rank 2]]</f>
        <v>2</v>
      </c>
      <c r="AC462" s="1" t="str">
        <f>IF(AND(Table13[[#This Row],[Average score]]&gt;75,Table13[[#This Row],[Total rank]]&gt;6.5),"Yes","No")</f>
        <v>No</v>
      </c>
      <c r="AD462" s="1" t="str">
        <f>IF(AND(Table13[[#This Row],[Average score]]&gt;80,Table13[[#This Row],[Total rank]]&gt;7.5),"Yes","No")</f>
        <v>No</v>
      </c>
      <c r="AF462" s="8">
        <v>46055</v>
      </c>
      <c r="AG462" s="1">
        <v>3</v>
      </c>
      <c r="AH462" s="27">
        <v>267000</v>
      </c>
      <c r="AI462" s="27">
        <v>310000</v>
      </c>
      <c r="AJ462" s="27">
        <v>327000</v>
      </c>
      <c r="AK462" s="27">
        <f>Table13[[#This Row],[Year 1]]</f>
        <v>267000</v>
      </c>
      <c r="AL462" s="27">
        <f>Table13[[#This Row],[Year 2]]</f>
        <v>310000</v>
      </c>
      <c r="AM462" s="27">
        <f>Table13[[#This Row],[Year 3]]</f>
        <v>327000</v>
      </c>
      <c r="AN462" s="1">
        <v>2</v>
      </c>
    </row>
    <row r="463" spans="1:40" hidden="1" x14ac:dyDescent="0.25">
      <c r="A463" s="1" t="s">
        <v>48</v>
      </c>
      <c r="B463" s="10" t="s">
        <v>2398</v>
      </c>
      <c r="C463" s="1" t="s">
        <v>50</v>
      </c>
      <c r="D463" s="1" t="s">
        <v>3246</v>
      </c>
      <c r="E463" s="1" t="s">
        <v>3247</v>
      </c>
      <c r="F463" s="22" t="s">
        <v>3</v>
      </c>
      <c r="G463" s="1" t="s">
        <v>6085</v>
      </c>
      <c r="H463" s="1" t="s">
        <v>6</v>
      </c>
      <c r="I463" s="1" t="s">
        <v>20</v>
      </c>
      <c r="J463" s="1" t="s">
        <v>25</v>
      </c>
      <c r="K463" s="1" t="s">
        <v>9</v>
      </c>
      <c r="L463" s="1" t="s">
        <v>78</v>
      </c>
      <c r="M463" s="11" t="s">
        <v>188</v>
      </c>
      <c r="N463" s="1" t="s">
        <v>6037</v>
      </c>
      <c r="O463" s="1" t="s">
        <v>11</v>
      </c>
      <c r="P463" s="1" t="s">
        <v>593</v>
      </c>
      <c r="Q463" s="1" t="s">
        <v>5284</v>
      </c>
      <c r="R463" s="1" t="s">
        <v>4667</v>
      </c>
      <c r="S463" s="1" t="s">
        <v>6055</v>
      </c>
      <c r="T463" s="1" t="s">
        <v>6056</v>
      </c>
      <c r="U463" s="1" t="s">
        <v>6105</v>
      </c>
      <c r="V463" s="1" t="s">
        <v>6199</v>
      </c>
      <c r="W463" s="27">
        <v>82.142857142857139</v>
      </c>
      <c r="X463" s="27">
        <v>35.714285714285715</v>
      </c>
      <c r="Y463" s="33">
        <f>AVERAGE(Table13[[#This Row],[Score 1]],Table13[[#This Row],[Score 2]])</f>
        <v>58.928571428571431</v>
      </c>
      <c r="Z463" s="1">
        <v>4</v>
      </c>
      <c r="AA463" s="1">
        <v>1</v>
      </c>
      <c r="AB463" s="22">
        <f>Table13[[#This Row],[Rank 1]]+Table13[[#This Row],[Rank 2]]</f>
        <v>5</v>
      </c>
      <c r="AC463" s="1" t="str">
        <f>IF(AND(Table13[[#This Row],[Average score]]&gt;75,Table13[[#This Row],[Total rank]]&gt;6.5),"Yes","No")</f>
        <v>No</v>
      </c>
      <c r="AD463" s="1" t="str">
        <f>IF(AND(Table13[[#This Row],[Average score]]&gt;80,Table13[[#This Row],[Total rank]]&gt;7.5),"Yes","No")</f>
        <v>No</v>
      </c>
      <c r="AF463" s="8">
        <v>46023</v>
      </c>
      <c r="AG463" s="1">
        <v>1</v>
      </c>
      <c r="AH463" s="27">
        <v>-24000</v>
      </c>
      <c r="AI463" s="29">
        <v>41476</v>
      </c>
      <c r="AJ463" s="30">
        <v>0</v>
      </c>
      <c r="AK463" s="30">
        <f>Table13[[#This Row],[Year 1]]</f>
        <v>-24000</v>
      </c>
      <c r="AL463" s="30">
        <f>Table13[[#This Row],[Year 2]]</f>
        <v>41476</v>
      </c>
      <c r="AM463" s="30">
        <f>Table13[[#This Row],[Year 3]]</f>
        <v>0</v>
      </c>
      <c r="AN463" s="1">
        <v>2</v>
      </c>
    </row>
    <row r="464" spans="1:40" hidden="1" x14ac:dyDescent="0.25">
      <c r="A464" s="1" t="s">
        <v>48</v>
      </c>
      <c r="B464" s="2" t="s">
        <v>2399</v>
      </c>
      <c r="C464" s="1" t="s">
        <v>50</v>
      </c>
      <c r="D464" s="1" t="s">
        <v>3248</v>
      </c>
      <c r="E464" s="1" t="s">
        <v>3249</v>
      </c>
      <c r="F464" s="22" t="s">
        <v>3</v>
      </c>
      <c r="G464" s="1" t="s">
        <v>6085</v>
      </c>
      <c r="H464" s="1" t="s">
        <v>6</v>
      </c>
      <c r="I464" s="1" t="s">
        <v>20</v>
      </c>
      <c r="J464" s="1" t="s">
        <v>25</v>
      </c>
      <c r="K464" s="1" t="s">
        <v>9</v>
      </c>
      <c r="L464" s="1" t="s">
        <v>78</v>
      </c>
      <c r="M464" s="11" t="s">
        <v>188</v>
      </c>
      <c r="N464" s="1" t="s">
        <v>6037</v>
      </c>
      <c r="O464" s="1" t="s">
        <v>18</v>
      </c>
      <c r="P464" s="1" t="s">
        <v>4670</v>
      </c>
      <c r="Q464" s="1" t="s">
        <v>5852</v>
      </c>
      <c r="R464" s="19" t="s">
        <v>4671</v>
      </c>
      <c r="S464" s="1" t="s">
        <v>6152</v>
      </c>
      <c r="T464" s="1" t="s">
        <v>6205</v>
      </c>
      <c r="U464" s="1" t="s">
        <v>6178</v>
      </c>
      <c r="V464" s="1" t="s">
        <v>6159</v>
      </c>
      <c r="W464" s="27">
        <v>50</v>
      </c>
      <c r="X464" s="27">
        <v>77.777777777777786</v>
      </c>
      <c r="Y464" s="33">
        <f>AVERAGE(Table13[[#This Row],[Score 1]],Table13[[#This Row],[Score 2]])</f>
        <v>63.888888888888893</v>
      </c>
      <c r="Z464" s="1">
        <v>2</v>
      </c>
      <c r="AA464" s="1">
        <v>5</v>
      </c>
      <c r="AB464" s="22">
        <f>Table13[[#This Row],[Rank 1]]+Table13[[#This Row],[Rank 2]]</f>
        <v>7</v>
      </c>
      <c r="AC464" s="1" t="str">
        <f>IF(AND(Table13[[#This Row],[Average score]]&gt;75,Table13[[#This Row],[Total rank]]&gt;6.5),"Yes","No")</f>
        <v>No</v>
      </c>
      <c r="AD464" s="1" t="str">
        <f>IF(AND(Table13[[#This Row],[Average score]]&gt;80,Table13[[#This Row],[Total rank]]&gt;7.5),"Yes","No")</f>
        <v>No</v>
      </c>
      <c r="AF464" s="8">
        <v>45896</v>
      </c>
      <c r="AG464" s="1">
        <v>2</v>
      </c>
      <c r="AH464" s="27">
        <v>108105</v>
      </c>
      <c r="AI464" s="27">
        <v>108105</v>
      </c>
      <c r="AJ464" s="30">
        <v>0</v>
      </c>
      <c r="AK464" s="30">
        <f>Table13[[#This Row],[Year 1]]</f>
        <v>108105</v>
      </c>
      <c r="AL464" s="30">
        <f>Table13[[#This Row],[Year 2]]</f>
        <v>108105</v>
      </c>
      <c r="AM464" s="30">
        <f>Table13[[#This Row],[Year 3]]</f>
        <v>0</v>
      </c>
      <c r="AN464" s="1">
        <v>3</v>
      </c>
    </row>
    <row r="465" spans="1:40" hidden="1" x14ac:dyDescent="0.25">
      <c r="A465" s="1" t="s">
        <v>48</v>
      </c>
      <c r="B465" s="1" t="s">
        <v>2400</v>
      </c>
      <c r="C465" s="1" t="s">
        <v>50</v>
      </c>
      <c r="D465" s="1" t="s">
        <v>3250</v>
      </c>
      <c r="E465" s="1" t="s">
        <v>3251</v>
      </c>
      <c r="F465" s="22" t="s">
        <v>3</v>
      </c>
      <c r="G465" s="1" t="s">
        <v>6085</v>
      </c>
      <c r="H465" s="1" t="s">
        <v>6</v>
      </c>
      <c r="I465" s="1" t="s">
        <v>24</v>
      </c>
      <c r="J465" s="1" t="s">
        <v>25</v>
      </c>
      <c r="K465" s="1" t="s">
        <v>9</v>
      </c>
      <c r="L465" s="1" t="s">
        <v>78</v>
      </c>
      <c r="M465" s="11" t="s">
        <v>188</v>
      </c>
      <c r="N465" s="1" t="s">
        <v>6037</v>
      </c>
      <c r="O465" s="1" t="s">
        <v>16</v>
      </c>
      <c r="P465" s="1" t="s">
        <v>60</v>
      </c>
      <c r="Q465" s="1" t="s">
        <v>5853</v>
      </c>
      <c r="R465" s="1" t="s">
        <v>4673</v>
      </c>
      <c r="S465" s="1" t="s">
        <v>6119</v>
      </c>
      <c r="T465" s="1" t="s">
        <v>6120</v>
      </c>
      <c r="U465" s="1" t="s">
        <v>6129</v>
      </c>
      <c r="V465" s="1" t="s">
        <v>6189</v>
      </c>
      <c r="W465" s="27">
        <v>67.857142857142861</v>
      </c>
      <c r="X465" s="27">
        <v>82.142857142857139</v>
      </c>
      <c r="Y465" s="33">
        <f>AVERAGE(Table13[[#This Row],[Score 1]],Table13[[#This Row],[Score 2]])</f>
        <v>75</v>
      </c>
      <c r="Z465" s="1">
        <v>4</v>
      </c>
      <c r="AA465" s="1">
        <v>4</v>
      </c>
      <c r="AB465" s="22">
        <f>Table13[[#This Row],[Rank 1]]+Table13[[#This Row],[Rank 2]]</f>
        <v>8</v>
      </c>
      <c r="AC465" s="1" t="str">
        <f>IF(AND(Table13[[#This Row],[Average score]]&gt;75,Table13[[#This Row],[Total rank]]&gt;6.5),"Yes","No")</f>
        <v>No</v>
      </c>
      <c r="AD465" s="1" t="str">
        <f>IF(AND(Table13[[#This Row],[Average score]]&gt;80,Table13[[#This Row],[Total rank]]&gt;7.5),"Yes","No")</f>
        <v>No</v>
      </c>
      <c r="AF465" s="8">
        <v>45691</v>
      </c>
      <c r="AG465" s="1">
        <v>1</v>
      </c>
      <c r="AH465" s="27">
        <v>155486</v>
      </c>
      <c r="AI465" s="30">
        <v>0</v>
      </c>
      <c r="AJ465" s="30">
        <v>0</v>
      </c>
      <c r="AK465" s="30">
        <f>Table13[[#This Row],[Year 1]]</f>
        <v>155486</v>
      </c>
      <c r="AL465" s="30">
        <f>Table13[[#This Row],[Year 2]]</f>
        <v>0</v>
      </c>
      <c r="AM465" s="30">
        <f>Table13[[#This Row],[Year 3]]</f>
        <v>0</v>
      </c>
      <c r="AN465" s="1">
        <v>3</v>
      </c>
    </row>
    <row r="466" spans="1:40" x14ac:dyDescent="0.25">
      <c r="A466" s="1" t="s">
        <v>48</v>
      </c>
      <c r="B466" s="1" t="s">
        <v>2401</v>
      </c>
      <c r="C466" s="1" t="s">
        <v>50</v>
      </c>
      <c r="D466" s="1" t="s">
        <v>3252</v>
      </c>
      <c r="E466" s="1" t="s">
        <v>3253</v>
      </c>
      <c r="F466" s="22" t="s">
        <v>3</v>
      </c>
      <c r="G466" s="1" t="s">
        <v>6085</v>
      </c>
      <c r="H466" s="1" t="s">
        <v>5</v>
      </c>
      <c r="I466" s="1" t="s">
        <v>20</v>
      </c>
      <c r="J466" s="1" t="s">
        <v>26</v>
      </c>
      <c r="K466" s="1" t="s">
        <v>9</v>
      </c>
      <c r="L466" s="1" t="s">
        <v>78</v>
      </c>
      <c r="M466" s="11" t="s">
        <v>2089</v>
      </c>
      <c r="N466" s="1" t="s">
        <v>6037</v>
      </c>
      <c r="O466" s="1" t="s">
        <v>13</v>
      </c>
      <c r="P466" s="1" t="s">
        <v>126</v>
      </c>
      <c r="Q466" s="1" t="s">
        <v>5380</v>
      </c>
      <c r="R466" s="1" t="s">
        <v>4675</v>
      </c>
      <c r="S466" s="1" t="s">
        <v>6070</v>
      </c>
      <c r="T466" s="1" t="s">
        <v>6071</v>
      </c>
      <c r="U466" s="1" t="s">
        <v>6088</v>
      </c>
      <c r="V466" s="1" t="s">
        <v>6171</v>
      </c>
      <c r="W466" s="27">
        <v>92.857142857142861</v>
      </c>
      <c r="X466" s="27">
        <v>96.428571428571431</v>
      </c>
      <c r="Y466" s="33">
        <f>AVERAGE(Table13[[#This Row],[Score 1]],Table13[[#This Row],[Score 2]])</f>
        <v>94.642857142857139</v>
      </c>
      <c r="Z466" s="1">
        <v>5</v>
      </c>
      <c r="AA466" s="1">
        <v>5</v>
      </c>
      <c r="AB466" s="22">
        <f>Table13[[#This Row],[Rank 1]]+Table13[[#This Row],[Rank 2]]</f>
        <v>10</v>
      </c>
      <c r="AC466" s="1" t="str">
        <f>IF(AND(Table13[[#This Row],[Average score]]&gt;75,Table13[[#This Row],[Total rank]]&gt;6.5),"Yes","No")</f>
        <v>Yes</v>
      </c>
      <c r="AD466" s="1" t="str">
        <f>IF(AND(Table13[[#This Row],[Average score]]&gt;80,Table13[[#This Row],[Total rank]]&gt;7.5),"Yes","No")</f>
        <v>Yes</v>
      </c>
      <c r="AE466" s="1" t="s">
        <v>6221</v>
      </c>
      <c r="AF466" s="8">
        <v>45870</v>
      </c>
      <c r="AG466" s="1">
        <v>3</v>
      </c>
      <c r="AH466" s="27">
        <v>203000</v>
      </c>
      <c r="AI466" s="27">
        <v>208000</v>
      </c>
      <c r="AJ466" s="27">
        <v>225000</v>
      </c>
      <c r="AK466" s="27">
        <f>Table13[[#This Row],[Year 1]]</f>
        <v>203000</v>
      </c>
      <c r="AL466" s="27">
        <f>Table13[[#This Row],[Year 2]]</f>
        <v>208000</v>
      </c>
      <c r="AM466" s="27">
        <f>Table13[[#This Row],[Year 3]]</f>
        <v>225000</v>
      </c>
      <c r="AN466" s="1">
        <v>3</v>
      </c>
    </row>
    <row r="467" spans="1:40" hidden="1" x14ac:dyDescent="0.25">
      <c r="A467" s="1" t="s">
        <v>48</v>
      </c>
      <c r="B467" s="1" t="s">
        <v>2402</v>
      </c>
      <c r="C467" s="1" t="s">
        <v>50</v>
      </c>
      <c r="D467" s="1" t="s">
        <v>3254</v>
      </c>
      <c r="E467" s="1" t="s">
        <v>3255</v>
      </c>
      <c r="F467" s="22" t="s">
        <v>3</v>
      </c>
      <c r="G467" s="1" t="s">
        <v>6085</v>
      </c>
      <c r="H467" s="1" t="s">
        <v>5</v>
      </c>
      <c r="I467" s="1" t="s">
        <v>20</v>
      </c>
      <c r="J467" s="1" t="s">
        <v>25</v>
      </c>
      <c r="K467" s="1" t="s">
        <v>9</v>
      </c>
      <c r="L467" s="1" t="s">
        <v>78</v>
      </c>
      <c r="M467" s="11" t="s">
        <v>188</v>
      </c>
      <c r="N467" s="1" t="s">
        <v>6037</v>
      </c>
      <c r="O467" s="1" t="s">
        <v>14</v>
      </c>
      <c r="P467" s="1" t="s">
        <v>107</v>
      </c>
      <c r="Q467" s="1" t="s">
        <v>5380</v>
      </c>
      <c r="R467" s="1" t="s">
        <v>4678</v>
      </c>
      <c r="S467" s="1" t="s">
        <v>6133</v>
      </c>
      <c r="T467" s="1" t="s">
        <v>6150</v>
      </c>
      <c r="U467" s="1" t="s">
        <v>6158</v>
      </c>
      <c r="V467" s="1" t="s">
        <v>6094</v>
      </c>
      <c r="W467" s="27">
        <v>92.857142857142861</v>
      </c>
      <c r="X467" s="27">
        <v>96.428571428571431</v>
      </c>
      <c r="Y467" s="33">
        <f>AVERAGE(Table13[[#This Row],[Score 1]],Table13[[#This Row],[Score 2]])</f>
        <v>94.642857142857139</v>
      </c>
      <c r="Z467" s="1">
        <v>4</v>
      </c>
      <c r="AA467" s="1">
        <v>5</v>
      </c>
      <c r="AB467" s="22">
        <f>Table13[[#This Row],[Rank 1]]+Table13[[#This Row],[Rank 2]]</f>
        <v>9</v>
      </c>
      <c r="AC467" s="1" t="str">
        <f>IF(AND(Table13[[#This Row],[Average score]]&gt;75,Table13[[#This Row],[Total rank]]&gt;6.5),"Yes","No")</f>
        <v>Yes</v>
      </c>
      <c r="AD467" s="1" t="str">
        <f>IF(AND(Table13[[#This Row],[Average score]]&gt;80,Table13[[#This Row],[Total rank]]&gt;7.5),"Yes","No")</f>
        <v>Yes</v>
      </c>
      <c r="AF467" s="8">
        <v>44958</v>
      </c>
      <c r="AG467" s="1">
        <v>2</v>
      </c>
      <c r="AH467" s="27">
        <v>350000</v>
      </c>
      <c r="AI467" s="27">
        <v>350000</v>
      </c>
      <c r="AJ467" s="30">
        <v>0</v>
      </c>
      <c r="AK467" s="30">
        <f>Table13[[#This Row],[Year 1]]</f>
        <v>350000</v>
      </c>
      <c r="AL467" s="30">
        <f>Table13[[#This Row],[Year 2]]</f>
        <v>350000</v>
      </c>
      <c r="AM467" s="30">
        <f>Table13[[#This Row],[Year 3]]</f>
        <v>0</v>
      </c>
      <c r="AN467" s="1">
        <v>3</v>
      </c>
    </row>
    <row r="468" spans="1:40" hidden="1" x14ac:dyDescent="0.25">
      <c r="A468" s="1" t="s">
        <v>48</v>
      </c>
      <c r="B468" s="1" t="s">
        <v>2403</v>
      </c>
      <c r="C468" s="1" t="s">
        <v>50</v>
      </c>
      <c r="D468" s="1" t="s">
        <v>3256</v>
      </c>
      <c r="E468" s="1" t="s">
        <v>3257</v>
      </c>
      <c r="F468" s="22" t="s">
        <v>3</v>
      </c>
      <c r="G468" s="1" t="s">
        <v>6085</v>
      </c>
      <c r="H468" s="1" t="s">
        <v>5</v>
      </c>
      <c r="I468" s="1" t="s">
        <v>20</v>
      </c>
      <c r="J468" s="1" t="s">
        <v>26</v>
      </c>
      <c r="K468" s="1" t="s">
        <v>9</v>
      </c>
      <c r="L468" s="1" t="s">
        <v>78</v>
      </c>
      <c r="M468" s="11" t="s">
        <v>188</v>
      </c>
      <c r="N468" s="1" t="s">
        <v>6037</v>
      </c>
      <c r="O468" s="1" t="s">
        <v>13</v>
      </c>
      <c r="P468" s="1" t="s">
        <v>4679</v>
      </c>
      <c r="Q468" s="1" t="s">
        <v>5854</v>
      </c>
      <c r="R468" s="1" t="s">
        <v>4680</v>
      </c>
      <c r="S468" s="1" t="s">
        <v>6064</v>
      </c>
      <c r="T468" s="1" t="s">
        <v>6065</v>
      </c>
      <c r="U468" s="1" t="s">
        <v>6102</v>
      </c>
      <c r="V468" s="1" t="s">
        <v>6197</v>
      </c>
      <c r="W468" s="27">
        <v>92.857142857142861</v>
      </c>
      <c r="X468" s="27">
        <v>89.285714285714292</v>
      </c>
      <c r="Y468" s="33">
        <f>AVERAGE(Table13[[#This Row],[Score 1]],Table13[[#This Row],[Score 2]])</f>
        <v>91.071428571428584</v>
      </c>
      <c r="Z468" s="1">
        <v>5</v>
      </c>
      <c r="AA468" s="1">
        <v>3</v>
      </c>
      <c r="AB468" s="22">
        <f>Table13[[#This Row],[Rank 1]]+Table13[[#This Row],[Rank 2]]</f>
        <v>8</v>
      </c>
      <c r="AC468" s="1" t="str">
        <f>IF(AND(Table13[[#This Row],[Average score]]&gt;75,Table13[[#This Row],[Total rank]]&gt;6.5),"Yes","No")</f>
        <v>Yes</v>
      </c>
      <c r="AD468" s="1" t="str">
        <f>IF(AND(Table13[[#This Row],[Average score]]&gt;80,Table13[[#This Row],[Total rank]]&gt;7.5),"Yes","No")</f>
        <v>Yes</v>
      </c>
      <c r="AF468" s="8">
        <v>46048</v>
      </c>
      <c r="AG468" s="1">
        <v>2</v>
      </c>
      <c r="AH468" s="27">
        <v>164180</v>
      </c>
      <c r="AI468" s="27">
        <v>164180</v>
      </c>
      <c r="AJ468" s="30">
        <v>0</v>
      </c>
      <c r="AK468" s="30">
        <f>Table13[[#This Row],[Year 1]]</f>
        <v>164180</v>
      </c>
      <c r="AL468" s="30">
        <f>Table13[[#This Row],[Year 2]]</f>
        <v>164180</v>
      </c>
      <c r="AM468" s="30">
        <f>Table13[[#This Row],[Year 3]]</f>
        <v>0</v>
      </c>
      <c r="AN468" s="1">
        <v>3</v>
      </c>
    </row>
    <row r="469" spans="1:40" hidden="1" x14ac:dyDescent="0.25">
      <c r="A469" s="1" t="s">
        <v>48</v>
      </c>
      <c r="B469" s="1" t="s">
        <v>2404</v>
      </c>
      <c r="C469" s="1" t="s">
        <v>50</v>
      </c>
      <c r="D469" s="1" t="s">
        <v>3258</v>
      </c>
      <c r="E469" s="1" t="s">
        <v>3259</v>
      </c>
      <c r="F469" s="22" t="s">
        <v>3</v>
      </c>
      <c r="G469" s="1" t="s">
        <v>6085</v>
      </c>
      <c r="H469" s="1" t="s">
        <v>6</v>
      </c>
      <c r="I469" s="1" t="s">
        <v>24</v>
      </c>
      <c r="J469" s="1" t="s">
        <v>25</v>
      </c>
      <c r="K469" s="1" t="s">
        <v>9</v>
      </c>
      <c r="L469" s="1" t="s">
        <v>78</v>
      </c>
      <c r="M469" s="11" t="s">
        <v>188</v>
      </c>
      <c r="N469" s="1" t="s">
        <v>6037</v>
      </c>
      <c r="O469" s="1" t="s">
        <v>19</v>
      </c>
      <c r="P469" s="1" t="s">
        <v>126</v>
      </c>
      <c r="Q469" s="1" t="s">
        <v>5855</v>
      </c>
      <c r="R469" s="1" t="s">
        <v>4682</v>
      </c>
      <c r="S469" s="1" t="s">
        <v>6144</v>
      </c>
      <c r="T469" s="1" t="s">
        <v>6143</v>
      </c>
      <c r="U469" s="1" t="s">
        <v>6161</v>
      </c>
      <c r="V469" s="1" t="s">
        <v>6183</v>
      </c>
      <c r="W469" s="27">
        <v>75</v>
      </c>
      <c r="X469" s="27">
        <v>89.285714285714292</v>
      </c>
      <c r="Y469" s="33">
        <f>AVERAGE(Table13[[#This Row],[Score 1]],Table13[[#This Row],[Score 2]])</f>
        <v>82.142857142857139</v>
      </c>
      <c r="Z469" s="1">
        <v>4</v>
      </c>
      <c r="AA469" s="1">
        <v>5</v>
      </c>
      <c r="AB469" s="22">
        <f>Table13[[#This Row],[Rank 1]]+Table13[[#This Row],[Rank 2]]</f>
        <v>9</v>
      </c>
      <c r="AC469" s="1" t="str">
        <f>IF(AND(Table13[[#This Row],[Average score]]&gt;75,Table13[[#This Row],[Total rank]]&gt;6.5),"Yes","No")</f>
        <v>Yes</v>
      </c>
      <c r="AD469" s="1" t="str">
        <f>IF(AND(Table13[[#This Row],[Average score]]&gt;80,Table13[[#This Row],[Total rank]]&gt;7.5),"Yes","No")</f>
        <v>Yes</v>
      </c>
      <c r="AF469" s="8">
        <v>45706</v>
      </c>
      <c r="AG469" s="1">
        <v>2</v>
      </c>
      <c r="AH469" s="27">
        <v>56000</v>
      </c>
      <c r="AI469" s="27">
        <v>91000</v>
      </c>
      <c r="AJ469" s="30">
        <v>0</v>
      </c>
      <c r="AK469" s="30">
        <f>Table13[[#This Row],[Year 1]]</f>
        <v>56000</v>
      </c>
      <c r="AL469" s="30">
        <f>Table13[[#This Row],[Year 2]]</f>
        <v>91000</v>
      </c>
      <c r="AM469" s="30">
        <f>Table13[[#This Row],[Year 3]]</f>
        <v>0</v>
      </c>
      <c r="AN469" s="1">
        <v>3</v>
      </c>
    </row>
    <row r="470" spans="1:40" hidden="1" x14ac:dyDescent="0.25">
      <c r="A470" s="1" t="s">
        <v>48</v>
      </c>
      <c r="B470" s="1" t="s">
        <v>2405</v>
      </c>
      <c r="C470" s="1" t="s">
        <v>50</v>
      </c>
      <c r="D470" s="1" t="s">
        <v>3260</v>
      </c>
      <c r="E470" s="1" t="s">
        <v>3261</v>
      </c>
      <c r="F470" s="22" t="s">
        <v>3</v>
      </c>
      <c r="G470" s="1" t="s">
        <v>6085</v>
      </c>
      <c r="H470" s="1" t="s">
        <v>5</v>
      </c>
      <c r="I470" s="1" t="s">
        <v>20</v>
      </c>
      <c r="J470" s="1" t="s">
        <v>26</v>
      </c>
      <c r="K470" s="1" t="s">
        <v>9</v>
      </c>
      <c r="L470" s="1" t="s">
        <v>78</v>
      </c>
      <c r="M470" s="11" t="s">
        <v>188</v>
      </c>
      <c r="N470" s="1" t="s">
        <v>6037</v>
      </c>
      <c r="O470" s="1" t="s">
        <v>19</v>
      </c>
      <c r="P470" s="1" t="s">
        <v>4684</v>
      </c>
      <c r="Q470" s="1" t="s">
        <v>5856</v>
      </c>
      <c r="R470" s="1" t="s">
        <v>4685</v>
      </c>
      <c r="S470" s="1" t="s">
        <v>6137</v>
      </c>
      <c r="T470" s="1" t="s">
        <v>6138</v>
      </c>
      <c r="U470" s="1" t="s">
        <v>6160</v>
      </c>
      <c r="V470" s="1" t="s">
        <v>6203</v>
      </c>
      <c r="W470" s="27">
        <v>75</v>
      </c>
      <c r="X470" s="27">
        <v>60.714285714285708</v>
      </c>
      <c r="Y470" s="33">
        <f>AVERAGE(Table13[[#This Row],[Score 1]],Table13[[#This Row],[Score 2]])</f>
        <v>67.857142857142861</v>
      </c>
      <c r="Z470" s="1">
        <v>3</v>
      </c>
      <c r="AA470" s="1">
        <v>2</v>
      </c>
      <c r="AB470" s="22">
        <f>Table13[[#This Row],[Rank 1]]+Table13[[#This Row],[Rank 2]]</f>
        <v>5</v>
      </c>
      <c r="AC470" s="1" t="str">
        <f>IF(AND(Table13[[#This Row],[Average score]]&gt;75,Table13[[#This Row],[Total rank]]&gt;6.5),"Yes","No")</f>
        <v>No</v>
      </c>
      <c r="AD470" s="1" t="str">
        <f>IF(AND(Table13[[#This Row],[Average score]]&gt;80,Table13[[#This Row],[Total rank]]&gt;7.5),"Yes","No")</f>
        <v>No</v>
      </c>
      <c r="AF470" s="8">
        <v>46049</v>
      </c>
      <c r="AG470" s="1">
        <v>3</v>
      </c>
      <c r="AH470" s="27">
        <v>50000</v>
      </c>
      <c r="AI470" s="27">
        <v>94950</v>
      </c>
      <c r="AJ470" s="27">
        <v>54450</v>
      </c>
      <c r="AK470" s="27">
        <f>Table13[[#This Row],[Year 1]]</f>
        <v>50000</v>
      </c>
      <c r="AL470" s="27">
        <f>Table13[[#This Row],[Year 2]]</f>
        <v>94950</v>
      </c>
      <c r="AM470" s="27">
        <f>Table13[[#This Row],[Year 3]]</f>
        <v>54450</v>
      </c>
      <c r="AN470" s="1">
        <v>3</v>
      </c>
    </row>
    <row r="471" spans="1:40" hidden="1" x14ac:dyDescent="0.25">
      <c r="A471" s="1" t="s">
        <v>48</v>
      </c>
      <c r="B471" s="2" t="s">
        <v>2238</v>
      </c>
      <c r="C471" s="1" t="s">
        <v>50</v>
      </c>
      <c r="D471" s="1" t="s">
        <v>2926</v>
      </c>
      <c r="E471" s="1" t="s">
        <v>2927</v>
      </c>
      <c r="F471" s="22" t="s">
        <v>3</v>
      </c>
      <c r="G471" s="1" t="s">
        <v>6085</v>
      </c>
      <c r="H471" s="1" t="s">
        <v>6</v>
      </c>
      <c r="I471" s="1" t="s">
        <v>24</v>
      </c>
      <c r="J471" s="1" t="s">
        <v>25</v>
      </c>
      <c r="K471" s="1" t="s">
        <v>9</v>
      </c>
      <c r="L471" s="1" t="s">
        <v>53</v>
      </c>
      <c r="M471" s="11" t="s">
        <v>2091</v>
      </c>
      <c r="N471" s="1" t="s">
        <v>6037</v>
      </c>
      <c r="O471" s="1" t="s">
        <v>14</v>
      </c>
      <c r="P471" s="1" t="s">
        <v>4286</v>
      </c>
      <c r="Q471" s="1" t="s">
        <v>5367</v>
      </c>
      <c r="R471" s="1" t="s">
        <v>4287</v>
      </c>
      <c r="S471" s="1" t="s">
        <v>6135</v>
      </c>
      <c r="T471" s="1" t="s">
        <v>6136</v>
      </c>
      <c r="U471" s="1" t="s">
        <v>6201</v>
      </c>
      <c r="V471" s="1" t="s">
        <v>6163</v>
      </c>
      <c r="W471" s="27">
        <v>46.428571428571431</v>
      </c>
      <c r="X471" s="27">
        <v>57.142857142857139</v>
      </c>
      <c r="Y471" s="33">
        <f>AVERAGE(Table13[[#This Row],[Score 1]],Table13[[#This Row],[Score 2]])</f>
        <v>51.785714285714285</v>
      </c>
      <c r="Z471" s="1">
        <v>1</v>
      </c>
      <c r="AA471" s="1">
        <v>1</v>
      </c>
      <c r="AB471" s="22">
        <f>Table13[[#This Row],[Rank 1]]+Table13[[#This Row],[Rank 2]]</f>
        <v>2</v>
      </c>
      <c r="AC471" s="1" t="str">
        <f>IF(AND(Table13[[#This Row],[Average score]]&gt;75,Table13[[#This Row],[Total rank]]&gt;6.5),"Yes","No")</f>
        <v>No</v>
      </c>
      <c r="AD471" s="1" t="str">
        <f>IF(AND(Table13[[#This Row],[Average score]]&gt;80,Table13[[#This Row],[Total rank]]&gt;7.5),"Yes","No")</f>
        <v>No</v>
      </c>
      <c r="AF471" s="8">
        <v>46069</v>
      </c>
      <c r="AG471" s="1">
        <v>2</v>
      </c>
      <c r="AH471" s="27">
        <v>131464</v>
      </c>
      <c r="AI471" s="27">
        <v>114628.8</v>
      </c>
      <c r="AJ471" s="30">
        <v>0</v>
      </c>
      <c r="AK471" s="30">
        <f>Table13[[#This Row],[Year 1]]</f>
        <v>131464</v>
      </c>
      <c r="AL471" s="30">
        <f>Table13[[#This Row],[Year 2]]</f>
        <v>114628.8</v>
      </c>
      <c r="AM471" s="30">
        <f>Table13[[#This Row],[Year 3]]</f>
        <v>0</v>
      </c>
      <c r="AN471" s="1">
        <v>3</v>
      </c>
    </row>
    <row r="472" spans="1:40" hidden="1" x14ac:dyDescent="0.25">
      <c r="A472" s="1" t="s">
        <v>48</v>
      </c>
      <c r="B472" s="25" t="s">
        <v>2412</v>
      </c>
      <c r="C472" s="1" t="s">
        <v>50</v>
      </c>
      <c r="D472" s="1" t="s">
        <v>3274</v>
      </c>
      <c r="E472" s="1" t="s">
        <v>3275</v>
      </c>
      <c r="F472" s="22" t="s">
        <v>3</v>
      </c>
      <c r="G472" s="1" t="s">
        <v>6085</v>
      </c>
      <c r="H472" s="1" t="s">
        <v>5</v>
      </c>
      <c r="I472" s="1" t="s">
        <v>24</v>
      </c>
      <c r="J472" s="1" t="s">
        <v>26</v>
      </c>
      <c r="K472" s="1" t="s">
        <v>9</v>
      </c>
      <c r="L472" s="1" t="s">
        <v>78</v>
      </c>
      <c r="M472" s="11" t="s">
        <v>188</v>
      </c>
      <c r="N472" s="1" t="s">
        <v>6037</v>
      </c>
      <c r="O472" s="1" t="s">
        <v>10</v>
      </c>
      <c r="P472" s="1" t="s">
        <v>107</v>
      </c>
      <c r="Q472" s="17" t="s">
        <v>5861</v>
      </c>
      <c r="R472" s="1" t="s">
        <v>4703</v>
      </c>
      <c r="S472" s="1" t="s">
        <v>6043</v>
      </c>
      <c r="T472" s="1" t="s">
        <v>6044</v>
      </c>
      <c r="U472" s="1" t="s">
        <v>6091</v>
      </c>
      <c r="V472" s="1" t="s">
        <v>6175</v>
      </c>
      <c r="W472" s="27">
        <v>75</v>
      </c>
      <c r="X472" s="27">
        <v>78.571428571428569</v>
      </c>
      <c r="Y472" s="33">
        <f>AVERAGE(Table13[[#This Row],[Score 1]],Table13[[#This Row],[Score 2]])</f>
        <v>76.785714285714278</v>
      </c>
      <c r="Z472" s="1">
        <v>4</v>
      </c>
      <c r="AA472" s="1">
        <v>4</v>
      </c>
      <c r="AB472" s="22">
        <f>Table13[[#This Row],[Rank 1]]+Table13[[#This Row],[Rank 2]]</f>
        <v>8</v>
      </c>
      <c r="AC472" s="1" t="str">
        <f>IF(AND(Table13[[#This Row],[Average score]]&gt;75,Table13[[#This Row],[Total rank]]&gt;6.5),"Yes","No")</f>
        <v>Yes</v>
      </c>
      <c r="AD472" s="1" t="str">
        <f>IF(AND(Table13[[#This Row],[Average score]]&gt;80,Table13[[#This Row],[Total rank]]&gt;7.5),"Yes","No")</f>
        <v>No</v>
      </c>
      <c r="AF472" s="8">
        <v>46062</v>
      </c>
      <c r="AG472" s="1">
        <v>3</v>
      </c>
      <c r="AH472" s="27">
        <v>285600</v>
      </c>
      <c r="AI472" s="27">
        <v>253975</v>
      </c>
      <c r="AJ472" s="27">
        <v>266839.24</v>
      </c>
      <c r="AK472" s="27">
        <f>Table13[[#This Row],[Year 1]]</f>
        <v>285600</v>
      </c>
      <c r="AL472" s="27">
        <f>Table13[[#This Row],[Year 2]]</f>
        <v>253975</v>
      </c>
      <c r="AM472" s="27">
        <f>Table13[[#This Row],[Year 3]]</f>
        <v>266839.24</v>
      </c>
      <c r="AN472" s="1">
        <v>3</v>
      </c>
    </row>
    <row r="473" spans="1:40" hidden="1" x14ac:dyDescent="0.25">
      <c r="A473" s="1" t="s">
        <v>48</v>
      </c>
      <c r="B473" s="2" t="s">
        <v>2244</v>
      </c>
      <c r="C473" s="1" t="s">
        <v>50</v>
      </c>
      <c r="D473" s="1" t="s">
        <v>2938</v>
      </c>
      <c r="E473" s="1" t="s">
        <v>2939</v>
      </c>
      <c r="F473" s="22" t="s">
        <v>3</v>
      </c>
      <c r="G473" s="1" t="s">
        <v>6085</v>
      </c>
      <c r="H473" s="1" t="s">
        <v>6</v>
      </c>
      <c r="I473" s="1" t="s">
        <v>20</v>
      </c>
      <c r="J473" s="1" t="s">
        <v>25</v>
      </c>
      <c r="K473" s="1" t="s">
        <v>9</v>
      </c>
      <c r="L473" s="1" t="s">
        <v>53</v>
      </c>
      <c r="M473" s="11" t="s">
        <v>188</v>
      </c>
      <c r="N473" s="1" t="s">
        <v>6037</v>
      </c>
      <c r="O473" s="1" t="s">
        <v>14</v>
      </c>
      <c r="P473" s="1" t="s">
        <v>247</v>
      </c>
      <c r="Q473" s="1" t="s">
        <v>5728</v>
      </c>
      <c r="R473" s="1" t="s">
        <v>4300</v>
      </c>
      <c r="S473" s="1" t="s">
        <v>6135</v>
      </c>
      <c r="T473" s="1" t="s">
        <v>6136</v>
      </c>
      <c r="U473" s="1" t="s">
        <v>6201</v>
      </c>
      <c r="V473" s="1" t="s">
        <v>6163</v>
      </c>
      <c r="W473" s="27">
        <v>82.142857142857139</v>
      </c>
      <c r="X473" s="27">
        <v>71.428571428571431</v>
      </c>
      <c r="Y473" s="33">
        <f>AVERAGE(Table13[[#This Row],[Score 1]],Table13[[#This Row],[Score 2]])</f>
        <v>76.785714285714278</v>
      </c>
      <c r="Z473" s="1">
        <v>4</v>
      </c>
      <c r="AA473" s="1">
        <v>2</v>
      </c>
      <c r="AB473" s="22">
        <f>Table13[[#This Row],[Rank 1]]+Table13[[#This Row],[Rank 2]]</f>
        <v>6</v>
      </c>
      <c r="AC473" s="1" t="str">
        <f>IF(AND(Table13[[#This Row],[Average score]]&gt;75,Table13[[#This Row],[Total rank]]&gt;6.5),"Yes","No")</f>
        <v>No</v>
      </c>
      <c r="AD473" s="1" t="str">
        <f>IF(AND(Table13[[#This Row],[Average score]]&gt;80,Table13[[#This Row],[Total rank]]&gt;7.5),"Yes","No")</f>
        <v>No</v>
      </c>
      <c r="AF473" s="8">
        <v>46055</v>
      </c>
      <c r="AG473" s="1">
        <v>1</v>
      </c>
      <c r="AH473" s="27">
        <v>29456</v>
      </c>
      <c r="AI473" s="30">
        <v>0</v>
      </c>
      <c r="AJ473" s="30">
        <v>0</v>
      </c>
      <c r="AK473" s="30">
        <f>Table13[[#This Row],[Year 1]]</f>
        <v>29456</v>
      </c>
      <c r="AL473" s="30">
        <f>Table13[[#This Row],[Year 2]]</f>
        <v>0</v>
      </c>
      <c r="AM473" s="30">
        <f>Table13[[#This Row],[Year 3]]</f>
        <v>0</v>
      </c>
      <c r="AN473" s="1">
        <v>2</v>
      </c>
    </row>
    <row r="474" spans="1:40" hidden="1" x14ac:dyDescent="0.25">
      <c r="A474" s="1" t="s">
        <v>48</v>
      </c>
      <c r="B474" s="2" t="s">
        <v>2411</v>
      </c>
      <c r="C474" s="1" t="s">
        <v>50</v>
      </c>
      <c r="D474" s="1" t="s">
        <v>3272</v>
      </c>
      <c r="E474" s="1" t="s">
        <v>3273</v>
      </c>
      <c r="F474" s="22" t="s">
        <v>3</v>
      </c>
      <c r="G474" s="1" t="s">
        <v>6085</v>
      </c>
      <c r="H474" s="1" t="s">
        <v>6</v>
      </c>
      <c r="I474" s="1" t="s">
        <v>24</v>
      </c>
      <c r="J474" s="1" t="s">
        <v>25</v>
      </c>
      <c r="K474" s="1" t="s">
        <v>9</v>
      </c>
      <c r="L474" s="1" t="s">
        <v>78</v>
      </c>
      <c r="M474" s="11" t="s">
        <v>188</v>
      </c>
      <c r="N474" s="1" t="s">
        <v>6037</v>
      </c>
      <c r="O474" s="1" t="s">
        <v>16</v>
      </c>
      <c r="P474" s="1" t="s">
        <v>162</v>
      </c>
      <c r="Q474" s="1" t="s">
        <v>5281</v>
      </c>
      <c r="R474" s="1" t="s">
        <v>4702</v>
      </c>
      <c r="S474" s="1" t="s">
        <v>6122</v>
      </c>
      <c r="T474" s="1" t="s">
        <v>6121</v>
      </c>
      <c r="U474" s="1" t="s">
        <v>6122</v>
      </c>
      <c r="V474" s="1" t="s">
        <v>6180</v>
      </c>
      <c r="W474" s="27">
        <v>75</v>
      </c>
      <c r="X474" s="27">
        <v>71.428571428571431</v>
      </c>
      <c r="Y474" s="33">
        <f>AVERAGE(Table13[[#This Row],[Score 1]],Table13[[#This Row],[Score 2]])</f>
        <v>73.214285714285722</v>
      </c>
      <c r="Z474" s="1">
        <v>3</v>
      </c>
      <c r="AA474" s="1">
        <v>4</v>
      </c>
      <c r="AB474" s="22">
        <f>Table13[[#This Row],[Rank 1]]+Table13[[#This Row],[Rank 2]]</f>
        <v>7</v>
      </c>
      <c r="AC474" s="1" t="str">
        <f>IF(AND(Table13[[#This Row],[Average score]]&gt;75,Table13[[#This Row],[Total rank]]&gt;6.5),"Yes","No")</f>
        <v>No</v>
      </c>
      <c r="AD474" s="1" t="str">
        <f>IF(AND(Table13[[#This Row],[Average score]]&gt;80,Table13[[#This Row],[Total rank]]&gt;7.5),"Yes","No")</f>
        <v>No</v>
      </c>
      <c r="AF474" s="8">
        <v>45658</v>
      </c>
      <c r="AG474" s="1">
        <v>2</v>
      </c>
      <c r="AH474" s="27">
        <v>132000</v>
      </c>
      <c r="AI474" s="27">
        <v>27000</v>
      </c>
      <c r="AJ474" s="30">
        <v>0</v>
      </c>
      <c r="AK474" s="30">
        <f>Table13[[#This Row],[Year 1]]</f>
        <v>132000</v>
      </c>
      <c r="AL474" s="30">
        <f>Table13[[#This Row],[Year 2]]</f>
        <v>27000</v>
      </c>
      <c r="AM474" s="30">
        <f>Table13[[#This Row],[Year 3]]</f>
        <v>0</v>
      </c>
      <c r="AN474" s="1">
        <v>3</v>
      </c>
    </row>
    <row r="475" spans="1:40" hidden="1" x14ac:dyDescent="0.25">
      <c r="A475" s="1" t="s">
        <v>48</v>
      </c>
      <c r="B475" s="2" t="s">
        <v>2322</v>
      </c>
      <c r="C475" s="1" t="s">
        <v>50</v>
      </c>
      <c r="D475" s="1" t="s">
        <v>3094</v>
      </c>
      <c r="E475" s="1" t="s">
        <v>3095</v>
      </c>
      <c r="F475" s="22" t="s">
        <v>3</v>
      </c>
      <c r="G475" s="1" t="s">
        <v>6085</v>
      </c>
      <c r="H475" s="1" t="s">
        <v>5</v>
      </c>
      <c r="I475" s="1" t="s">
        <v>24</v>
      </c>
      <c r="J475" s="1" t="s">
        <v>25</v>
      </c>
      <c r="K475" s="1" t="s">
        <v>9</v>
      </c>
      <c r="L475" s="1" t="s">
        <v>53</v>
      </c>
      <c r="M475" s="11" t="s">
        <v>188</v>
      </c>
      <c r="N475" s="1" t="s">
        <v>6037</v>
      </c>
      <c r="O475" s="1" t="s">
        <v>14</v>
      </c>
      <c r="P475" s="1" t="s">
        <v>66</v>
      </c>
      <c r="Q475" s="1" t="s">
        <v>5792</v>
      </c>
      <c r="R475" s="1" t="s">
        <v>4485</v>
      </c>
      <c r="S475" s="1" t="s">
        <v>6135</v>
      </c>
      <c r="T475" s="1" t="s">
        <v>6136</v>
      </c>
      <c r="U475" s="1" t="s">
        <v>6201</v>
      </c>
      <c r="V475" s="1" t="s">
        <v>6163</v>
      </c>
      <c r="W475" s="27">
        <v>85.714285714285708</v>
      </c>
      <c r="X475" s="27">
        <v>92.857142857142861</v>
      </c>
      <c r="Y475" s="33">
        <f>AVERAGE(Table13[[#This Row],[Score 1]],Table13[[#This Row],[Score 2]])</f>
        <v>89.285714285714278</v>
      </c>
      <c r="Z475" s="1">
        <v>4</v>
      </c>
      <c r="AA475" s="1">
        <v>5</v>
      </c>
      <c r="AB475" s="22">
        <f>Table13[[#This Row],[Rank 1]]+Table13[[#This Row],[Rank 2]]</f>
        <v>9</v>
      </c>
      <c r="AC475" s="1" t="str">
        <f>IF(AND(Table13[[#This Row],[Average score]]&gt;75,Table13[[#This Row],[Total rank]]&gt;6.5),"Yes","No")</f>
        <v>Yes</v>
      </c>
      <c r="AD475" s="1" t="str">
        <f>IF(AND(Table13[[#This Row],[Average score]]&gt;80,Table13[[#This Row],[Total rank]]&gt;7.5),"Yes","No")</f>
        <v>Yes</v>
      </c>
      <c r="AF475" s="8">
        <v>46023</v>
      </c>
      <c r="AG475" s="1">
        <v>3</v>
      </c>
      <c r="AH475" s="27">
        <v>52750</v>
      </c>
      <c r="AI475" s="27">
        <v>54800</v>
      </c>
      <c r="AJ475" s="27">
        <v>264500</v>
      </c>
      <c r="AK475" s="27">
        <f>Table13[[#This Row],[Year 1]]</f>
        <v>52750</v>
      </c>
      <c r="AL475" s="27">
        <f>Table13[[#This Row],[Year 2]]</f>
        <v>54800</v>
      </c>
      <c r="AM475" s="27">
        <f>Table13[[#This Row],[Year 3]]</f>
        <v>264500</v>
      </c>
      <c r="AN475" s="1">
        <v>4</v>
      </c>
    </row>
    <row r="476" spans="1:40" hidden="1" x14ac:dyDescent="0.25">
      <c r="A476" s="1" t="s">
        <v>48</v>
      </c>
      <c r="B476" s="25" t="s">
        <v>2414</v>
      </c>
      <c r="C476" s="1" t="s">
        <v>50</v>
      </c>
      <c r="D476" s="1" t="s">
        <v>3278</v>
      </c>
      <c r="E476" s="1" t="s">
        <v>3279</v>
      </c>
      <c r="F476" s="22" t="s">
        <v>3</v>
      </c>
      <c r="G476" s="1" t="s">
        <v>6085</v>
      </c>
      <c r="H476" s="1" t="s">
        <v>5</v>
      </c>
      <c r="I476" s="1" t="s">
        <v>20</v>
      </c>
      <c r="J476" s="1" t="s">
        <v>25</v>
      </c>
      <c r="K476" s="1" t="s">
        <v>9</v>
      </c>
      <c r="L476" s="1" t="s">
        <v>78</v>
      </c>
      <c r="M476" s="1" t="s">
        <v>5248</v>
      </c>
      <c r="N476" s="1" t="s">
        <v>6037</v>
      </c>
      <c r="O476" s="1" t="s">
        <v>13</v>
      </c>
      <c r="P476" s="1" t="s">
        <v>247</v>
      </c>
      <c r="Q476" s="1" t="s">
        <v>5863</v>
      </c>
      <c r="R476" s="1" t="s">
        <v>4709</v>
      </c>
      <c r="S476" s="1" t="s">
        <v>6075</v>
      </c>
      <c r="T476" s="1" t="s">
        <v>6074</v>
      </c>
      <c r="U476" s="1" t="s">
        <v>6093</v>
      </c>
      <c r="V476" s="1" t="s">
        <v>6181</v>
      </c>
      <c r="W476" s="27">
        <v>85.714285714285708</v>
      </c>
      <c r="X476" s="27">
        <v>71.428571428571431</v>
      </c>
      <c r="Y476" s="33">
        <f>AVERAGE(Table13[[#This Row],[Score 1]],Table13[[#This Row],[Score 2]])</f>
        <v>78.571428571428569</v>
      </c>
      <c r="Z476" s="1">
        <v>3</v>
      </c>
      <c r="AA476" s="1">
        <v>3</v>
      </c>
      <c r="AB476" s="22">
        <f>Table13[[#This Row],[Rank 1]]+Table13[[#This Row],[Rank 2]]</f>
        <v>6</v>
      </c>
      <c r="AC476" s="1" t="str">
        <f>IF(AND(Table13[[#This Row],[Average score]]&gt;75,Table13[[#This Row],[Total rank]]&gt;6.5),"Yes","No")</f>
        <v>No</v>
      </c>
      <c r="AD476" s="1" t="str">
        <f>IF(AND(Table13[[#This Row],[Average score]]&gt;80,Table13[[#This Row],[Total rank]]&gt;7.5),"Yes","No")</f>
        <v>No</v>
      </c>
      <c r="AF476" s="8">
        <v>46034</v>
      </c>
      <c r="AG476" s="1">
        <v>3</v>
      </c>
      <c r="AH476" s="27">
        <v>290030.05</v>
      </c>
      <c r="AI476" s="27">
        <v>296157.46999999997</v>
      </c>
      <c r="AJ476" s="27">
        <v>328499.73</v>
      </c>
      <c r="AK476" s="27">
        <f>Table13[[#This Row],[Year 1]]</f>
        <v>290030.05</v>
      </c>
      <c r="AL476" s="27">
        <f>Table13[[#This Row],[Year 2]]</f>
        <v>296157.46999999997</v>
      </c>
      <c r="AM476" s="27">
        <f>Table13[[#This Row],[Year 3]]</f>
        <v>328499.73</v>
      </c>
      <c r="AN476" s="1">
        <v>3</v>
      </c>
    </row>
    <row r="477" spans="1:40" hidden="1" x14ac:dyDescent="0.25">
      <c r="A477" s="1" t="s">
        <v>48</v>
      </c>
      <c r="B477" s="2" t="s">
        <v>2390</v>
      </c>
      <c r="C477" s="1" t="s">
        <v>50</v>
      </c>
      <c r="D477" s="1" t="s">
        <v>3230</v>
      </c>
      <c r="E477" s="1" t="s">
        <v>3231</v>
      </c>
      <c r="F477" s="22" t="s">
        <v>3</v>
      </c>
      <c r="G477" s="1" t="s">
        <v>6085</v>
      </c>
      <c r="H477" s="1" t="s">
        <v>5</v>
      </c>
      <c r="I477" s="1" t="s">
        <v>20</v>
      </c>
      <c r="J477" s="1" t="s">
        <v>25</v>
      </c>
      <c r="K477" s="1" t="s">
        <v>9</v>
      </c>
      <c r="L477" s="1" t="s">
        <v>78</v>
      </c>
      <c r="M477" s="11" t="s">
        <v>188</v>
      </c>
      <c r="N477" s="1" t="s">
        <v>6037</v>
      </c>
      <c r="O477" s="1" t="s">
        <v>14</v>
      </c>
      <c r="P477" s="1" t="s">
        <v>66</v>
      </c>
      <c r="Q477" s="1" t="s">
        <v>5846</v>
      </c>
      <c r="R477" s="1" t="s">
        <v>4647</v>
      </c>
      <c r="S477" s="1" t="s">
        <v>6135</v>
      </c>
      <c r="T477" s="1" t="s">
        <v>6136</v>
      </c>
      <c r="U477" s="1" t="s">
        <v>6201</v>
      </c>
      <c r="V477" s="1" t="s">
        <v>6163</v>
      </c>
      <c r="W477" s="27">
        <v>67.857142857142861</v>
      </c>
      <c r="X477" s="27">
        <v>89.285714285714292</v>
      </c>
      <c r="Y477" s="33">
        <f>AVERAGE(Table13[[#This Row],[Score 1]],Table13[[#This Row],[Score 2]])</f>
        <v>78.571428571428584</v>
      </c>
      <c r="Z477" s="1">
        <v>3</v>
      </c>
      <c r="AA477" s="1">
        <v>4</v>
      </c>
      <c r="AB477" s="22">
        <f>Table13[[#This Row],[Rank 1]]+Table13[[#This Row],[Rank 2]]</f>
        <v>7</v>
      </c>
      <c r="AC477" s="1" t="str">
        <f>IF(AND(Table13[[#This Row],[Average score]]&gt;75,Table13[[#This Row],[Total rank]]&gt;6.5),"Yes","No")</f>
        <v>Yes</v>
      </c>
      <c r="AD477" s="1" t="str">
        <f>IF(AND(Table13[[#This Row],[Average score]]&gt;80,Table13[[#This Row],[Total rank]]&gt;7.5),"Yes","No")</f>
        <v>No</v>
      </c>
      <c r="AF477" s="8">
        <v>46061</v>
      </c>
      <c r="AG477" s="1">
        <v>3</v>
      </c>
      <c r="AH477" s="27">
        <v>46600</v>
      </c>
      <c r="AI477" s="27">
        <v>46600</v>
      </c>
      <c r="AJ477" s="27">
        <v>46600</v>
      </c>
      <c r="AK477" s="27">
        <f>Table13[[#This Row],[Year 1]]</f>
        <v>46600</v>
      </c>
      <c r="AL477" s="27">
        <f>Table13[[#This Row],[Year 2]]</f>
        <v>46600</v>
      </c>
      <c r="AM477" s="27">
        <f>Table13[[#This Row],[Year 3]]</f>
        <v>46600</v>
      </c>
      <c r="AN477" s="1">
        <v>3</v>
      </c>
    </row>
    <row r="478" spans="1:40" hidden="1" x14ac:dyDescent="0.25">
      <c r="A478" s="1" t="s">
        <v>48</v>
      </c>
      <c r="B478" s="2" t="s">
        <v>2425</v>
      </c>
      <c r="C478" s="1" t="s">
        <v>50</v>
      </c>
      <c r="D478" s="1" t="s">
        <v>3300</v>
      </c>
      <c r="E478" s="1" t="s">
        <v>3301</v>
      </c>
      <c r="F478" s="22" t="s">
        <v>3</v>
      </c>
      <c r="G478" s="1" t="s">
        <v>6085</v>
      </c>
      <c r="H478" s="1" t="s">
        <v>6</v>
      </c>
      <c r="I478" s="1" t="s">
        <v>20</v>
      </c>
      <c r="J478" s="1" t="s">
        <v>25</v>
      </c>
      <c r="K478" s="1" t="s">
        <v>9</v>
      </c>
      <c r="L478" s="1" t="s">
        <v>78</v>
      </c>
      <c r="M478" s="11" t="s">
        <v>188</v>
      </c>
      <c r="N478" s="1" t="s">
        <v>6037</v>
      </c>
      <c r="O478" s="1" t="s">
        <v>14</v>
      </c>
      <c r="P478" s="1" t="s">
        <v>593</v>
      </c>
      <c r="Q478" s="1" t="s">
        <v>5417</v>
      </c>
      <c r="R478" s="1" t="s">
        <v>4738</v>
      </c>
      <c r="S478" s="1" t="s">
        <v>6135</v>
      </c>
      <c r="T478" s="1" t="s">
        <v>6136</v>
      </c>
      <c r="U478" s="1" t="s">
        <v>6201</v>
      </c>
      <c r="V478" s="1" t="s">
        <v>6163</v>
      </c>
      <c r="W478" s="27">
        <v>85.714285714285708</v>
      </c>
      <c r="X478" s="27">
        <v>82.142857142857139</v>
      </c>
      <c r="Y478" s="33">
        <f>AVERAGE(Table13[[#This Row],[Score 1]],Table13[[#This Row],[Score 2]])</f>
        <v>83.928571428571416</v>
      </c>
      <c r="Z478" s="1">
        <v>4</v>
      </c>
      <c r="AA478" s="1">
        <v>3</v>
      </c>
      <c r="AB478" s="22">
        <f>Table13[[#This Row],[Rank 1]]+Table13[[#This Row],[Rank 2]]</f>
        <v>7</v>
      </c>
      <c r="AC478" s="1" t="str">
        <f>IF(AND(Table13[[#This Row],[Average score]]&gt;75,Table13[[#This Row],[Total rank]]&gt;6.5),"Yes","No")</f>
        <v>Yes</v>
      </c>
      <c r="AD478" s="1" t="str">
        <f>IF(AND(Table13[[#This Row],[Average score]]&gt;80,Table13[[#This Row],[Total rank]]&gt;7.5),"Yes","No")</f>
        <v>No</v>
      </c>
      <c r="AF478" s="8">
        <v>46024</v>
      </c>
      <c r="AG478" s="1">
        <v>1</v>
      </c>
      <c r="AH478" s="27">
        <v>31500</v>
      </c>
      <c r="AI478" s="30">
        <v>0</v>
      </c>
      <c r="AJ478" s="30">
        <v>0</v>
      </c>
      <c r="AK478" s="30">
        <f>Table13[[#This Row],[Year 1]]</f>
        <v>31500</v>
      </c>
      <c r="AL478" s="30">
        <f>Table13[[#This Row],[Year 2]]</f>
        <v>0</v>
      </c>
      <c r="AM478" s="30">
        <f>Table13[[#This Row],[Year 3]]</f>
        <v>0</v>
      </c>
      <c r="AN478" s="1">
        <v>3</v>
      </c>
    </row>
    <row r="479" spans="1:40" hidden="1" x14ac:dyDescent="0.25">
      <c r="A479" s="1" t="s">
        <v>48</v>
      </c>
      <c r="B479" s="2" t="s">
        <v>2495</v>
      </c>
      <c r="C479" s="1" t="s">
        <v>50</v>
      </c>
      <c r="D479" s="1" t="s">
        <v>3439</v>
      </c>
      <c r="E479" s="1" t="s">
        <v>3440</v>
      </c>
      <c r="F479" s="22" t="s">
        <v>3</v>
      </c>
      <c r="G479" s="1" t="s">
        <v>6085</v>
      </c>
      <c r="H479" s="1" t="s">
        <v>6</v>
      </c>
      <c r="I479" s="1" t="s">
        <v>20</v>
      </c>
      <c r="J479" s="1" t="s">
        <v>25</v>
      </c>
      <c r="K479" s="1" t="s">
        <v>9</v>
      </c>
      <c r="L479" s="1" t="s">
        <v>78</v>
      </c>
      <c r="M479" s="11" t="s">
        <v>188</v>
      </c>
      <c r="N479" s="1" t="s">
        <v>6037</v>
      </c>
      <c r="O479" s="1" t="s">
        <v>14</v>
      </c>
      <c r="P479" s="1" t="s">
        <v>801</v>
      </c>
      <c r="Q479" s="1" t="s">
        <v>5926</v>
      </c>
      <c r="R479" s="1" t="s">
        <v>4894</v>
      </c>
      <c r="S479" s="1" t="s">
        <v>6135</v>
      </c>
      <c r="T479" s="1" t="s">
        <v>6136</v>
      </c>
      <c r="U479" s="1" t="s">
        <v>6201</v>
      </c>
      <c r="V479" s="1" t="s">
        <v>6163</v>
      </c>
      <c r="W479" s="27">
        <v>67.857142857142861</v>
      </c>
      <c r="X479" s="27">
        <v>75</v>
      </c>
      <c r="Y479" s="33">
        <f>AVERAGE(Table13[[#This Row],[Score 1]],Table13[[#This Row],[Score 2]])</f>
        <v>71.428571428571431</v>
      </c>
      <c r="Z479" s="1">
        <v>3</v>
      </c>
      <c r="AA479" s="1">
        <v>3</v>
      </c>
      <c r="AB479" s="22">
        <f>Table13[[#This Row],[Rank 1]]+Table13[[#This Row],[Rank 2]]</f>
        <v>6</v>
      </c>
      <c r="AC479" s="1" t="str">
        <f>IF(AND(Table13[[#This Row],[Average score]]&gt;75,Table13[[#This Row],[Total rank]]&gt;6.5),"Yes","No")</f>
        <v>No</v>
      </c>
      <c r="AD479" s="1" t="str">
        <f>IF(AND(Table13[[#This Row],[Average score]]&gt;80,Table13[[#This Row],[Total rank]]&gt;7.5),"Yes","No")</f>
        <v>No</v>
      </c>
      <c r="AF479" s="8">
        <v>46048</v>
      </c>
      <c r="AG479" s="1">
        <v>2</v>
      </c>
      <c r="AH479" s="27">
        <v>160000</v>
      </c>
      <c r="AI479" s="27">
        <v>160000</v>
      </c>
      <c r="AJ479" s="30">
        <v>0</v>
      </c>
      <c r="AK479" s="30">
        <f>Table13[[#This Row],[Year 1]]</f>
        <v>160000</v>
      </c>
      <c r="AL479" s="30">
        <f>Table13[[#This Row],[Year 2]]</f>
        <v>160000</v>
      </c>
      <c r="AM479" s="30">
        <f>Table13[[#This Row],[Year 3]]</f>
        <v>0</v>
      </c>
      <c r="AN479" s="1">
        <v>3</v>
      </c>
    </row>
    <row r="480" spans="1:40" hidden="1" x14ac:dyDescent="0.25">
      <c r="A480" s="1" t="s">
        <v>48</v>
      </c>
      <c r="B480" s="2" t="s">
        <v>2501</v>
      </c>
      <c r="C480" s="1" t="s">
        <v>50</v>
      </c>
      <c r="D480" s="1" t="s">
        <v>3451</v>
      </c>
      <c r="E480" s="1" t="s">
        <v>3452</v>
      </c>
      <c r="F480" s="22" t="s">
        <v>3</v>
      </c>
      <c r="G480" s="1" t="s">
        <v>6085</v>
      </c>
      <c r="H480" s="1" t="s">
        <v>5</v>
      </c>
      <c r="I480" s="1" t="s">
        <v>24</v>
      </c>
      <c r="J480" s="1" t="s">
        <v>26</v>
      </c>
      <c r="K480" s="1" t="s">
        <v>9</v>
      </c>
      <c r="L480" s="1" t="s">
        <v>78</v>
      </c>
      <c r="M480" s="11" t="s">
        <v>188</v>
      </c>
      <c r="N480" s="1" t="s">
        <v>6037</v>
      </c>
      <c r="O480" s="1" t="s">
        <v>14</v>
      </c>
      <c r="P480" s="1" t="s">
        <v>60</v>
      </c>
      <c r="Q480" s="1" t="s">
        <v>5930</v>
      </c>
      <c r="R480" s="1" t="s">
        <v>4907</v>
      </c>
      <c r="S480" s="1" t="s">
        <v>6135</v>
      </c>
      <c r="T480" s="1" t="s">
        <v>6136</v>
      </c>
      <c r="U480" s="1" t="s">
        <v>6201</v>
      </c>
      <c r="V480" s="1" t="s">
        <v>6163</v>
      </c>
      <c r="W480" s="27">
        <v>85.714285714285708</v>
      </c>
      <c r="X480" s="27">
        <v>89.285714285714292</v>
      </c>
      <c r="Y480" s="33">
        <f>AVERAGE(Table13[[#This Row],[Score 1]],Table13[[#This Row],[Score 2]])</f>
        <v>87.5</v>
      </c>
      <c r="Z480" s="1">
        <v>4</v>
      </c>
      <c r="AA480" s="1">
        <v>4</v>
      </c>
      <c r="AB480" s="22">
        <f>Table13[[#This Row],[Rank 1]]+Table13[[#This Row],[Rank 2]]</f>
        <v>8</v>
      </c>
      <c r="AC480" s="1" t="str">
        <f>IF(AND(Table13[[#This Row],[Average score]]&gt;75,Table13[[#This Row],[Total rank]]&gt;6.5),"Yes","No")</f>
        <v>Yes</v>
      </c>
      <c r="AD480" s="1" t="str">
        <f>IF(AND(Table13[[#This Row],[Average score]]&gt;80,Table13[[#This Row],[Total rank]]&gt;7.5),"Yes","No")</f>
        <v>Yes</v>
      </c>
      <c r="AF480" s="8">
        <v>46054</v>
      </c>
      <c r="AG480" s="1">
        <v>3</v>
      </c>
      <c r="AH480" s="27">
        <v>124500</v>
      </c>
      <c r="AI480" s="27">
        <v>124500</v>
      </c>
      <c r="AJ480" s="27">
        <v>124500</v>
      </c>
      <c r="AK480" s="27">
        <f>Table13[[#This Row],[Year 1]]</f>
        <v>124500</v>
      </c>
      <c r="AL480" s="27">
        <f>Table13[[#This Row],[Year 2]]</f>
        <v>124500</v>
      </c>
      <c r="AM480" s="27">
        <f>Table13[[#This Row],[Year 3]]</f>
        <v>124500</v>
      </c>
      <c r="AN480" s="1">
        <v>3</v>
      </c>
    </row>
    <row r="481" spans="1:40" hidden="1" x14ac:dyDescent="0.25">
      <c r="A481" s="1" t="s">
        <v>48</v>
      </c>
      <c r="B481" s="2" t="s">
        <v>2416</v>
      </c>
      <c r="C481" s="1" t="s">
        <v>50</v>
      </c>
      <c r="D481" s="1" t="s">
        <v>3282</v>
      </c>
      <c r="E481" s="1" t="s">
        <v>3283</v>
      </c>
      <c r="F481" s="22" t="s">
        <v>3</v>
      </c>
      <c r="G481" s="1" t="s">
        <v>6085</v>
      </c>
      <c r="H481" s="1" t="s">
        <v>6</v>
      </c>
      <c r="I481" s="1" t="s">
        <v>20</v>
      </c>
      <c r="J481" s="1" t="s">
        <v>25</v>
      </c>
      <c r="K481" s="1" t="s">
        <v>9</v>
      </c>
      <c r="L481" s="1" t="s">
        <v>78</v>
      </c>
      <c r="M481" s="1" t="s">
        <v>1013</v>
      </c>
      <c r="N481" s="1" t="s">
        <v>6037</v>
      </c>
      <c r="O481" s="1" t="s">
        <v>10</v>
      </c>
      <c r="P481" s="1" t="s">
        <v>3905</v>
      </c>
      <c r="Q481" s="18" t="s">
        <v>5865</v>
      </c>
      <c r="R481" s="10" t="s">
        <v>4714</v>
      </c>
      <c r="S481" s="1" t="s">
        <v>6048</v>
      </c>
      <c r="T481" s="1" t="s">
        <v>6051</v>
      </c>
      <c r="U481" s="1" t="s">
        <v>6086</v>
      </c>
      <c r="V481" s="1" t="s">
        <v>6193</v>
      </c>
      <c r="W481" s="27">
        <v>35.714285714285715</v>
      </c>
      <c r="X481" s="27">
        <v>67.857142857142861</v>
      </c>
      <c r="Y481" s="33">
        <f>AVERAGE(Table13[[#This Row],[Score 1]],Table13[[#This Row],[Score 2]])</f>
        <v>51.785714285714292</v>
      </c>
      <c r="Z481" s="1">
        <v>1</v>
      </c>
      <c r="AA481" s="1">
        <v>2</v>
      </c>
      <c r="AB481" s="22">
        <f>Table13[[#This Row],[Rank 1]]+Table13[[#This Row],[Rank 2]]</f>
        <v>3</v>
      </c>
      <c r="AC481" s="1" t="str">
        <f>IF(AND(Table13[[#This Row],[Average score]]&gt;75,Table13[[#This Row],[Total rank]]&gt;6.5),"Yes","No")</f>
        <v>No</v>
      </c>
      <c r="AD481" s="1" t="str">
        <f>IF(AND(Table13[[#This Row],[Average score]]&gt;80,Table13[[#This Row],[Total rank]]&gt;7.5),"Yes","No")</f>
        <v>No</v>
      </c>
      <c r="AF481" s="8">
        <v>46056</v>
      </c>
      <c r="AG481" s="1">
        <v>1</v>
      </c>
      <c r="AH481" s="27">
        <v>122000</v>
      </c>
      <c r="AI481" s="30">
        <v>0</v>
      </c>
      <c r="AJ481" s="30">
        <v>0</v>
      </c>
      <c r="AK481" s="30">
        <f>Table13[[#This Row],[Year 1]]</f>
        <v>122000</v>
      </c>
      <c r="AL481" s="30">
        <f>Table13[[#This Row],[Year 2]]</f>
        <v>0</v>
      </c>
      <c r="AM481" s="30">
        <f>Table13[[#This Row],[Year 3]]</f>
        <v>0</v>
      </c>
      <c r="AN481" s="1">
        <v>2</v>
      </c>
    </row>
    <row r="482" spans="1:40" hidden="1" x14ac:dyDescent="0.25">
      <c r="A482" s="1" t="s">
        <v>48</v>
      </c>
      <c r="B482" s="1" t="s">
        <v>2418</v>
      </c>
      <c r="C482" s="1" t="s">
        <v>50</v>
      </c>
      <c r="D482" s="1" t="s">
        <v>3286</v>
      </c>
      <c r="E482" s="1" t="s">
        <v>3287</v>
      </c>
      <c r="F482" s="22" t="s">
        <v>3</v>
      </c>
      <c r="G482" s="1" t="s">
        <v>6085</v>
      </c>
      <c r="H482" s="1" t="s">
        <v>6</v>
      </c>
      <c r="I482" s="1" t="s">
        <v>20</v>
      </c>
      <c r="J482" s="1" t="s">
        <v>26</v>
      </c>
      <c r="K482" s="1" t="s">
        <v>9</v>
      </c>
      <c r="L482" s="1" t="s">
        <v>78</v>
      </c>
      <c r="M482" s="11" t="s">
        <v>188</v>
      </c>
      <c r="N482" s="1" t="s">
        <v>6037</v>
      </c>
      <c r="O482" s="1" t="s">
        <v>12</v>
      </c>
      <c r="P482" s="1" t="s">
        <v>4719</v>
      </c>
      <c r="Q482" s="1" t="s">
        <v>5867</v>
      </c>
      <c r="R482" s="1" t="s">
        <v>4720</v>
      </c>
      <c r="S482" s="1" t="s">
        <v>6153</v>
      </c>
      <c r="T482" s="1" t="s">
        <v>6168</v>
      </c>
      <c r="U482" s="1" t="s">
        <v>6173</v>
      </c>
      <c r="V482" s="1" t="s">
        <v>6157</v>
      </c>
      <c r="W482" s="27">
        <v>75</v>
      </c>
      <c r="X482" s="27">
        <v>75</v>
      </c>
      <c r="Y482" s="33">
        <f>AVERAGE(Table13[[#This Row],[Score 1]],Table13[[#This Row],[Score 2]])</f>
        <v>75</v>
      </c>
      <c r="Z482" s="1">
        <v>3</v>
      </c>
      <c r="AA482" s="1">
        <v>3</v>
      </c>
      <c r="AB482" s="22">
        <f>Table13[[#This Row],[Rank 1]]+Table13[[#This Row],[Rank 2]]</f>
        <v>6</v>
      </c>
      <c r="AC482" s="1" t="str">
        <f>IF(AND(Table13[[#This Row],[Average score]]&gt;75,Table13[[#This Row],[Total rank]]&gt;6.5),"Yes","No")</f>
        <v>No</v>
      </c>
      <c r="AD482" s="1" t="str">
        <f>IF(AND(Table13[[#This Row],[Average score]]&gt;80,Table13[[#This Row],[Total rank]]&gt;7.5),"Yes","No")</f>
        <v>No</v>
      </c>
      <c r="AF482" s="8">
        <v>46076</v>
      </c>
      <c r="AG482" s="1">
        <v>2</v>
      </c>
      <c r="AH482" s="27">
        <v>150009</v>
      </c>
      <c r="AI482" s="27">
        <v>150009</v>
      </c>
      <c r="AJ482" s="30">
        <v>0</v>
      </c>
      <c r="AK482" s="30">
        <f>Table13[[#This Row],[Year 1]]</f>
        <v>150009</v>
      </c>
      <c r="AL482" s="30">
        <f>Table13[[#This Row],[Year 2]]</f>
        <v>150009</v>
      </c>
      <c r="AM482" s="30">
        <f>Table13[[#This Row],[Year 3]]</f>
        <v>0</v>
      </c>
      <c r="AN482" s="1">
        <v>3</v>
      </c>
    </row>
    <row r="483" spans="1:40" hidden="1" x14ac:dyDescent="0.25">
      <c r="A483" s="1" t="s">
        <v>48</v>
      </c>
      <c r="B483" s="1" t="s">
        <v>2419</v>
      </c>
      <c r="C483" s="1" t="s">
        <v>50</v>
      </c>
      <c r="D483" s="1" t="s">
        <v>3288</v>
      </c>
      <c r="E483" s="1" t="s">
        <v>3289</v>
      </c>
      <c r="F483" s="22" t="s">
        <v>3</v>
      </c>
      <c r="G483" s="1" t="s">
        <v>6085</v>
      </c>
      <c r="H483" s="1" t="s">
        <v>1383</v>
      </c>
      <c r="I483" s="1" t="s">
        <v>24</v>
      </c>
      <c r="J483" s="1" t="s">
        <v>26</v>
      </c>
      <c r="K483" s="1" t="s">
        <v>8</v>
      </c>
      <c r="L483" s="1" t="s">
        <v>78</v>
      </c>
      <c r="M483" s="11" t="s">
        <v>188</v>
      </c>
      <c r="N483" s="1" t="s">
        <v>6037</v>
      </c>
      <c r="O483" s="1" t="s">
        <v>12</v>
      </c>
      <c r="P483" s="1" t="s">
        <v>4722</v>
      </c>
      <c r="Q483" s="1" t="s">
        <v>5868</v>
      </c>
      <c r="R483" s="1" t="s">
        <v>4723</v>
      </c>
      <c r="S483" s="1" t="s">
        <v>6155</v>
      </c>
      <c r="T483" s="1" t="s">
        <v>6154</v>
      </c>
      <c r="U483" s="1" t="s">
        <v>6164</v>
      </c>
      <c r="V483" s="1" t="s">
        <v>6167</v>
      </c>
      <c r="W483" s="27">
        <v>80</v>
      </c>
      <c r="X483" s="27">
        <v>52.5</v>
      </c>
      <c r="Y483" s="33">
        <f>AVERAGE(Table13[[#This Row],[Score 1]],Table13[[#This Row],[Score 2]])</f>
        <v>66.25</v>
      </c>
      <c r="Z483" s="1">
        <v>5</v>
      </c>
      <c r="AA483" s="1">
        <v>2</v>
      </c>
      <c r="AB483" s="22">
        <f>Table13[[#This Row],[Rank 1]]+Table13[[#This Row],[Rank 2]]</f>
        <v>7</v>
      </c>
      <c r="AC483" s="1" t="str">
        <f>IF(AND(Table13[[#This Row],[Average score]]&gt;75,Table13[[#This Row],[Total rank]]&gt;6.5),"Yes","No")</f>
        <v>No</v>
      </c>
      <c r="AD483" s="1" t="str">
        <f>IF(AND(Table13[[#This Row],[Average score]]&gt;80,Table13[[#This Row],[Total rank]]&gt;7.5),"Yes","No")</f>
        <v>No</v>
      </c>
      <c r="AF483" s="8">
        <v>46113</v>
      </c>
      <c r="AG483" s="1">
        <v>1</v>
      </c>
      <c r="AH483" s="27">
        <v>148931.25</v>
      </c>
      <c r="AI483" s="30">
        <v>0</v>
      </c>
      <c r="AJ483" s="30">
        <v>0</v>
      </c>
      <c r="AK483" s="30">
        <f>Table13[[#This Row],[Year 1]]</f>
        <v>148931.25</v>
      </c>
      <c r="AL483" s="30">
        <f>Table13[[#This Row],[Year 2]]</f>
        <v>0</v>
      </c>
      <c r="AM483" s="30">
        <f>Table13[[#This Row],[Year 3]]</f>
        <v>0</v>
      </c>
      <c r="AN483" s="1">
        <v>3</v>
      </c>
    </row>
    <row r="484" spans="1:40" hidden="1" x14ac:dyDescent="0.25">
      <c r="A484" s="1" t="s">
        <v>48</v>
      </c>
      <c r="B484" s="2" t="s">
        <v>2420</v>
      </c>
      <c r="C484" s="1" t="s">
        <v>50</v>
      </c>
      <c r="D484" s="1" t="s">
        <v>3290</v>
      </c>
      <c r="E484" s="1" t="s">
        <v>3291</v>
      </c>
      <c r="F484" s="22" t="s">
        <v>3</v>
      </c>
      <c r="G484" s="1" t="s">
        <v>6085</v>
      </c>
      <c r="H484" s="1" t="s">
        <v>6</v>
      </c>
      <c r="I484" s="1" t="s">
        <v>20</v>
      </c>
      <c r="J484" s="1" t="s">
        <v>25</v>
      </c>
      <c r="K484" s="1" t="s">
        <v>9</v>
      </c>
      <c r="L484" s="1" t="s">
        <v>78</v>
      </c>
      <c r="M484" s="11" t="s">
        <v>188</v>
      </c>
      <c r="N484" s="1" t="s">
        <v>6037</v>
      </c>
      <c r="O484" s="1" t="s">
        <v>10</v>
      </c>
      <c r="P484" s="1" t="s">
        <v>162</v>
      </c>
      <c r="Q484" s="18" t="s">
        <v>5869</v>
      </c>
      <c r="R484" s="1" t="s">
        <v>4725</v>
      </c>
      <c r="S484" s="1" t="s">
        <v>6048</v>
      </c>
      <c r="T484" s="1" t="s">
        <v>6051</v>
      </c>
      <c r="U484" s="1" t="s">
        <v>6086</v>
      </c>
      <c r="V484" s="1" t="s">
        <v>6193</v>
      </c>
      <c r="W484" s="27">
        <v>60.714285714285708</v>
      </c>
      <c r="X484" s="27">
        <v>67.857142857142861</v>
      </c>
      <c r="Y484" s="33">
        <f>AVERAGE(Table13[[#This Row],[Score 1]],Table13[[#This Row],[Score 2]])</f>
        <v>64.285714285714278</v>
      </c>
      <c r="Z484" s="1">
        <v>3</v>
      </c>
      <c r="AA484" s="1">
        <v>3</v>
      </c>
      <c r="AB484" s="22">
        <f>Table13[[#This Row],[Rank 1]]+Table13[[#This Row],[Rank 2]]</f>
        <v>6</v>
      </c>
      <c r="AC484" s="1" t="str">
        <f>IF(AND(Table13[[#This Row],[Average score]]&gt;75,Table13[[#This Row],[Total rank]]&gt;6.5),"Yes","No")</f>
        <v>No</v>
      </c>
      <c r="AD484" s="1" t="str">
        <f>IF(AND(Table13[[#This Row],[Average score]]&gt;80,Table13[[#This Row],[Total rank]]&gt;7.5),"Yes","No")</f>
        <v>No</v>
      </c>
      <c r="AF484" s="8">
        <v>46032</v>
      </c>
      <c r="AG484" s="1">
        <v>1</v>
      </c>
      <c r="AH484" s="27">
        <v>120070</v>
      </c>
      <c r="AI484" s="30">
        <v>0</v>
      </c>
      <c r="AJ484" s="30">
        <v>0</v>
      </c>
      <c r="AK484" s="30">
        <f>Table13[[#This Row],[Year 1]]</f>
        <v>120070</v>
      </c>
      <c r="AL484" s="30">
        <f>Table13[[#This Row],[Year 2]]</f>
        <v>0</v>
      </c>
      <c r="AM484" s="30">
        <f>Table13[[#This Row],[Year 3]]</f>
        <v>0</v>
      </c>
      <c r="AN484" s="1">
        <v>3</v>
      </c>
    </row>
    <row r="485" spans="1:40" hidden="1" x14ac:dyDescent="0.25">
      <c r="A485" s="1" t="s">
        <v>48</v>
      </c>
      <c r="B485" s="1" t="s">
        <v>2421</v>
      </c>
      <c r="C485" s="1" t="s">
        <v>50</v>
      </c>
      <c r="D485" s="1" t="s">
        <v>3292</v>
      </c>
      <c r="E485" s="1" t="s">
        <v>3293</v>
      </c>
      <c r="F485" s="22" t="s">
        <v>3</v>
      </c>
      <c r="G485" s="1" t="s">
        <v>6085</v>
      </c>
      <c r="H485" s="1" t="s">
        <v>6</v>
      </c>
      <c r="I485" s="1" t="s">
        <v>20</v>
      </c>
      <c r="J485" s="1" t="s">
        <v>25</v>
      </c>
      <c r="K485" s="1" t="s">
        <v>9</v>
      </c>
      <c r="L485" s="1" t="s">
        <v>78</v>
      </c>
      <c r="M485" s="11" t="s">
        <v>188</v>
      </c>
      <c r="N485" s="1" t="s">
        <v>6037</v>
      </c>
      <c r="O485" s="1" t="s">
        <v>19</v>
      </c>
      <c r="P485" s="1" t="s">
        <v>4168</v>
      </c>
      <c r="Q485" s="1" t="s">
        <v>5870</v>
      </c>
      <c r="R485" s="1" t="s">
        <v>4727</v>
      </c>
      <c r="S485" s="1" t="s">
        <v>6137</v>
      </c>
      <c r="T485" s="1" t="s">
        <v>6138</v>
      </c>
      <c r="U485" s="1" t="s">
        <v>6160</v>
      </c>
      <c r="V485" s="1" t="s">
        <v>6203</v>
      </c>
      <c r="W485" s="27">
        <v>85.714285714285708</v>
      </c>
      <c r="X485" s="27">
        <v>57.142857142857139</v>
      </c>
      <c r="Y485" s="33">
        <f>AVERAGE(Table13[[#This Row],[Score 1]],Table13[[#This Row],[Score 2]])</f>
        <v>71.428571428571416</v>
      </c>
      <c r="Z485" s="1">
        <v>3</v>
      </c>
      <c r="AA485" s="1">
        <v>1</v>
      </c>
      <c r="AB485" s="22">
        <f>Table13[[#This Row],[Rank 1]]+Table13[[#This Row],[Rank 2]]</f>
        <v>4</v>
      </c>
      <c r="AC485" s="1" t="str">
        <f>IF(AND(Table13[[#This Row],[Average score]]&gt;75,Table13[[#This Row],[Total rank]]&gt;6.5),"Yes","No")</f>
        <v>No</v>
      </c>
      <c r="AD485" s="1" t="str">
        <f>IF(AND(Table13[[#This Row],[Average score]]&gt;80,Table13[[#This Row],[Total rank]]&gt;7.5),"Yes","No")</f>
        <v>No</v>
      </c>
      <c r="AF485" s="8">
        <v>46055</v>
      </c>
      <c r="AG485" s="1">
        <v>2</v>
      </c>
      <c r="AH485" s="27">
        <v>133400</v>
      </c>
      <c r="AI485" s="27">
        <v>81400</v>
      </c>
      <c r="AJ485" s="30">
        <v>0</v>
      </c>
      <c r="AK485" s="30">
        <f>Table13[[#This Row],[Year 1]]</f>
        <v>133400</v>
      </c>
      <c r="AL485" s="30">
        <f>Table13[[#This Row],[Year 2]]</f>
        <v>81400</v>
      </c>
      <c r="AM485" s="30">
        <f>Table13[[#This Row],[Year 3]]</f>
        <v>0</v>
      </c>
      <c r="AN485" s="1">
        <v>3</v>
      </c>
    </row>
    <row r="486" spans="1:40" hidden="1" x14ac:dyDescent="0.25">
      <c r="A486" s="1" t="s">
        <v>48</v>
      </c>
      <c r="B486" s="10" t="s">
        <v>2423</v>
      </c>
      <c r="C486" s="1" t="s">
        <v>50</v>
      </c>
      <c r="D486" s="1" t="s">
        <v>3296</v>
      </c>
      <c r="E486" s="1" t="s">
        <v>3297</v>
      </c>
      <c r="F486" s="22" t="s">
        <v>3</v>
      </c>
      <c r="G486" s="1" t="s">
        <v>6085</v>
      </c>
      <c r="H486" s="1" t="s">
        <v>6</v>
      </c>
      <c r="I486" s="1" t="s">
        <v>20</v>
      </c>
      <c r="J486" s="1" t="s">
        <v>25</v>
      </c>
      <c r="K486" s="1" t="s">
        <v>9</v>
      </c>
      <c r="L486" s="1" t="s">
        <v>78</v>
      </c>
      <c r="M486" s="11" t="s">
        <v>188</v>
      </c>
      <c r="N486" s="1" t="s">
        <v>6037</v>
      </c>
      <c r="O486" s="1" t="s">
        <v>13</v>
      </c>
      <c r="P486" s="1" t="s">
        <v>126</v>
      </c>
      <c r="Q486" s="1" t="s">
        <v>5871</v>
      </c>
      <c r="R486" s="1" t="s">
        <v>4735</v>
      </c>
      <c r="S486" s="1" t="s">
        <v>6079</v>
      </c>
      <c r="T486" s="1" t="s">
        <v>6080</v>
      </c>
      <c r="U486" s="1" t="s">
        <v>6089</v>
      </c>
      <c r="V486" s="1" t="s">
        <v>6172</v>
      </c>
      <c r="W486" s="27">
        <v>89.285714285714292</v>
      </c>
      <c r="X486" s="27">
        <v>92.857142857142861</v>
      </c>
      <c r="Y486" s="33">
        <f>AVERAGE(Table13[[#This Row],[Score 1]],Table13[[#This Row],[Score 2]])</f>
        <v>91.071428571428584</v>
      </c>
      <c r="Z486" s="1">
        <v>3</v>
      </c>
      <c r="AA486" s="1">
        <v>5</v>
      </c>
      <c r="AB486" s="22">
        <f>Table13[[#This Row],[Rank 1]]+Table13[[#This Row],[Rank 2]]</f>
        <v>8</v>
      </c>
      <c r="AC486" s="1" t="str">
        <f>IF(AND(Table13[[#This Row],[Average score]]&gt;75,Table13[[#This Row],[Total rank]]&gt;6.5),"Yes","No")</f>
        <v>Yes</v>
      </c>
      <c r="AD486" s="1" t="str">
        <f>IF(AND(Table13[[#This Row],[Average score]]&gt;80,Table13[[#This Row],[Total rank]]&gt;7.5),"Yes","No")</f>
        <v>Yes</v>
      </c>
      <c r="AF486" s="8">
        <v>45670</v>
      </c>
      <c r="AG486" s="1">
        <v>1</v>
      </c>
      <c r="AH486" s="27">
        <v>245000</v>
      </c>
      <c r="AI486" s="30">
        <v>0</v>
      </c>
      <c r="AJ486" s="30">
        <v>0</v>
      </c>
      <c r="AK486" s="30">
        <f>Table13[[#This Row],[Year 1]]</f>
        <v>245000</v>
      </c>
      <c r="AL486" s="30">
        <f>Table13[[#This Row],[Year 2]]</f>
        <v>0</v>
      </c>
      <c r="AM486" s="30">
        <f>Table13[[#This Row],[Year 3]]</f>
        <v>0</v>
      </c>
      <c r="AN486" s="1">
        <v>3</v>
      </c>
    </row>
    <row r="487" spans="1:40" hidden="1" x14ac:dyDescent="0.25">
      <c r="A487" s="1" t="s">
        <v>48</v>
      </c>
      <c r="B487" s="10" t="s">
        <v>2424</v>
      </c>
      <c r="C487" s="1" t="s">
        <v>50</v>
      </c>
      <c r="D487" s="1" t="s">
        <v>3298</v>
      </c>
      <c r="E487" s="1" t="s">
        <v>3299</v>
      </c>
      <c r="F487" s="22" t="s">
        <v>3</v>
      </c>
      <c r="G487" s="1" t="s">
        <v>6085</v>
      </c>
      <c r="H487" s="1" t="s">
        <v>5</v>
      </c>
      <c r="I487" s="1" t="s">
        <v>20</v>
      </c>
      <c r="J487" s="1" t="s">
        <v>26</v>
      </c>
      <c r="K487" s="1" t="s">
        <v>9</v>
      </c>
      <c r="L487" s="1" t="s">
        <v>78</v>
      </c>
      <c r="M487" s="11" t="s">
        <v>188</v>
      </c>
      <c r="N487" s="1" t="s">
        <v>6037</v>
      </c>
      <c r="O487" s="1" t="s">
        <v>13</v>
      </c>
      <c r="P487" s="1" t="s">
        <v>126</v>
      </c>
      <c r="Q487" s="1" t="s">
        <v>5872</v>
      </c>
      <c r="R487" s="1" t="s">
        <v>4736</v>
      </c>
      <c r="S487" s="1" t="s">
        <v>6079</v>
      </c>
      <c r="T487" s="1" t="s">
        <v>6080</v>
      </c>
      <c r="U487" s="1" t="s">
        <v>6089</v>
      </c>
      <c r="V487" s="1" t="s">
        <v>6172</v>
      </c>
      <c r="W487" s="27">
        <v>92.857142857142861</v>
      </c>
      <c r="X487" s="27">
        <v>78.571428571428569</v>
      </c>
      <c r="Y487" s="33">
        <f>AVERAGE(Table13[[#This Row],[Score 1]],Table13[[#This Row],[Score 2]])</f>
        <v>85.714285714285722</v>
      </c>
      <c r="Z487" s="1">
        <v>4</v>
      </c>
      <c r="AA487" s="1">
        <v>3</v>
      </c>
      <c r="AB487" s="22">
        <f>Table13[[#This Row],[Rank 1]]+Table13[[#This Row],[Rank 2]]</f>
        <v>7</v>
      </c>
      <c r="AC487" s="1" t="str">
        <f>IF(AND(Table13[[#This Row],[Average score]]&gt;75,Table13[[#This Row],[Total rank]]&gt;6.5),"Yes","No")</f>
        <v>Yes</v>
      </c>
      <c r="AD487" s="1" t="str">
        <f>IF(AND(Table13[[#This Row],[Average score]]&gt;80,Table13[[#This Row],[Total rank]]&gt;7.5),"Yes","No")</f>
        <v>No</v>
      </c>
      <c r="AF487" s="8">
        <v>46054</v>
      </c>
      <c r="AG487" s="1">
        <v>3</v>
      </c>
      <c r="AH487" s="27">
        <v>271200</v>
      </c>
      <c r="AI487" s="27">
        <v>271200</v>
      </c>
      <c r="AJ487" s="27">
        <v>271200</v>
      </c>
      <c r="AK487" s="27">
        <f>Table13[[#This Row],[Year 1]]</f>
        <v>271200</v>
      </c>
      <c r="AL487" s="27">
        <f>Table13[[#This Row],[Year 2]]</f>
        <v>271200</v>
      </c>
      <c r="AM487" s="27">
        <f>Table13[[#This Row],[Year 3]]</f>
        <v>271200</v>
      </c>
      <c r="AN487" s="1">
        <v>3</v>
      </c>
    </row>
    <row r="488" spans="1:40" hidden="1" x14ac:dyDescent="0.25">
      <c r="A488" s="1" t="s">
        <v>48</v>
      </c>
      <c r="B488" s="2" t="s">
        <v>2582</v>
      </c>
      <c r="C488" s="1" t="s">
        <v>50</v>
      </c>
      <c r="D488" s="1" t="s">
        <v>3613</v>
      </c>
      <c r="E488" s="1" t="s">
        <v>3614</v>
      </c>
      <c r="F488" s="22" t="s">
        <v>3</v>
      </c>
      <c r="G488" s="1" t="s">
        <v>6085</v>
      </c>
      <c r="H488" s="1" t="s">
        <v>5</v>
      </c>
      <c r="I488" s="1" t="s">
        <v>24</v>
      </c>
      <c r="J488" s="1" t="s">
        <v>25</v>
      </c>
      <c r="K488" s="1" t="s">
        <v>9</v>
      </c>
      <c r="L488" s="1" t="s">
        <v>78</v>
      </c>
      <c r="M488" s="11" t="s">
        <v>188</v>
      </c>
      <c r="N488" s="1" t="s">
        <v>6037</v>
      </c>
      <c r="O488" s="1" t="s">
        <v>14</v>
      </c>
      <c r="P488" s="1" t="s">
        <v>126</v>
      </c>
      <c r="Q488" s="1" t="s">
        <v>5988</v>
      </c>
      <c r="R488" s="1" t="s">
        <v>5086</v>
      </c>
      <c r="S488" s="1" t="s">
        <v>6135</v>
      </c>
      <c r="T488" s="1" t="s">
        <v>6136</v>
      </c>
      <c r="U488" s="1" t="s">
        <v>6201</v>
      </c>
      <c r="V488" s="1" t="s">
        <v>6163</v>
      </c>
      <c r="W488" s="27">
        <v>92.857142857142861</v>
      </c>
      <c r="X488" s="27">
        <v>100</v>
      </c>
      <c r="Y488" s="33">
        <f>AVERAGE(Table13[[#This Row],[Score 1]],Table13[[#This Row],[Score 2]])</f>
        <v>96.428571428571431</v>
      </c>
      <c r="Z488" s="1">
        <v>4</v>
      </c>
      <c r="AA488" s="1">
        <v>5</v>
      </c>
      <c r="AB488" s="22">
        <f>Table13[[#This Row],[Rank 1]]+Table13[[#This Row],[Rank 2]]</f>
        <v>9</v>
      </c>
      <c r="AC488" s="1" t="str">
        <f>IF(AND(Table13[[#This Row],[Average score]]&gt;75,Table13[[#This Row],[Total rank]]&gt;6.5),"Yes","No")</f>
        <v>Yes</v>
      </c>
      <c r="AD488" s="1" t="str">
        <f>IF(AND(Table13[[#This Row],[Average score]]&gt;80,Table13[[#This Row],[Total rank]]&gt;7.5),"Yes","No")</f>
        <v>Yes</v>
      </c>
      <c r="AF488" s="8">
        <v>46023</v>
      </c>
      <c r="AG488" s="1">
        <v>2</v>
      </c>
      <c r="AH488" s="27">
        <v>216057</v>
      </c>
      <c r="AI488" s="27">
        <v>216057</v>
      </c>
      <c r="AJ488" s="30">
        <v>0</v>
      </c>
      <c r="AK488" s="30">
        <f>Table13[[#This Row],[Year 1]]</f>
        <v>216057</v>
      </c>
      <c r="AL488" s="30">
        <f>Table13[[#This Row],[Year 2]]</f>
        <v>216057</v>
      </c>
      <c r="AM488" s="30">
        <f>Table13[[#This Row],[Year 3]]</f>
        <v>0</v>
      </c>
      <c r="AN488" s="1">
        <v>3</v>
      </c>
    </row>
    <row r="489" spans="1:40" hidden="1" x14ac:dyDescent="0.25">
      <c r="A489" s="1" t="s">
        <v>48</v>
      </c>
      <c r="B489" s="1" t="s">
        <v>2426</v>
      </c>
      <c r="C489" s="1" t="s">
        <v>50</v>
      </c>
      <c r="D489" s="1" t="s">
        <v>3302</v>
      </c>
      <c r="E489" s="1" t="s">
        <v>3303</v>
      </c>
      <c r="F489" s="22" t="s">
        <v>3</v>
      </c>
      <c r="G489" s="1" t="s">
        <v>6085</v>
      </c>
      <c r="H489" s="1" t="s">
        <v>6</v>
      </c>
      <c r="I489" s="1" t="s">
        <v>20</v>
      </c>
      <c r="J489" s="1" t="s">
        <v>26</v>
      </c>
      <c r="K489" s="1" t="s">
        <v>9</v>
      </c>
      <c r="L489" s="1" t="s">
        <v>78</v>
      </c>
      <c r="M489" s="1" t="s">
        <v>1013</v>
      </c>
      <c r="N489" s="1" t="s">
        <v>6037</v>
      </c>
      <c r="O489" s="1" t="s">
        <v>14</v>
      </c>
      <c r="P489" s="1" t="s">
        <v>4739</v>
      </c>
      <c r="Q489" s="1" t="s">
        <v>5873</v>
      </c>
      <c r="R489" s="1" t="s">
        <v>4740</v>
      </c>
      <c r="S489" s="1" t="s">
        <v>6144</v>
      </c>
      <c r="T489" s="1" t="s">
        <v>6143</v>
      </c>
      <c r="U489" s="1" t="s">
        <v>6161</v>
      </c>
      <c r="V489" s="1" t="s">
        <v>6183</v>
      </c>
      <c r="W489" s="27">
        <v>67.857142857142861</v>
      </c>
      <c r="X489" s="27">
        <v>71.428571428571431</v>
      </c>
      <c r="Y489" s="33">
        <f>AVERAGE(Table13[[#This Row],[Score 1]],Table13[[#This Row],[Score 2]])</f>
        <v>69.642857142857139</v>
      </c>
      <c r="Z489" s="1">
        <v>3</v>
      </c>
      <c r="AA489" s="1">
        <v>3</v>
      </c>
      <c r="AB489" s="22">
        <f>Table13[[#This Row],[Rank 1]]+Table13[[#This Row],[Rank 2]]</f>
        <v>6</v>
      </c>
      <c r="AC489" s="1" t="str">
        <f>IF(AND(Table13[[#This Row],[Average score]]&gt;75,Table13[[#This Row],[Total rank]]&gt;6.5),"Yes","No")</f>
        <v>No</v>
      </c>
      <c r="AD489" s="1" t="str">
        <f>IF(AND(Table13[[#This Row],[Average score]]&gt;80,Table13[[#This Row],[Total rank]]&gt;7.5),"Yes","No")</f>
        <v>No</v>
      </c>
      <c r="AF489" s="8">
        <v>45857</v>
      </c>
      <c r="AG489" s="1">
        <v>2</v>
      </c>
      <c r="AH489" s="27">
        <v>185040</v>
      </c>
      <c r="AI489" s="27">
        <v>200040</v>
      </c>
      <c r="AJ489" s="30">
        <v>0</v>
      </c>
      <c r="AK489" s="30">
        <f>Table13[[#This Row],[Year 1]]</f>
        <v>185040</v>
      </c>
      <c r="AL489" s="30">
        <f>Table13[[#This Row],[Year 2]]</f>
        <v>200040</v>
      </c>
      <c r="AM489" s="30">
        <f>Table13[[#This Row],[Year 3]]</f>
        <v>0</v>
      </c>
      <c r="AN489" s="1">
        <v>2</v>
      </c>
    </row>
    <row r="490" spans="1:40" hidden="1" x14ac:dyDescent="0.25">
      <c r="A490" s="1" t="s">
        <v>48</v>
      </c>
      <c r="B490" s="1" t="s">
        <v>2428</v>
      </c>
      <c r="C490" s="1" t="s">
        <v>50</v>
      </c>
      <c r="D490" s="1" t="s">
        <v>3306</v>
      </c>
      <c r="E490" s="1" t="s">
        <v>3307</v>
      </c>
      <c r="F490" s="22" t="s">
        <v>3</v>
      </c>
      <c r="G490" s="1" t="s">
        <v>6085</v>
      </c>
      <c r="H490" s="1" t="s">
        <v>6</v>
      </c>
      <c r="I490" s="1" t="s">
        <v>20</v>
      </c>
      <c r="J490" s="1" t="s">
        <v>26</v>
      </c>
      <c r="K490" s="1" t="s">
        <v>9</v>
      </c>
      <c r="L490" s="1" t="s">
        <v>78</v>
      </c>
      <c r="M490" s="11" t="s">
        <v>188</v>
      </c>
      <c r="N490" s="1" t="s">
        <v>6037</v>
      </c>
      <c r="O490" s="1" t="s">
        <v>14</v>
      </c>
      <c r="P490" s="1" t="s">
        <v>4746</v>
      </c>
      <c r="Q490" s="1" t="s">
        <v>5874</v>
      </c>
      <c r="R490" s="1" t="s">
        <v>4747</v>
      </c>
      <c r="S490" s="1" t="s">
        <v>6144</v>
      </c>
      <c r="T490" s="1" t="s">
        <v>6143</v>
      </c>
      <c r="U490" s="1" t="s">
        <v>6161</v>
      </c>
      <c r="V490" s="1" t="s">
        <v>6183</v>
      </c>
      <c r="W490" s="27">
        <v>64.285714285714292</v>
      </c>
      <c r="X490" s="27">
        <v>67.857142857142861</v>
      </c>
      <c r="Y490" s="33">
        <f>AVERAGE(Table13[[#This Row],[Score 1]],Table13[[#This Row],[Score 2]])</f>
        <v>66.071428571428584</v>
      </c>
      <c r="Z490" s="1">
        <v>3</v>
      </c>
      <c r="AA490" s="1">
        <v>4</v>
      </c>
      <c r="AB490" s="22">
        <f>Table13[[#This Row],[Rank 1]]+Table13[[#This Row],[Rank 2]]</f>
        <v>7</v>
      </c>
      <c r="AC490" s="1" t="str">
        <f>IF(AND(Table13[[#This Row],[Average score]]&gt;75,Table13[[#This Row],[Total rank]]&gt;6.5),"Yes","No")</f>
        <v>No</v>
      </c>
      <c r="AD490" s="1" t="str">
        <f>IF(AND(Table13[[#This Row],[Average score]]&gt;80,Table13[[#This Row],[Total rank]]&gt;7.5),"Yes","No")</f>
        <v>No</v>
      </c>
      <c r="AF490" s="8">
        <v>46023</v>
      </c>
      <c r="AG490" s="1">
        <v>2</v>
      </c>
      <c r="AH490" s="27">
        <v>196500</v>
      </c>
      <c r="AI490" s="27">
        <v>196500</v>
      </c>
      <c r="AJ490" s="30">
        <v>0</v>
      </c>
      <c r="AK490" s="30">
        <f>Table13[[#This Row],[Year 1]]</f>
        <v>196500</v>
      </c>
      <c r="AL490" s="30">
        <f>Table13[[#This Row],[Year 2]]</f>
        <v>196500</v>
      </c>
      <c r="AM490" s="30">
        <f>Table13[[#This Row],[Year 3]]</f>
        <v>0</v>
      </c>
      <c r="AN490" s="1">
        <v>3</v>
      </c>
    </row>
    <row r="491" spans="1:40" hidden="1" x14ac:dyDescent="0.25">
      <c r="A491" s="1" t="s">
        <v>48</v>
      </c>
      <c r="B491" s="10" t="s">
        <v>2429</v>
      </c>
      <c r="C491" s="1" t="s">
        <v>50</v>
      </c>
      <c r="D491" s="1" t="s">
        <v>3308</v>
      </c>
      <c r="E491" s="1" t="s">
        <v>3309</v>
      </c>
      <c r="F491" s="22" t="s">
        <v>3</v>
      </c>
      <c r="G491" s="1" t="s">
        <v>6085</v>
      </c>
      <c r="H491" s="1" t="s">
        <v>6</v>
      </c>
      <c r="I491" s="1" t="s">
        <v>24</v>
      </c>
      <c r="J491" s="1" t="s">
        <v>25</v>
      </c>
      <c r="K491" s="1" t="s">
        <v>9</v>
      </c>
      <c r="L491" s="1" t="s">
        <v>78</v>
      </c>
      <c r="M491" s="11" t="s">
        <v>188</v>
      </c>
      <c r="N491" s="1" t="s">
        <v>6037</v>
      </c>
      <c r="O491" s="1" t="s">
        <v>16</v>
      </c>
      <c r="P491" s="1" t="s">
        <v>126</v>
      </c>
      <c r="Q491" s="1" t="s">
        <v>5875</v>
      </c>
      <c r="R491" s="1" t="s">
        <v>4749</v>
      </c>
      <c r="S491" s="1" t="s">
        <v>6113</v>
      </c>
      <c r="T491" s="1" t="s">
        <v>6114</v>
      </c>
      <c r="U491" s="2" t="s">
        <v>6128</v>
      </c>
      <c r="V491" s="1" t="s">
        <v>6182</v>
      </c>
      <c r="W491" s="29">
        <f>Table13[[#This Row],[Score 2]]</f>
        <v>71.428571428571431</v>
      </c>
      <c r="X491" s="27">
        <v>71.428571428571431</v>
      </c>
      <c r="Y491" s="33">
        <f>AVERAGE(Table13[[#This Row],[Score 1]],Table13[[#This Row],[Score 2]])</f>
        <v>71.428571428571431</v>
      </c>
      <c r="Z491" s="2">
        <f>Table13[[#This Row],[Rank 2]]</f>
        <v>1</v>
      </c>
      <c r="AA491" s="1">
        <v>1</v>
      </c>
      <c r="AB491" s="22">
        <f>Table13[[#This Row],[Rank 1]]+Table13[[#This Row],[Rank 2]]</f>
        <v>2</v>
      </c>
      <c r="AC491" s="1" t="str">
        <f>IF(AND(Table13[[#This Row],[Average score]]&gt;75,Table13[[#This Row],[Total rank]]&gt;6.5),"Yes","No")</f>
        <v>No</v>
      </c>
      <c r="AD491" s="1" t="str">
        <f>IF(AND(Table13[[#This Row],[Average score]]&gt;80,Table13[[#This Row],[Total rank]]&gt;7.5),"Yes","No")</f>
        <v>No</v>
      </c>
      <c r="AF491" s="8">
        <v>46023</v>
      </c>
      <c r="AG491" s="1">
        <v>1</v>
      </c>
      <c r="AH491" s="27">
        <v>341159</v>
      </c>
      <c r="AI491" s="30">
        <v>0</v>
      </c>
      <c r="AJ491" s="30">
        <v>0</v>
      </c>
      <c r="AK491" s="30">
        <f>Table13[[#This Row],[Year 1]]</f>
        <v>341159</v>
      </c>
      <c r="AL491" s="30">
        <f>Table13[[#This Row],[Year 2]]</f>
        <v>0</v>
      </c>
      <c r="AM491" s="30">
        <f>Table13[[#This Row],[Year 3]]</f>
        <v>0</v>
      </c>
      <c r="AN491" s="1">
        <v>3</v>
      </c>
    </row>
    <row r="492" spans="1:40" hidden="1" x14ac:dyDescent="0.25">
      <c r="A492" s="1" t="s">
        <v>48</v>
      </c>
      <c r="B492" s="1" t="s">
        <v>2430</v>
      </c>
      <c r="C492" s="1" t="s">
        <v>50</v>
      </c>
      <c r="D492" s="1" t="s">
        <v>3310</v>
      </c>
      <c r="E492" s="1" t="s">
        <v>3311</v>
      </c>
      <c r="F492" s="22" t="s">
        <v>3</v>
      </c>
      <c r="G492" s="1" t="s">
        <v>6085</v>
      </c>
      <c r="H492" s="1" t="s">
        <v>5</v>
      </c>
      <c r="I492" s="1" t="s">
        <v>20</v>
      </c>
      <c r="J492" s="1" t="s">
        <v>25</v>
      </c>
      <c r="K492" s="1" t="s">
        <v>9</v>
      </c>
      <c r="L492" s="1" t="s">
        <v>78</v>
      </c>
      <c r="M492" s="11" t="s">
        <v>188</v>
      </c>
      <c r="N492" s="1" t="s">
        <v>6037</v>
      </c>
      <c r="O492" s="1" t="s">
        <v>13</v>
      </c>
      <c r="P492" s="1" t="s">
        <v>60</v>
      </c>
      <c r="Q492" s="1" t="s">
        <v>5876</v>
      </c>
      <c r="R492" s="1" t="s">
        <v>4751</v>
      </c>
      <c r="S492" s="1" t="s">
        <v>6063</v>
      </c>
      <c r="T492" s="1" t="s">
        <v>6076</v>
      </c>
      <c r="U492" s="1" t="s">
        <v>6100</v>
      </c>
      <c r="V492" s="1" t="s">
        <v>6195</v>
      </c>
      <c r="W492" s="27">
        <v>78.571428571428569</v>
      </c>
      <c r="X492" s="27">
        <v>67.857142857142861</v>
      </c>
      <c r="Y492" s="33">
        <f>AVERAGE(Table13[[#This Row],[Score 1]],Table13[[#This Row],[Score 2]])</f>
        <v>73.214285714285722</v>
      </c>
      <c r="Z492" s="1">
        <v>4</v>
      </c>
      <c r="AA492" s="1">
        <v>3</v>
      </c>
      <c r="AB492" s="22">
        <f>Table13[[#This Row],[Rank 1]]+Table13[[#This Row],[Rank 2]]</f>
        <v>7</v>
      </c>
      <c r="AC492" s="1" t="str">
        <f>IF(AND(Table13[[#This Row],[Average score]]&gt;75,Table13[[#This Row],[Total rank]]&gt;6.5),"Yes","No")</f>
        <v>No</v>
      </c>
      <c r="AD492" s="1" t="str">
        <f>IF(AND(Table13[[#This Row],[Average score]]&gt;80,Table13[[#This Row],[Total rank]]&gt;7.5),"Yes","No")</f>
        <v>No</v>
      </c>
      <c r="AF492" s="8">
        <v>46054</v>
      </c>
      <c r="AG492" s="1">
        <v>3</v>
      </c>
      <c r="AH492" s="27">
        <v>211015</v>
      </c>
      <c r="AI492" s="27">
        <v>222000</v>
      </c>
      <c r="AJ492" s="27">
        <v>222500</v>
      </c>
      <c r="AK492" s="27">
        <f>Table13[[#This Row],[Year 1]]</f>
        <v>211015</v>
      </c>
      <c r="AL492" s="27">
        <f>Table13[[#This Row],[Year 2]]</f>
        <v>222000</v>
      </c>
      <c r="AM492" s="27">
        <f>Table13[[#This Row],[Year 3]]</f>
        <v>222500</v>
      </c>
      <c r="AN492" s="1">
        <v>3</v>
      </c>
    </row>
    <row r="493" spans="1:40" hidden="1" x14ac:dyDescent="0.25">
      <c r="A493" s="1" t="s">
        <v>48</v>
      </c>
      <c r="B493" s="1" t="s">
        <v>2431</v>
      </c>
      <c r="C493" s="1" t="s">
        <v>50</v>
      </c>
      <c r="D493" s="1" t="s">
        <v>3312</v>
      </c>
      <c r="E493" s="1" t="s">
        <v>3313</v>
      </c>
      <c r="F493" s="22" t="s">
        <v>3</v>
      </c>
      <c r="G493" s="1" t="s">
        <v>6085</v>
      </c>
      <c r="H493" s="1" t="s">
        <v>5</v>
      </c>
      <c r="I493" s="1" t="s">
        <v>24</v>
      </c>
      <c r="J493" s="1" t="s">
        <v>25</v>
      </c>
      <c r="K493" s="1" t="s">
        <v>9</v>
      </c>
      <c r="L493" s="1" t="s">
        <v>78</v>
      </c>
      <c r="M493" s="11" t="s">
        <v>188</v>
      </c>
      <c r="N493" s="1" t="s">
        <v>6037</v>
      </c>
      <c r="O493" s="1" t="s">
        <v>13</v>
      </c>
      <c r="P493" s="1" t="s">
        <v>126</v>
      </c>
      <c r="Q493" s="1" t="s">
        <v>5877</v>
      </c>
      <c r="R493" s="1" t="s">
        <v>4754</v>
      </c>
      <c r="S493" s="1" t="s">
        <v>6064</v>
      </c>
      <c r="T493" s="1" t="s">
        <v>6065</v>
      </c>
      <c r="U493" s="1" t="s">
        <v>6102</v>
      </c>
      <c r="V493" s="1" t="s">
        <v>6197</v>
      </c>
      <c r="W493" s="27">
        <v>100</v>
      </c>
      <c r="X493" s="27">
        <v>82.142857142857139</v>
      </c>
      <c r="Y493" s="33">
        <f>AVERAGE(Table13[[#This Row],[Score 1]],Table13[[#This Row],[Score 2]])</f>
        <v>91.071428571428569</v>
      </c>
      <c r="Z493" s="1">
        <v>5</v>
      </c>
      <c r="AA493" s="1">
        <v>3</v>
      </c>
      <c r="AB493" s="22">
        <f>Table13[[#This Row],[Rank 1]]+Table13[[#This Row],[Rank 2]]</f>
        <v>8</v>
      </c>
      <c r="AC493" s="1" t="str">
        <f>IF(AND(Table13[[#This Row],[Average score]]&gt;75,Table13[[#This Row],[Total rank]]&gt;6.5),"Yes","No")</f>
        <v>Yes</v>
      </c>
      <c r="AD493" s="1" t="str">
        <f>IF(AND(Table13[[#This Row],[Average score]]&gt;80,Table13[[#This Row],[Total rank]]&gt;7.5),"Yes","No")</f>
        <v>Yes</v>
      </c>
      <c r="AF493" s="8">
        <v>46054</v>
      </c>
      <c r="AG493" s="1">
        <v>2</v>
      </c>
      <c r="AH493" s="27">
        <v>63000</v>
      </c>
      <c r="AI493" s="27">
        <v>63000</v>
      </c>
      <c r="AJ493" s="30">
        <v>0</v>
      </c>
      <c r="AK493" s="30">
        <f>Table13[[#This Row],[Year 1]]</f>
        <v>63000</v>
      </c>
      <c r="AL493" s="30">
        <f>Table13[[#This Row],[Year 2]]</f>
        <v>63000</v>
      </c>
      <c r="AM493" s="30">
        <f>Table13[[#This Row],[Year 3]]</f>
        <v>0</v>
      </c>
      <c r="AN493" s="1">
        <v>3</v>
      </c>
    </row>
    <row r="494" spans="1:40" hidden="1" x14ac:dyDescent="0.25">
      <c r="A494" s="1" t="s">
        <v>48</v>
      </c>
      <c r="B494" s="1" t="s">
        <v>2432</v>
      </c>
      <c r="C494" s="1" t="s">
        <v>50</v>
      </c>
      <c r="D494" s="1" t="s">
        <v>3314</v>
      </c>
      <c r="E494" s="1" t="s">
        <v>3315</v>
      </c>
      <c r="F494" s="22" t="s">
        <v>3</v>
      </c>
      <c r="G494" s="1" t="s">
        <v>6085</v>
      </c>
      <c r="H494" s="1" t="s">
        <v>6</v>
      </c>
      <c r="I494" s="1" t="s">
        <v>20</v>
      </c>
      <c r="J494" s="1" t="s">
        <v>25</v>
      </c>
      <c r="K494" s="1" t="s">
        <v>9</v>
      </c>
      <c r="L494" s="1" t="s">
        <v>78</v>
      </c>
      <c r="M494" s="11" t="s">
        <v>188</v>
      </c>
      <c r="N494" s="1" t="s">
        <v>6037</v>
      </c>
      <c r="O494" s="1" t="s">
        <v>16</v>
      </c>
      <c r="P494" s="1" t="s">
        <v>247</v>
      </c>
      <c r="Q494" s="1" t="s">
        <v>5878</v>
      </c>
      <c r="R494" s="1" t="s">
        <v>4756</v>
      </c>
      <c r="S494" s="1" t="s">
        <v>6123</v>
      </c>
      <c r="T494" s="1" t="s">
        <v>6124</v>
      </c>
      <c r="U494" s="1" t="s">
        <v>6132</v>
      </c>
      <c r="V494" s="1" t="s">
        <v>6202</v>
      </c>
      <c r="W494" s="27">
        <v>64.285714285714292</v>
      </c>
      <c r="X494" s="27">
        <v>67.857142857142861</v>
      </c>
      <c r="Y494" s="33">
        <f>AVERAGE(Table13[[#This Row],[Score 1]],Table13[[#This Row],[Score 2]])</f>
        <v>66.071428571428584</v>
      </c>
      <c r="Z494" s="1">
        <v>3</v>
      </c>
      <c r="AA494" s="1">
        <v>3</v>
      </c>
      <c r="AB494" s="22">
        <f>Table13[[#This Row],[Rank 1]]+Table13[[#This Row],[Rank 2]]</f>
        <v>6</v>
      </c>
      <c r="AC494" s="1" t="str">
        <f>IF(AND(Table13[[#This Row],[Average score]]&gt;75,Table13[[#This Row],[Total rank]]&gt;6.5),"Yes","No")</f>
        <v>No</v>
      </c>
      <c r="AD494" s="1" t="str">
        <f>IF(AND(Table13[[#This Row],[Average score]]&gt;80,Table13[[#This Row],[Total rank]]&gt;7.5),"Yes","No")</f>
        <v>No</v>
      </c>
      <c r="AF494" s="8">
        <v>46023</v>
      </c>
      <c r="AG494" s="1">
        <v>2</v>
      </c>
      <c r="AH494" s="27">
        <v>120000</v>
      </c>
      <c r="AI494" s="27">
        <v>120000</v>
      </c>
      <c r="AJ494" s="30">
        <v>0</v>
      </c>
      <c r="AK494" s="30">
        <f>Table13[[#This Row],[Year 1]]</f>
        <v>120000</v>
      </c>
      <c r="AL494" s="30">
        <f>Table13[[#This Row],[Year 2]]</f>
        <v>120000</v>
      </c>
      <c r="AM494" s="30">
        <f>Table13[[#This Row],[Year 3]]</f>
        <v>0</v>
      </c>
      <c r="AN494" s="1">
        <v>3</v>
      </c>
    </row>
    <row r="495" spans="1:40" hidden="1" x14ac:dyDescent="0.25">
      <c r="A495" s="1" t="s">
        <v>48</v>
      </c>
      <c r="B495" s="1" t="s">
        <v>2433</v>
      </c>
      <c r="C495" s="1" t="s">
        <v>50</v>
      </c>
      <c r="D495" s="1" t="s">
        <v>2804</v>
      </c>
      <c r="E495" s="1" t="s">
        <v>3316</v>
      </c>
      <c r="F495" s="22" t="s">
        <v>3</v>
      </c>
      <c r="G495" s="1" t="s">
        <v>6085</v>
      </c>
      <c r="H495" s="1" t="s">
        <v>6</v>
      </c>
      <c r="I495" s="1" t="s">
        <v>20</v>
      </c>
      <c r="J495" s="1" t="s">
        <v>25</v>
      </c>
      <c r="K495" s="1" t="s">
        <v>9</v>
      </c>
      <c r="L495" s="1" t="s">
        <v>78</v>
      </c>
      <c r="M495" s="11" t="s">
        <v>188</v>
      </c>
      <c r="N495" s="1" t="s">
        <v>6037</v>
      </c>
      <c r="O495" s="1" t="s">
        <v>13</v>
      </c>
      <c r="P495" s="1" t="s">
        <v>1456</v>
      </c>
      <c r="Q495" s="1" t="s">
        <v>5879</v>
      </c>
      <c r="R495" s="1" t="s">
        <v>4757</v>
      </c>
      <c r="S495" s="1" t="s">
        <v>6081</v>
      </c>
      <c r="T495" s="1" t="s">
        <v>6082</v>
      </c>
      <c r="U495" s="1" t="s">
        <v>6097</v>
      </c>
      <c r="V495" s="1" t="s">
        <v>6188</v>
      </c>
      <c r="W495" s="27">
        <v>67.857142857142861</v>
      </c>
      <c r="X495" s="27">
        <v>64.285714285714292</v>
      </c>
      <c r="Y495" s="33">
        <f>AVERAGE(Table13[[#This Row],[Score 1]],Table13[[#This Row],[Score 2]])</f>
        <v>66.071428571428584</v>
      </c>
      <c r="Z495" s="1">
        <v>3</v>
      </c>
      <c r="AA495" s="1">
        <v>3</v>
      </c>
      <c r="AB495" s="22">
        <f>Table13[[#This Row],[Rank 1]]+Table13[[#This Row],[Rank 2]]</f>
        <v>6</v>
      </c>
      <c r="AC495" s="1" t="str">
        <f>IF(AND(Table13[[#This Row],[Average score]]&gt;75,Table13[[#This Row],[Total rank]]&gt;6.5),"Yes","No")</f>
        <v>No</v>
      </c>
      <c r="AD495" s="1" t="str">
        <f>IF(AND(Table13[[#This Row],[Average score]]&gt;80,Table13[[#This Row],[Total rank]]&gt;7.5),"Yes","No")</f>
        <v>No</v>
      </c>
      <c r="AF495" s="8">
        <v>46027</v>
      </c>
      <c r="AG495" s="1">
        <v>1</v>
      </c>
      <c r="AH495" s="27">
        <v>113555</v>
      </c>
      <c r="AI495" s="30">
        <v>0</v>
      </c>
      <c r="AJ495" s="30">
        <v>0</v>
      </c>
      <c r="AK495" s="30">
        <f>Table13[[#This Row],[Year 1]]</f>
        <v>113555</v>
      </c>
      <c r="AL495" s="30">
        <f>Table13[[#This Row],[Year 2]]</f>
        <v>0</v>
      </c>
      <c r="AM495" s="30">
        <f>Table13[[#This Row],[Year 3]]</f>
        <v>0</v>
      </c>
      <c r="AN495" s="1">
        <v>3</v>
      </c>
    </row>
    <row r="496" spans="1:40" x14ac:dyDescent="0.25">
      <c r="A496" s="1" t="s">
        <v>48</v>
      </c>
      <c r="B496" s="1" t="s">
        <v>2435</v>
      </c>
      <c r="C496" s="1" t="s">
        <v>50</v>
      </c>
      <c r="D496" s="1" t="s">
        <v>3319</v>
      </c>
      <c r="E496" s="1" t="s">
        <v>3320</v>
      </c>
      <c r="F496" s="22" t="s">
        <v>3</v>
      </c>
      <c r="G496" s="1" t="s">
        <v>6085</v>
      </c>
      <c r="H496" s="1" t="s">
        <v>5</v>
      </c>
      <c r="I496" s="1" t="s">
        <v>20</v>
      </c>
      <c r="J496" s="1" t="s">
        <v>25</v>
      </c>
      <c r="K496" s="1" t="s">
        <v>9</v>
      </c>
      <c r="L496" s="1" t="s">
        <v>78</v>
      </c>
      <c r="M496" s="11" t="s">
        <v>188</v>
      </c>
      <c r="N496" s="1" t="s">
        <v>6037</v>
      </c>
      <c r="O496" s="1" t="s">
        <v>12</v>
      </c>
      <c r="P496" s="1" t="s">
        <v>126</v>
      </c>
      <c r="Q496" s="1" t="s">
        <v>5881</v>
      </c>
      <c r="R496" s="1" t="s">
        <v>4761</v>
      </c>
      <c r="S496" s="1" t="s">
        <v>6153</v>
      </c>
      <c r="T496" s="1" t="s">
        <v>6168</v>
      </c>
      <c r="U496" s="1" t="s">
        <v>6173</v>
      </c>
      <c r="V496" s="1" t="s">
        <v>6157</v>
      </c>
      <c r="W496" s="27">
        <v>78.571428571428569</v>
      </c>
      <c r="X496" s="27">
        <v>92.857142857142861</v>
      </c>
      <c r="Y496" s="33">
        <f>AVERAGE(Table13[[#This Row],[Score 1]],Table13[[#This Row],[Score 2]])</f>
        <v>85.714285714285722</v>
      </c>
      <c r="Z496" s="1">
        <v>3</v>
      </c>
      <c r="AA496" s="1">
        <v>5</v>
      </c>
      <c r="AB496" s="22">
        <f>Table13[[#This Row],[Rank 1]]+Table13[[#This Row],[Rank 2]]</f>
        <v>8</v>
      </c>
      <c r="AC496" s="1" t="str">
        <f>IF(AND(Table13[[#This Row],[Average score]]&gt;75,Table13[[#This Row],[Total rank]]&gt;6.5),"Yes","No")</f>
        <v>Yes</v>
      </c>
      <c r="AD496" s="1" t="str">
        <f>IF(AND(Table13[[#This Row],[Average score]]&gt;80,Table13[[#This Row],[Total rank]]&gt;7.5),"Yes","No")</f>
        <v>Yes</v>
      </c>
      <c r="AE496" s="1" t="s">
        <v>6221</v>
      </c>
      <c r="AF496" s="8">
        <v>45703</v>
      </c>
      <c r="AG496" s="1">
        <v>3</v>
      </c>
      <c r="AH496" s="27">
        <v>50000</v>
      </c>
      <c r="AI496" s="27">
        <v>250000</v>
      </c>
      <c r="AJ496" s="27">
        <v>250000</v>
      </c>
      <c r="AK496" s="27">
        <f>Table13[[#This Row],[Year 2]]</f>
        <v>250000</v>
      </c>
      <c r="AL496" s="27">
        <f>Table13[[#This Row],[Year 3]]</f>
        <v>250000</v>
      </c>
      <c r="AM496" s="27">
        <v>0</v>
      </c>
      <c r="AN496" s="1">
        <v>2</v>
      </c>
    </row>
    <row r="497" spans="1:40" hidden="1" x14ac:dyDescent="0.25">
      <c r="A497" s="1" t="s">
        <v>48</v>
      </c>
      <c r="B497" s="2" t="s">
        <v>2436</v>
      </c>
      <c r="C497" s="1" t="s">
        <v>50</v>
      </c>
      <c r="D497" s="1" t="s">
        <v>3321</v>
      </c>
      <c r="E497" s="1" t="s">
        <v>3322</v>
      </c>
      <c r="F497" s="22" t="s">
        <v>3</v>
      </c>
      <c r="G497" s="1" t="s">
        <v>6085</v>
      </c>
      <c r="H497" s="1" t="s">
        <v>6</v>
      </c>
      <c r="I497" s="1" t="s">
        <v>20</v>
      </c>
      <c r="J497" s="1" t="s">
        <v>25</v>
      </c>
      <c r="K497" s="1" t="s">
        <v>9</v>
      </c>
      <c r="L497" s="1" t="s">
        <v>78</v>
      </c>
      <c r="M497" s="11" t="s">
        <v>188</v>
      </c>
      <c r="N497" s="1" t="s">
        <v>6037</v>
      </c>
      <c r="O497" s="1" t="s">
        <v>13</v>
      </c>
      <c r="P497" s="1" t="s">
        <v>247</v>
      </c>
      <c r="Q497" s="1" t="s">
        <v>5882</v>
      </c>
      <c r="R497" s="1" t="s">
        <v>4762</v>
      </c>
      <c r="S497" s="1" t="s">
        <v>6066</v>
      </c>
      <c r="T497" s="1" t="s">
        <v>6067</v>
      </c>
      <c r="U497" s="1" t="s">
        <v>6103</v>
      </c>
      <c r="V497" s="1" t="s">
        <v>6198</v>
      </c>
      <c r="W497" s="27">
        <v>85.714285714285708</v>
      </c>
      <c r="X497" s="29">
        <f>Table13[[#This Row],[Score 1]]</f>
        <v>85.714285714285708</v>
      </c>
      <c r="Y497" s="33">
        <f>AVERAGE(Table13[[#This Row],[Score 1]],Table13[[#This Row],[Score 2]])</f>
        <v>85.714285714285708</v>
      </c>
      <c r="Z497" s="1">
        <v>4</v>
      </c>
      <c r="AA497" s="2">
        <f>Table13[[#This Row],[Rank 1]]</f>
        <v>4</v>
      </c>
      <c r="AB497" s="22">
        <f>Table13[[#This Row],[Rank 1]]+Table13[[#This Row],[Rank 2]]</f>
        <v>8</v>
      </c>
      <c r="AC497" s="1" t="str">
        <f>IF(AND(Table13[[#This Row],[Average score]]&gt;75,Table13[[#This Row],[Total rank]]&gt;6.5),"Yes","No")</f>
        <v>Yes</v>
      </c>
      <c r="AD497" s="1" t="str">
        <f>IF(AND(Table13[[#This Row],[Average score]]&gt;80,Table13[[#This Row],[Total rank]]&gt;7.5),"Yes","No")</f>
        <v>Yes</v>
      </c>
      <c r="AF497" s="8">
        <v>45677</v>
      </c>
      <c r="AG497" s="1">
        <v>1</v>
      </c>
      <c r="AH497" s="27">
        <v>196000</v>
      </c>
      <c r="AI497" s="30">
        <v>0</v>
      </c>
      <c r="AJ497" s="30">
        <v>0</v>
      </c>
      <c r="AK497" s="30">
        <f>Table13[[#This Row],[Year 1]]</f>
        <v>196000</v>
      </c>
      <c r="AL497" s="30">
        <f>Table13[[#This Row],[Year 2]]</f>
        <v>0</v>
      </c>
      <c r="AM497" s="30">
        <f>Table13[[#This Row],[Year 3]]</f>
        <v>0</v>
      </c>
      <c r="AN497" s="1">
        <v>3</v>
      </c>
    </row>
    <row r="498" spans="1:40" hidden="1" x14ac:dyDescent="0.25">
      <c r="A498" s="1" t="s">
        <v>48</v>
      </c>
      <c r="B498" s="2" t="s">
        <v>2437</v>
      </c>
      <c r="C498" s="1" t="s">
        <v>50</v>
      </c>
      <c r="D498" s="1" t="s">
        <v>3323</v>
      </c>
      <c r="E498" s="1" t="s">
        <v>3324</v>
      </c>
      <c r="F498" s="22" t="s">
        <v>3</v>
      </c>
      <c r="G498" s="1" t="s">
        <v>6085</v>
      </c>
      <c r="H498" s="1" t="s">
        <v>5</v>
      </c>
      <c r="I498" s="1" t="s">
        <v>22</v>
      </c>
      <c r="J498" s="1" t="s">
        <v>25</v>
      </c>
      <c r="K498" s="1" t="s">
        <v>9</v>
      </c>
      <c r="L498" s="1" t="s">
        <v>78</v>
      </c>
      <c r="M498" s="11" t="s">
        <v>188</v>
      </c>
      <c r="N498" s="1" t="s">
        <v>6037</v>
      </c>
      <c r="O498" s="1" t="s">
        <v>10</v>
      </c>
      <c r="P498" s="1" t="s">
        <v>247</v>
      </c>
      <c r="Q498" s="18" t="s">
        <v>5883</v>
      </c>
      <c r="R498" s="1" t="s">
        <v>4763</v>
      </c>
      <c r="S498" s="1" t="s">
        <v>6048</v>
      </c>
      <c r="T498" s="1" t="s">
        <v>6051</v>
      </c>
      <c r="U498" s="1" t="s">
        <v>6086</v>
      </c>
      <c r="V498" s="1" t="s">
        <v>6193</v>
      </c>
      <c r="W498" s="27">
        <v>75</v>
      </c>
      <c r="X498" s="27">
        <v>57.142857142857139</v>
      </c>
      <c r="Y498" s="33">
        <f>AVERAGE(Table13[[#This Row],[Score 1]],Table13[[#This Row],[Score 2]])</f>
        <v>66.071428571428569</v>
      </c>
      <c r="Z498" s="1">
        <v>4</v>
      </c>
      <c r="AA498" s="1">
        <v>2</v>
      </c>
      <c r="AB498" s="22">
        <f>Table13[[#This Row],[Rank 1]]+Table13[[#This Row],[Rank 2]]</f>
        <v>6</v>
      </c>
      <c r="AC498" s="1" t="str">
        <f>IF(AND(Table13[[#This Row],[Average score]]&gt;75,Table13[[#This Row],[Total rank]]&gt;6.5),"Yes","No")</f>
        <v>No</v>
      </c>
      <c r="AD498" s="1" t="str">
        <f>IF(AND(Table13[[#This Row],[Average score]]&gt;80,Table13[[#This Row],[Total rank]]&gt;7.5),"Yes","No")</f>
        <v>No</v>
      </c>
      <c r="AF498" s="8">
        <v>46058</v>
      </c>
      <c r="AG498" s="1">
        <v>3</v>
      </c>
      <c r="AH498" s="27">
        <v>231000</v>
      </c>
      <c r="AI498" s="27">
        <v>258000</v>
      </c>
      <c r="AJ498" s="27">
        <v>272000</v>
      </c>
      <c r="AK498" s="27">
        <f>Table13[[#This Row],[Year 1]]</f>
        <v>231000</v>
      </c>
      <c r="AL498" s="27">
        <f>Table13[[#This Row],[Year 2]]</f>
        <v>258000</v>
      </c>
      <c r="AM498" s="27">
        <f>Table13[[#This Row],[Year 3]]</f>
        <v>272000</v>
      </c>
      <c r="AN498" s="1">
        <v>3</v>
      </c>
    </row>
    <row r="499" spans="1:40" hidden="1" x14ac:dyDescent="0.25">
      <c r="A499" s="1" t="s">
        <v>48</v>
      </c>
      <c r="B499" s="1" t="s">
        <v>2438</v>
      </c>
      <c r="C499" s="1" t="s">
        <v>50</v>
      </c>
      <c r="D499" s="1" t="s">
        <v>3325</v>
      </c>
      <c r="E499" s="1" t="s">
        <v>3326</v>
      </c>
      <c r="F499" s="22" t="s">
        <v>3</v>
      </c>
      <c r="G499" s="1" t="s">
        <v>6085</v>
      </c>
      <c r="H499" s="1" t="s">
        <v>6</v>
      </c>
      <c r="I499" s="1" t="s">
        <v>20</v>
      </c>
      <c r="J499" s="1" t="s">
        <v>25</v>
      </c>
      <c r="K499" s="1" t="s">
        <v>9</v>
      </c>
      <c r="L499" s="1" t="s">
        <v>78</v>
      </c>
      <c r="M499" s="11" t="s">
        <v>188</v>
      </c>
      <c r="N499" s="1" t="s">
        <v>6037</v>
      </c>
      <c r="O499" s="1" t="s">
        <v>13</v>
      </c>
      <c r="P499" s="1" t="s">
        <v>247</v>
      </c>
      <c r="Q499" s="1" t="s">
        <v>5884</v>
      </c>
      <c r="R499" s="1" t="s">
        <v>4767</v>
      </c>
      <c r="S499" s="1" t="s">
        <v>6075</v>
      </c>
      <c r="T499" s="1" t="s">
        <v>6074</v>
      </c>
      <c r="U499" s="1" t="s">
        <v>6093</v>
      </c>
      <c r="V499" s="1" t="s">
        <v>6181</v>
      </c>
      <c r="W499" s="27">
        <v>89.285714285714292</v>
      </c>
      <c r="X499" s="27">
        <v>57.142857142857139</v>
      </c>
      <c r="Y499" s="33">
        <f>AVERAGE(Table13[[#This Row],[Score 1]],Table13[[#This Row],[Score 2]])</f>
        <v>73.214285714285722</v>
      </c>
      <c r="Z499" s="1">
        <v>5</v>
      </c>
      <c r="AA499" s="1">
        <v>3</v>
      </c>
      <c r="AB499" s="22">
        <f>Table13[[#This Row],[Rank 1]]+Table13[[#This Row],[Rank 2]]</f>
        <v>8</v>
      </c>
      <c r="AC499" s="1" t="str">
        <f>IF(AND(Table13[[#This Row],[Average score]]&gt;75,Table13[[#This Row],[Total rank]]&gt;6.5),"Yes","No")</f>
        <v>No</v>
      </c>
      <c r="AD499" s="1" t="str">
        <f>IF(AND(Table13[[#This Row],[Average score]]&gt;80,Table13[[#This Row],[Total rank]]&gt;7.5),"Yes","No")</f>
        <v>No</v>
      </c>
      <c r="AF499" s="8">
        <v>45688</v>
      </c>
      <c r="AG499" s="1">
        <v>1</v>
      </c>
      <c r="AH499" s="27">
        <v>180600</v>
      </c>
      <c r="AI499" s="30">
        <v>0</v>
      </c>
      <c r="AJ499" s="30">
        <v>0</v>
      </c>
      <c r="AK499" s="30">
        <f>Table13[[#This Row],[Year 1]]</f>
        <v>180600</v>
      </c>
      <c r="AL499" s="30">
        <f>Table13[[#This Row],[Year 2]]</f>
        <v>0</v>
      </c>
      <c r="AM499" s="30">
        <f>Table13[[#This Row],[Year 3]]</f>
        <v>0</v>
      </c>
      <c r="AN499" s="1">
        <v>3</v>
      </c>
    </row>
    <row r="500" spans="1:40" hidden="1" x14ac:dyDescent="0.25">
      <c r="A500" s="1" t="s">
        <v>48</v>
      </c>
      <c r="B500" s="10" t="s">
        <v>2439</v>
      </c>
      <c r="C500" s="1" t="s">
        <v>50</v>
      </c>
      <c r="D500" s="1" t="s">
        <v>3327</v>
      </c>
      <c r="E500" s="1" t="s">
        <v>3328</v>
      </c>
      <c r="F500" s="22" t="s">
        <v>3</v>
      </c>
      <c r="G500" s="1" t="s">
        <v>6085</v>
      </c>
      <c r="H500" s="1" t="s">
        <v>6</v>
      </c>
      <c r="I500" s="1" t="s">
        <v>20</v>
      </c>
      <c r="J500" s="1" t="s">
        <v>25</v>
      </c>
      <c r="K500" s="1" t="s">
        <v>9</v>
      </c>
      <c r="L500" s="1" t="s">
        <v>78</v>
      </c>
      <c r="M500" s="11" t="s">
        <v>188</v>
      </c>
      <c r="N500" s="1" t="s">
        <v>6037</v>
      </c>
      <c r="O500" s="1" t="s">
        <v>13</v>
      </c>
      <c r="P500" s="1" t="s">
        <v>593</v>
      </c>
      <c r="Q500" s="1" t="s">
        <v>5284</v>
      </c>
      <c r="R500" s="1" t="s">
        <v>4768</v>
      </c>
      <c r="S500" s="1" t="s">
        <v>6068</v>
      </c>
      <c r="T500" s="1" t="s">
        <v>6069</v>
      </c>
      <c r="U500" s="1" t="s">
        <v>6099</v>
      </c>
      <c r="V500" s="1" t="s">
        <v>6194</v>
      </c>
      <c r="W500" s="27">
        <v>67.857142857142861</v>
      </c>
      <c r="X500" s="27">
        <v>64.285714285714292</v>
      </c>
      <c r="Y500" s="33">
        <f>AVERAGE(Table13[[#This Row],[Score 1]],Table13[[#This Row],[Score 2]])</f>
        <v>66.071428571428584</v>
      </c>
      <c r="Z500" s="1">
        <v>3</v>
      </c>
      <c r="AA500" s="1">
        <v>3</v>
      </c>
      <c r="AB500" s="22">
        <f>Table13[[#This Row],[Rank 1]]+Table13[[#This Row],[Rank 2]]</f>
        <v>6</v>
      </c>
      <c r="AC500" s="1" t="str">
        <f>IF(AND(Table13[[#This Row],[Average score]]&gt;75,Table13[[#This Row],[Total rank]]&gt;6.5),"Yes","No")</f>
        <v>No</v>
      </c>
      <c r="AD500" s="1" t="str">
        <f>IF(AND(Table13[[#This Row],[Average score]]&gt;80,Table13[[#This Row],[Total rank]]&gt;7.5),"Yes","No")</f>
        <v>No</v>
      </c>
      <c r="AF500" s="8">
        <v>46055</v>
      </c>
      <c r="AG500" s="1">
        <v>1</v>
      </c>
      <c r="AH500" s="27">
        <v>173944</v>
      </c>
      <c r="AI500" s="30">
        <v>0</v>
      </c>
      <c r="AJ500" s="30">
        <v>0</v>
      </c>
      <c r="AK500" s="30">
        <f>Table13[[#This Row],[Year 1]]</f>
        <v>173944</v>
      </c>
      <c r="AL500" s="30">
        <f>Table13[[#This Row],[Year 2]]</f>
        <v>0</v>
      </c>
      <c r="AM500" s="30">
        <f>Table13[[#This Row],[Year 3]]</f>
        <v>0</v>
      </c>
      <c r="AN500" s="1">
        <v>3</v>
      </c>
    </row>
    <row r="501" spans="1:40" hidden="1" x14ac:dyDescent="0.25">
      <c r="A501" s="1" t="s">
        <v>48</v>
      </c>
      <c r="B501" s="1" t="s">
        <v>2440</v>
      </c>
      <c r="C501" s="1" t="s">
        <v>50</v>
      </c>
      <c r="D501" s="1" t="s">
        <v>3329</v>
      </c>
      <c r="E501" s="1" t="s">
        <v>3330</v>
      </c>
      <c r="F501" s="22" t="s">
        <v>3</v>
      </c>
      <c r="G501" s="1" t="s">
        <v>6085</v>
      </c>
      <c r="H501" s="1" t="s">
        <v>5</v>
      </c>
      <c r="I501" s="1" t="s">
        <v>24</v>
      </c>
      <c r="J501" s="1" t="s">
        <v>25</v>
      </c>
      <c r="K501" s="1" t="s">
        <v>9</v>
      </c>
      <c r="L501" s="1" t="s">
        <v>78</v>
      </c>
      <c r="M501" s="11" t="s">
        <v>188</v>
      </c>
      <c r="N501" s="1" t="s">
        <v>6037</v>
      </c>
      <c r="O501" s="1" t="s">
        <v>11</v>
      </c>
      <c r="P501" s="1" t="s">
        <v>126</v>
      </c>
      <c r="Q501" s="1" t="s">
        <v>5885</v>
      </c>
      <c r="R501" s="1" t="s">
        <v>4770</v>
      </c>
      <c r="S501" s="1" t="s">
        <v>6053</v>
      </c>
      <c r="T501" s="1" t="s">
        <v>6056</v>
      </c>
      <c r="U501" s="1" t="s">
        <v>6087</v>
      </c>
      <c r="V501" s="1" t="s">
        <v>6199</v>
      </c>
      <c r="W501" s="27">
        <v>100</v>
      </c>
      <c r="X501" s="27">
        <v>75</v>
      </c>
      <c r="Y501" s="33">
        <f>AVERAGE(Table13[[#This Row],[Score 1]],Table13[[#This Row],[Score 2]])</f>
        <v>87.5</v>
      </c>
      <c r="Z501" s="1">
        <v>5</v>
      </c>
      <c r="AA501" s="1">
        <v>3</v>
      </c>
      <c r="AB501" s="22">
        <f>Table13[[#This Row],[Rank 1]]+Table13[[#This Row],[Rank 2]]</f>
        <v>8</v>
      </c>
      <c r="AC501" s="1" t="str">
        <f>IF(AND(Table13[[#This Row],[Average score]]&gt;75,Table13[[#This Row],[Total rank]]&gt;6.5),"Yes","No")</f>
        <v>Yes</v>
      </c>
      <c r="AD501" s="1" t="str">
        <f>IF(AND(Table13[[#This Row],[Average score]]&gt;80,Table13[[#This Row],[Total rank]]&gt;7.5),"Yes","No")</f>
        <v>Yes</v>
      </c>
      <c r="AF501" s="8">
        <v>45744</v>
      </c>
      <c r="AG501" s="1">
        <v>2</v>
      </c>
      <c r="AH501" s="27">
        <v>337985</v>
      </c>
      <c r="AI501" s="27">
        <v>262720</v>
      </c>
      <c r="AJ501" s="27">
        <v>279170</v>
      </c>
      <c r="AK501" s="27">
        <f>Table13[[#This Row],[Year 1]]</f>
        <v>337985</v>
      </c>
      <c r="AL501" s="27">
        <f>Table13[[#This Row],[Year 2]]</f>
        <v>262720</v>
      </c>
      <c r="AM501" s="27">
        <f>Table13[[#This Row],[Year 3]]</f>
        <v>279170</v>
      </c>
      <c r="AN501" s="1">
        <v>3</v>
      </c>
    </row>
    <row r="502" spans="1:40" hidden="1" x14ac:dyDescent="0.25">
      <c r="A502" s="1" t="s">
        <v>48</v>
      </c>
      <c r="B502" s="1" t="s">
        <v>2441</v>
      </c>
      <c r="C502" s="1" t="s">
        <v>50</v>
      </c>
      <c r="D502" s="1" t="s">
        <v>3331</v>
      </c>
      <c r="E502" s="1" t="s">
        <v>3332</v>
      </c>
      <c r="F502" s="22" t="s">
        <v>3</v>
      </c>
      <c r="G502" s="1" t="s">
        <v>6085</v>
      </c>
      <c r="H502" s="1" t="s">
        <v>6</v>
      </c>
      <c r="I502" s="1" t="s">
        <v>20</v>
      </c>
      <c r="J502" s="1" t="s">
        <v>25</v>
      </c>
      <c r="K502" s="1" t="s">
        <v>9</v>
      </c>
      <c r="L502" s="1" t="s">
        <v>78</v>
      </c>
      <c r="M502" s="11" t="s">
        <v>188</v>
      </c>
      <c r="N502" s="1" t="s">
        <v>6037</v>
      </c>
      <c r="O502" s="1" t="s">
        <v>19</v>
      </c>
      <c r="P502" s="1" t="s">
        <v>4774</v>
      </c>
      <c r="Q502" s="1" t="s">
        <v>5886</v>
      </c>
      <c r="R502" s="1" t="s">
        <v>4775</v>
      </c>
      <c r="S502" s="1" t="s">
        <v>6137</v>
      </c>
      <c r="T502" s="1" t="s">
        <v>6138</v>
      </c>
      <c r="U502" s="1" t="s">
        <v>6160</v>
      </c>
      <c r="V502" s="1" t="s">
        <v>6203</v>
      </c>
      <c r="W502" s="27">
        <v>83.333333333333343</v>
      </c>
      <c r="X502" s="27">
        <v>88.888888888888886</v>
      </c>
      <c r="Y502" s="33">
        <f>AVERAGE(Table13[[#This Row],[Score 1]],Table13[[#This Row],[Score 2]])</f>
        <v>86.111111111111114</v>
      </c>
      <c r="Z502" s="1">
        <v>4</v>
      </c>
      <c r="AA502" s="1">
        <v>5</v>
      </c>
      <c r="AB502" s="22">
        <f>Table13[[#This Row],[Rank 1]]+Table13[[#This Row],[Rank 2]]</f>
        <v>9</v>
      </c>
      <c r="AC502" s="1" t="str">
        <f>IF(AND(Table13[[#This Row],[Average score]]&gt;75,Table13[[#This Row],[Total rank]]&gt;6.5),"Yes","No")</f>
        <v>Yes</v>
      </c>
      <c r="AD502" s="1" t="str">
        <f>IF(AND(Table13[[#This Row],[Average score]]&gt;80,Table13[[#This Row],[Total rank]]&gt;7.5),"Yes","No")</f>
        <v>Yes</v>
      </c>
      <c r="AF502" s="8">
        <v>45698</v>
      </c>
      <c r="AG502" s="1">
        <v>2</v>
      </c>
      <c r="AH502" s="27">
        <v>177632</v>
      </c>
      <c r="AI502" s="27">
        <v>243218</v>
      </c>
      <c r="AJ502" s="30">
        <v>0</v>
      </c>
      <c r="AK502" s="30">
        <f>Table13[[#This Row],[Year 1]]</f>
        <v>177632</v>
      </c>
      <c r="AL502" s="30">
        <f>Table13[[#This Row],[Year 2]]</f>
        <v>243218</v>
      </c>
      <c r="AM502" s="30">
        <f>Table13[[#This Row],[Year 3]]</f>
        <v>0</v>
      </c>
      <c r="AN502" s="1">
        <v>3</v>
      </c>
    </row>
    <row r="503" spans="1:40" hidden="1" x14ac:dyDescent="0.25">
      <c r="A503" s="1" t="s">
        <v>48</v>
      </c>
      <c r="B503" s="10" t="s">
        <v>2442</v>
      </c>
      <c r="C503" s="1" t="s">
        <v>50</v>
      </c>
      <c r="D503" s="1" t="s">
        <v>3333</v>
      </c>
      <c r="E503" s="1" t="s">
        <v>3334</v>
      </c>
      <c r="F503" s="22" t="s">
        <v>3</v>
      </c>
      <c r="G503" s="1" t="s">
        <v>6085</v>
      </c>
      <c r="H503" s="1" t="s">
        <v>5</v>
      </c>
      <c r="I503" s="1" t="s">
        <v>24</v>
      </c>
      <c r="J503" s="1" t="s">
        <v>25</v>
      </c>
      <c r="K503" s="1" t="s">
        <v>9</v>
      </c>
      <c r="L503" s="1" t="s">
        <v>78</v>
      </c>
      <c r="M503" s="11" t="s">
        <v>188</v>
      </c>
      <c r="N503" s="1" t="s">
        <v>6037</v>
      </c>
      <c r="O503" s="1" t="s">
        <v>13</v>
      </c>
      <c r="P503" s="1" t="s">
        <v>1456</v>
      </c>
      <c r="Q503" s="1" t="s">
        <v>5887</v>
      </c>
      <c r="R503" s="1" t="s">
        <v>4778</v>
      </c>
      <c r="S503" s="1" t="s">
        <v>6079</v>
      </c>
      <c r="T503" s="1" t="s">
        <v>6080</v>
      </c>
      <c r="U503" s="1" t="s">
        <v>6089</v>
      </c>
      <c r="V503" s="1" t="s">
        <v>6172</v>
      </c>
      <c r="W503" s="27">
        <v>89.285714285714292</v>
      </c>
      <c r="X503" s="27">
        <v>92.857142857142861</v>
      </c>
      <c r="Y503" s="33">
        <f>AVERAGE(Table13[[#This Row],[Score 1]],Table13[[#This Row],[Score 2]])</f>
        <v>91.071428571428584</v>
      </c>
      <c r="Z503" s="1">
        <v>3</v>
      </c>
      <c r="AA503" s="1">
        <v>4</v>
      </c>
      <c r="AB503" s="22">
        <f>Table13[[#This Row],[Rank 1]]+Table13[[#This Row],[Rank 2]]</f>
        <v>7</v>
      </c>
      <c r="AC503" s="1" t="str">
        <f>IF(AND(Table13[[#This Row],[Average score]]&gt;75,Table13[[#This Row],[Total rank]]&gt;6.5),"Yes","No")</f>
        <v>Yes</v>
      </c>
      <c r="AD503" s="1" t="str">
        <f>IF(AND(Table13[[#This Row],[Average score]]&gt;80,Table13[[#This Row],[Total rank]]&gt;7.5),"Yes","No")</f>
        <v>No</v>
      </c>
      <c r="AF503" s="8">
        <v>45686</v>
      </c>
      <c r="AG503" s="1">
        <v>2</v>
      </c>
      <c r="AH503" s="27">
        <v>263640.59999999998</v>
      </c>
      <c r="AI503" s="27">
        <v>211354.66</v>
      </c>
      <c r="AJ503" s="30">
        <v>0</v>
      </c>
      <c r="AK503" s="30">
        <f>Table13[[#This Row],[Year 1]]</f>
        <v>263640.59999999998</v>
      </c>
      <c r="AL503" s="30">
        <f>Table13[[#This Row],[Year 2]]</f>
        <v>211354.66</v>
      </c>
      <c r="AM503" s="30">
        <f>Table13[[#This Row],[Year 3]]</f>
        <v>0</v>
      </c>
      <c r="AN503" s="1">
        <v>3</v>
      </c>
    </row>
    <row r="504" spans="1:40" hidden="1" x14ac:dyDescent="0.25">
      <c r="A504" s="1" t="s">
        <v>48</v>
      </c>
      <c r="B504" s="1" t="s">
        <v>2443</v>
      </c>
      <c r="C504" s="1" t="s">
        <v>50</v>
      </c>
      <c r="D504" s="1" t="s">
        <v>3335</v>
      </c>
      <c r="E504" s="1" t="s">
        <v>3336</v>
      </c>
      <c r="F504" s="22" t="s">
        <v>3</v>
      </c>
      <c r="G504" s="1" t="s">
        <v>6085</v>
      </c>
      <c r="H504" s="1" t="s">
        <v>5</v>
      </c>
      <c r="I504" s="1" t="s">
        <v>21</v>
      </c>
      <c r="J504" s="1" t="s">
        <v>26</v>
      </c>
      <c r="K504" s="1" t="s">
        <v>9</v>
      </c>
      <c r="L504" s="1" t="s">
        <v>78</v>
      </c>
      <c r="M504" s="11" t="s">
        <v>188</v>
      </c>
      <c r="N504" s="1" t="s">
        <v>6037</v>
      </c>
      <c r="O504" s="1" t="s">
        <v>14</v>
      </c>
      <c r="P504" s="1" t="s">
        <v>126</v>
      </c>
      <c r="Q504" s="1" t="s">
        <v>5888</v>
      </c>
      <c r="R504" s="1" t="s">
        <v>4781</v>
      </c>
      <c r="S504" s="1" t="s">
        <v>6150</v>
      </c>
      <c r="T504" s="1" t="s">
        <v>6149</v>
      </c>
      <c r="U504" s="1" t="s">
        <v>6158</v>
      </c>
      <c r="V504" s="1" t="s">
        <v>6166</v>
      </c>
      <c r="W504" s="27">
        <v>96.428571428571431</v>
      </c>
      <c r="X504" s="27">
        <v>82.142857142857139</v>
      </c>
      <c r="Y504" s="33">
        <f>AVERAGE(Table13[[#This Row],[Score 1]],Table13[[#This Row],[Score 2]])</f>
        <v>89.285714285714278</v>
      </c>
      <c r="Z504" s="1">
        <v>4</v>
      </c>
      <c r="AA504" s="1">
        <v>3</v>
      </c>
      <c r="AB504" s="22">
        <f>Table13[[#This Row],[Rank 1]]+Table13[[#This Row],[Rank 2]]</f>
        <v>7</v>
      </c>
      <c r="AC504" s="1" t="str">
        <f>IF(AND(Table13[[#This Row],[Average score]]&gt;75,Table13[[#This Row],[Total rank]]&gt;6.5),"Yes","No")</f>
        <v>Yes</v>
      </c>
      <c r="AD504" s="1" t="str">
        <f>IF(AND(Table13[[#This Row],[Average score]]&gt;80,Table13[[#This Row],[Total rank]]&gt;7.5),"Yes","No")</f>
        <v>No</v>
      </c>
      <c r="AF504" s="8">
        <v>45327</v>
      </c>
      <c r="AG504" s="1">
        <v>1</v>
      </c>
      <c r="AH504" s="27">
        <v>270000</v>
      </c>
      <c r="AI504" s="30">
        <v>0</v>
      </c>
      <c r="AJ504" s="30">
        <v>0</v>
      </c>
      <c r="AK504" s="30">
        <f>Table13[[#This Row],[Year 1]]</f>
        <v>270000</v>
      </c>
      <c r="AL504" s="30">
        <f>Table13[[#This Row],[Year 2]]</f>
        <v>0</v>
      </c>
      <c r="AM504" s="30">
        <f>Table13[[#This Row],[Year 3]]</f>
        <v>0</v>
      </c>
      <c r="AN504" s="1">
        <v>3</v>
      </c>
    </row>
    <row r="505" spans="1:40" hidden="1" x14ac:dyDescent="0.25">
      <c r="A505" s="1" t="s">
        <v>48</v>
      </c>
      <c r="B505" s="1" t="s">
        <v>2444</v>
      </c>
      <c r="C505" s="1" t="s">
        <v>50</v>
      </c>
      <c r="D505" s="1" t="s">
        <v>3337</v>
      </c>
      <c r="E505" s="1" t="s">
        <v>3338</v>
      </c>
      <c r="F505" s="22" t="s">
        <v>3</v>
      </c>
      <c r="G505" s="1" t="s">
        <v>6085</v>
      </c>
      <c r="H505" s="1" t="s">
        <v>5</v>
      </c>
      <c r="I505" s="1" t="s">
        <v>20</v>
      </c>
      <c r="J505" s="1" t="s">
        <v>25</v>
      </c>
      <c r="K505" s="1" t="s">
        <v>9</v>
      </c>
      <c r="L505" s="1" t="s">
        <v>78</v>
      </c>
      <c r="M505" s="11" t="s">
        <v>188</v>
      </c>
      <c r="N505" s="1" t="s">
        <v>6037</v>
      </c>
      <c r="O505" s="1" t="s">
        <v>13</v>
      </c>
      <c r="P505" s="1" t="s">
        <v>126</v>
      </c>
      <c r="Q505" s="1" t="s">
        <v>5889</v>
      </c>
      <c r="R505" s="1" t="s">
        <v>4782</v>
      </c>
      <c r="S505" s="1" t="s">
        <v>6068</v>
      </c>
      <c r="T505" s="1" t="s">
        <v>6069</v>
      </c>
      <c r="U505" s="1" t="s">
        <v>6099</v>
      </c>
      <c r="V505" s="1" t="s">
        <v>6194</v>
      </c>
      <c r="W505" s="27">
        <v>85.714285714285708</v>
      </c>
      <c r="X505" s="27">
        <v>60.714285714285708</v>
      </c>
      <c r="Y505" s="33">
        <f>AVERAGE(Table13[[#This Row],[Score 1]],Table13[[#This Row],[Score 2]])</f>
        <v>73.214285714285708</v>
      </c>
      <c r="Z505" s="1">
        <v>4</v>
      </c>
      <c r="AA505" s="1">
        <v>3</v>
      </c>
      <c r="AB505" s="22">
        <f>Table13[[#This Row],[Rank 1]]+Table13[[#This Row],[Rank 2]]</f>
        <v>7</v>
      </c>
      <c r="AC505" s="1" t="str">
        <f>IF(AND(Table13[[#This Row],[Average score]]&gt;75,Table13[[#This Row],[Total rank]]&gt;6.5),"Yes","No")</f>
        <v>No</v>
      </c>
      <c r="AD505" s="1" t="str">
        <f>IF(AND(Table13[[#This Row],[Average score]]&gt;80,Table13[[#This Row],[Total rank]]&gt;7.5),"Yes","No")</f>
        <v>No</v>
      </c>
      <c r="AF505" s="8">
        <v>46083</v>
      </c>
      <c r="AG505" s="1">
        <v>3</v>
      </c>
      <c r="AH505" s="27">
        <v>222170</v>
      </c>
      <c r="AI505" s="27">
        <v>223170</v>
      </c>
      <c r="AJ505" s="27">
        <v>224170</v>
      </c>
      <c r="AK505" s="27">
        <f>Table13[[#This Row],[Year 1]]</f>
        <v>222170</v>
      </c>
      <c r="AL505" s="27">
        <f>Table13[[#This Row],[Year 2]]</f>
        <v>223170</v>
      </c>
      <c r="AM505" s="27">
        <f>Table13[[#This Row],[Year 3]]</f>
        <v>224170</v>
      </c>
      <c r="AN505" s="1">
        <v>3</v>
      </c>
    </row>
    <row r="506" spans="1:40" x14ac:dyDescent="0.25">
      <c r="A506" s="1" t="s">
        <v>48</v>
      </c>
      <c r="B506" s="1" t="s">
        <v>2446</v>
      </c>
      <c r="C506" s="1" t="s">
        <v>50</v>
      </c>
      <c r="D506" s="1" t="s">
        <v>3341</v>
      </c>
      <c r="E506" s="1" t="s">
        <v>3342</v>
      </c>
      <c r="F506" s="22" t="s">
        <v>3</v>
      </c>
      <c r="G506" s="1" t="s">
        <v>6085</v>
      </c>
      <c r="H506" s="1" t="s">
        <v>6</v>
      </c>
      <c r="I506" s="1" t="s">
        <v>20</v>
      </c>
      <c r="J506" s="1" t="s">
        <v>25</v>
      </c>
      <c r="K506" s="1" t="s">
        <v>9</v>
      </c>
      <c r="L506" s="1" t="s">
        <v>78</v>
      </c>
      <c r="M506" s="11" t="s">
        <v>188</v>
      </c>
      <c r="N506" s="1" t="s">
        <v>6037</v>
      </c>
      <c r="O506" s="1" t="s">
        <v>16</v>
      </c>
      <c r="P506" s="1" t="s">
        <v>4789</v>
      </c>
      <c r="Q506" s="1" t="s">
        <v>4621</v>
      </c>
      <c r="R506" s="1" t="s">
        <v>4790</v>
      </c>
      <c r="S506" s="1" t="s">
        <v>6123</v>
      </c>
      <c r="T506" s="1" t="s">
        <v>6124</v>
      </c>
      <c r="U506" s="1" t="s">
        <v>6132</v>
      </c>
      <c r="V506" s="1" t="s">
        <v>6202</v>
      </c>
      <c r="W506" s="27">
        <v>78.571428571428569</v>
      </c>
      <c r="X506" s="27">
        <v>89.285714285714292</v>
      </c>
      <c r="Y506" s="33">
        <f>AVERAGE(Table13[[#This Row],[Score 1]],Table13[[#This Row],[Score 2]])</f>
        <v>83.928571428571431</v>
      </c>
      <c r="Z506" s="1">
        <v>5</v>
      </c>
      <c r="AA506" s="1">
        <v>5</v>
      </c>
      <c r="AB506" s="22">
        <f>Table13[[#This Row],[Rank 1]]+Table13[[#This Row],[Rank 2]]</f>
        <v>10</v>
      </c>
      <c r="AC506" s="1" t="str">
        <f>IF(AND(Table13[[#This Row],[Average score]]&gt;75,Table13[[#This Row],[Total rank]]&gt;6.5),"Yes","No")</f>
        <v>Yes</v>
      </c>
      <c r="AD506" s="1" t="str">
        <f>IF(AND(Table13[[#This Row],[Average score]]&gt;80,Table13[[#This Row],[Total rank]]&gt;7.5),"Yes","No")</f>
        <v>Yes</v>
      </c>
      <c r="AE506" s="1" t="s">
        <v>6221</v>
      </c>
      <c r="AF506" s="8">
        <v>46023</v>
      </c>
      <c r="AG506" s="1">
        <v>2</v>
      </c>
      <c r="AH506" s="27">
        <v>232000</v>
      </c>
      <c r="AI506" s="27">
        <v>232000</v>
      </c>
      <c r="AJ506" s="30">
        <v>0</v>
      </c>
      <c r="AK506" s="30">
        <f>Table13[[#This Row],[Year 1]]</f>
        <v>232000</v>
      </c>
      <c r="AL506" s="30">
        <f>Table13[[#This Row],[Year 2]]</f>
        <v>232000</v>
      </c>
      <c r="AM506" s="30">
        <f>Table13[[#This Row],[Year 3]]</f>
        <v>0</v>
      </c>
      <c r="AN506" s="1">
        <v>3</v>
      </c>
    </row>
    <row r="507" spans="1:40" hidden="1" x14ac:dyDescent="0.25">
      <c r="A507" s="1" t="s">
        <v>48</v>
      </c>
      <c r="B507" s="1" t="s">
        <v>2447</v>
      </c>
      <c r="C507" s="1" t="s">
        <v>50</v>
      </c>
      <c r="D507" s="1" t="s">
        <v>3343</v>
      </c>
      <c r="E507" s="1" t="s">
        <v>3344</v>
      </c>
      <c r="F507" s="22" t="s">
        <v>3</v>
      </c>
      <c r="G507" s="1" t="s">
        <v>6085</v>
      </c>
      <c r="H507" s="1" t="s">
        <v>5</v>
      </c>
      <c r="I507" s="1" t="s">
        <v>21</v>
      </c>
      <c r="J507" s="1" t="s">
        <v>26</v>
      </c>
      <c r="K507" s="1" t="s">
        <v>9</v>
      </c>
      <c r="L507" s="1" t="s">
        <v>78</v>
      </c>
      <c r="M507" s="11" t="s">
        <v>188</v>
      </c>
      <c r="N507" s="1" t="s">
        <v>6037</v>
      </c>
      <c r="O507" s="1" t="s">
        <v>14</v>
      </c>
      <c r="P507" s="1" t="s">
        <v>107</v>
      </c>
      <c r="Q507" s="1" t="s">
        <v>5891</v>
      </c>
      <c r="R507" s="1" t="s">
        <v>4792</v>
      </c>
      <c r="S507" s="1" t="s">
        <v>6144</v>
      </c>
      <c r="T507" s="1" t="s">
        <v>6143</v>
      </c>
      <c r="U507" s="1" t="s">
        <v>6161</v>
      </c>
      <c r="V507" s="1" t="s">
        <v>6183</v>
      </c>
      <c r="W507" s="27">
        <v>67.857142857142861</v>
      </c>
      <c r="X507" s="27">
        <v>85.714285714285708</v>
      </c>
      <c r="Y507" s="33">
        <f>AVERAGE(Table13[[#This Row],[Score 1]],Table13[[#This Row],[Score 2]])</f>
        <v>76.785714285714278</v>
      </c>
      <c r="Z507" s="1">
        <v>3</v>
      </c>
      <c r="AA507" s="1">
        <v>5</v>
      </c>
      <c r="AB507" s="22">
        <f>Table13[[#This Row],[Rank 1]]+Table13[[#This Row],[Rank 2]]</f>
        <v>8</v>
      </c>
      <c r="AC507" s="1" t="str">
        <f>IF(AND(Table13[[#This Row],[Average score]]&gt;75,Table13[[#This Row],[Total rank]]&gt;6.5),"Yes","No")</f>
        <v>Yes</v>
      </c>
      <c r="AD507" s="1" t="str">
        <f>IF(AND(Table13[[#This Row],[Average score]]&gt;80,Table13[[#This Row],[Total rank]]&gt;7.5),"Yes","No")</f>
        <v>No</v>
      </c>
      <c r="AF507" s="8">
        <v>46055</v>
      </c>
      <c r="AG507" s="1">
        <v>3</v>
      </c>
      <c r="AH507" s="27">
        <v>160000</v>
      </c>
      <c r="AI507" s="27">
        <v>200000</v>
      </c>
      <c r="AJ507" s="27">
        <v>140000</v>
      </c>
      <c r="AK507" s="27">
        <f>Table13[[#This Row],[Year 1]]</f>
        <v>160000</v>
      </c>
      <c r="AL507" s="27">
        <f>Table13[[#This Row],[Year 2]]</f>
        <v>200000</v>
      </c>
      <c r="AM507" s="27">
        <f>Table13[[#This Row],[Year 3]]</f>
        <v>140000</v>
      </c>
      <c r="AN507" s="1">
        <v>3</v>
      </c>
    </row>
    <row r="508" spans="1:40" hidden="1" x14ac:dyDescent="0.25">
      <c r="A508" s="1" t="s">
        <v>48</v>
      </c>
      <c r="B508" s="2" t="s">
        <v>2448</v>
      </c>
      <c r="C508" s="1" t="s">
        <v>50</v>
      </c>
      <c r="D508" s="1" t="s">
        <v>3345</v>
      </c>
      <c r="E508" s="1" t="s">
        <v>3346</v>
      </c>
      <c r="F508" s="22" t="s">
        <v>3</v>
      </c>
      <c r="G508" s="1" t="s">
        <v>6085</v>
      </c>
      <c r="H508" s="1" t="s">
        <v>6</v>
      </c>
      <c r="I508" s="1" t="s">
        <v>20</v>
      </c>
      <c r="J508" s="1" t="s">
        <v>25</v>
      </c>
      <c r="K508" s="1" t="s">
        <v>9</v>
      </c>
      <c r="L508" s="1" t="s">
        <v>78</v>
      </c>
      <c r="M508" s="11" t="s">
        <v>188</v>
      </c>
      <c r="N508" s="1" t="s">
        <v>6037</v>
      </c>
      <c r="O508" s="1" t="s">
        <v>10</v>
      </c>
      <c r="P508" s="1" t="s">
        <v>60</v>
      </c>
      <c r="Q508" s="18" t="s">
        <v>6</v>
      </c>
      <c r="R508" s="1" t="s">
        <v>4794</v>
      </c>
      <c r="S508" s="1" t="s">
        <v>6048</v>
      </c>
      <c r="T508" s="1" t="s">
        <v>6051</v>
      </c>
      <c r="U508" s="1" t="s">
        <v>6086</v>
      </c>
      <c r="V508" s="1" t="s">
        <v>6193</v>
      </c>
      <c r="W508" s="27">
        <v>82.142857142857139</v>
      </c>
      <c r="X508" s="27">
        <v>89.285714285714292</v>
      </c>
      <c r="Y508" s="33">
        <f>AVERAGE(Table13[[#This Row],[Score 1]],Table13[[#This Row],[Score 2]])</f>
        <v>85.714285714285722</v>
      </c>
      <c r="Z508" s="1">
        <v>4</v>
      </c>
      <c r="AA508" s="1">
        <v>4</v>
      </c>
      <c r="AB508" s="22">
        <f>Table13[[#This Row],[Rank 1]]+Table13[[#This Row],[Rank 2]]</f>
        <v>8</v>
      </c>
      <c r="AC508" s="1" t="str">
        <f>IF(AND(Table13[[#This Row],[Average score]]&gt;75,Table13[[#This Row],[Total rank]]&gt;6.5),"Yes","No")</f>
        <v>Yes</v>
      </c>
      <c r="AD508" s="1" t="str">
        <f>IF(AND(Table13[[#This Row],[Average score]]&gt;80,Table13[[#This Row],[Total rank]]&gt;7.5),"Yes","No")</f>
        <v>Yes</v>
      </c>
      <c r="AF508" s="8">
        <v>45671</v>
      </c>
      <c r="AG508" s="1">
        <v>1</v>
      </c>
      <c r="AH508" s="27">
        <v>37500</v>
      </c>
      <c r="AI508" s="30">
        <v>0</v>
      </c>
      <c r="AJ508" s="30">
        <v>0</v>
      </c>
      <c r="AK508" s="30">
        <f>Table13[[#This Row],[Year 1]]</f>
        <v>37500</v>
      </c>
      <c r="AL508" s="30">
        <f>Table13[[#This Row],[Year 2]]</f>
        <v>0</v>
      </c>
      <c r="AM508" s="30">
        <f>Table13[[#This Row],[Year 3]]</f>
        <v>0</v>
      </c>
      <c r="AN508" s="1">
        <v>3</v>
      </c>
    </row>
    <row r="509" spans="1:40" hidden="1" x14ac:dyDescent="0.25">
      <c r="A509" s="1" t="s">
        <v>48</v>
      </c>
      <c r="B509" s="2" t="s">
        <v>2449</v>
      </c>
      <c r="C509" s="1" t="s">
        <v>50</v>
      </c>
      <c r="D509" s="1" t="s">
        <v>3347</v>
      </c>
      <c r="E509" s="1" t="s">
        <v>3348</v>
      </c>
      <c r="F509" s="22" t="s">
        <v>3</v>
      </c>
      <c r="G509" s="1" t="s">
        <v>6085</v>
      </c>
      <c r="H509" s="1" t="s">
        <v>6</v>
      </c>
      <c r="I509" s="1" t="s">
        <v>24</v>
      </c>
      <c r="J509" s="1" t="s">
        <v>25</v>
      </c>
      <c r="K509" s="1" t="s">
        <v>9</v>
      </c>
      <c r="L509" s="1" t="s">
        <v>78</v>
      </c>
      <c r="M509" s="11" t="s">
        <v>188</v>
      </c>
      <c r="N509" s="1" t="s">
        <v>6037</v>
      </c>
      <c r="O509" s="1" t="s">
        <v>18</v>
      </c>
      <c r="P509" s="1" t="s">
        <v>60</v>
      </c>
      <c r="Q509" s="1" t="s">
        <v>5892</v>
      </c>
      <c r="R509" s="19" t="s">
        <v>4796</v>
      </c>
      <c r="S509" s="1" t="s">
        <v>6152</v>
      </c>
      <c r="T509" s="1" t="s">
        <v>6205</v>
      </c>
      <c r="U509" s="1" t="s">
        <v>6178</v>
      </c>
      <c r="V509" s="1" t="s">
        <v>6159</v>
      </c>
      <c r="W509" s="27">
        <v>69.444444444444443</v>
      </c>
      <c r="X509" s="27">
        <v>86.111111111111114</v>
      </c>
      <c r="Y509" s="33">
        <f>AVERAGE(Table13[[#This Row],[Score 1]],Table13[[#This Row],[Score 2]])</f>
        <v>77.777777777777771</v>
      </c>
      <c r="Z509" s="1">
        <v>4</v>
      </c>
      <c r="AA509" s="1">
        <v>5</v>
      </c>
      <c r="AB509" s="22">
        <f>Table13[[#This Row],[Rank 1]]+Table13[[#This Row],[Rank 2]]</f>
        <v>9</v>
      </c>
      <c r="AC509" s="1" t="str">
        <f>IF(AND(Table13[[#This Row],[Average score]]&gt;75,Table13[[#This Row],[Total rank]]&gt;6.5),"Yes","No")</f>
        <v>Yes</v>
      </c>
      <c r="AD509" s="1" t="str">
        <f>IF(AND(Table13[[#This Row],[Average score]]&gt;80,Table13[[#This Row],[Total rank]]&gt;7.5),"Yes","No")</f>
        <v>No</v>
      </c>
      <c r="AF509" s="8">
        <v>46055</v>
      </c>
      <c r="AG509" s="1">
        <v>2</v>
      </c>
      <c r="AH509" s="27">
        <v>206410</v>
      </c>
      <c r="AI509" s="27">
        <v>206410</v>
      </c>
      <c r="AJ509" s="30">
        <v>0</v>
      </c>
      <c r="AK509" s="30">
        <f>Table13[[#This Row],[Year 1]]</f>
        <v>206410</v>
      </c>
      <c r="AL509" s="30">
        <f>Table13[[#This Row],[Year 2]]</f>
        <v>206410</v>
      </c>
      <c r="AM509" s="30">
        <f>Table13[[#This Row],[Year 3]]</f>
        <v>0</v>
      </c>
      <c r="AN509" s="1">
        <v>3</v>
      </c>
    </row>
    <row r="510" spans="1:40" hidden="1" x14ac:dyDescent="0.25">
      <c r="A510" s="1" t="s">
        <v>48</v>
      </c>
      <c r="B510" s="2" t="s">
        <v>2450</v>
      </c>
      <c r="C510" s="1" t="s">
        <v>50</v>
      </c>
      <c r="D510" s="1" t="s">
        <v>3349</v>
      </c>
      <c r="E510" s="1" t="s">
        <v>3350</v>
      </c>
      <c r="F510" s="22" t="s">
        <v>3</v>
      </c>
      <c r="G510" s="1" t="s">
        <v>6085</v>
      </c>
      <c r="H510" s="1" t="s">
        <v>6</v>
      </c>
      <c r="I510" s="1" t="s">
        <v>21</v>
      </c>
      <c r="J510" s="1" t="s">
        <v>25</v>
      </c>
      <c r="K510" s="1" t="s">
        <v>9</v>
      </c>
      <c r="L510" s="1" t="s">
        <v>78</v>
      </c>
      <c r="M510" s="11" t="s">
        <v>188</v>
      </c>
      <c r="N510" s="1" t="s">
        <v>6037</v>
      </c>
      <c r="O510" s="1" t="s">
        <v>18</v>
      </c>
      <c r="P510" s="1" t="s">
        <v>761</v>
      </c>
      <c r="Q510" s="1" t="s">
        <v>5893</v>
      </c>
      <c r="R510" s="19" t="s">
        <v>4798</v>
      </c>
      <c r="S510" s="1" t="s">
        <v>6152</v>
      </c>
      <c r="T510" s="1" t="s">
        <v>6205</v>
      </c>
      <c r="U510" s="1" t="s">
        <v>6178</v>
      </c>
      <c r="V510" s="1" t="s">
        <v>6159</v>
      </c>
      <c r="W510" s="27">
        <v>42.857142857142854</v>
      </c>
      <c r="X510" s="27">
        <v>89.285714285714292</v>
      </c>
      <c r="Y510" s="33">
        <f>AVERAGE(Table13[[#This Row],[Score 1]],Table13[[#This Row],[Score 2]])</f>
        <v>66.071428571428569</v>
      </c>
      <c r="Z510" s="1">
        <v>2</v>
      </c>
      <c r="AA510" s="1">
        <v>4</v>
      </c>
      <c r="AB510" s="22">
        <f>Table13[[#This Row],[Rank 1]]+Table13[[#This Row],[Rank 2]]</f>
        <v>6</v>
      </c>
      <c r="AC510" s="1" t="str">
        <f>IF(AND(Table13[[#This Row],[Average score]]&gt;75,Table13[[#This Row],[Total rank]]&gt;6.5),"Yes","No")</f>
        <v>No</v>
      </c>
      <c r="AD510" s="1" t="str">
        <f>IF(AND(Table13[[#This Row],[Average score]]&gt;80,Table13[[#This Row],[Total rank]]&gt;7.5),"Yes","No")</f>
        <v>No</v>
      </c>
      <c r="AF510" s="8">
        <v>45877</v>
      </c>
      <c r="AG510" s="1">
        <v>2</v>
      </c>
      <c r="AH510" s="27">
        <v>139353</v>
      </c>
      <c r="AI510" s="27">
        <v>108517</v>
      </c>
      <c r="AJ510" s="30">
        <v>0</v>
      </c>
      <c r="AK510" s="30">
        <f>Table13[[#This Row],[Year 1]]</f>
        <v>139353</v>
      </c>
      <c r="AL510" s="30">
        <f>Table13[[#This Row],[Year 2]]</f>
        <v>108517</v>
      </c>
      <c r="AM510" s="30">
        <f>Table13[[#This Row],[Year 3]]</f>
        <v>0</v>
      </c>
      <c r="AN510" s="1">
        <v>2</v>
      </c>
    </row>
    <row r="511" spans="1:40" hidden="1" x14ac:dyDescent="0.25">
      <c r="A511" s="1" t="s">
        <v>48</v>
      </c>
      <c r="B511" s="1" t="s">
        <v>2452</v>
      </c>
      <c r="C511" s="1" t="s">
        <v>50</v>
      </c>
      <c r="D511" s="1" t="s">
        <v>3353</v>
      </c>
      <c r="E511" s="1" t="s">
        <v>3354</v>
      </c>
      <c r="F511" s="22" t="s">
        <v>3</v>
      </c>
      <c r="G511" s="1" t="s">
        <v>6085</v>
      </c>
      <c r="H511" s="1" t="s">
        <v>7</v>
      </c>
      <c r="I511" s="1" t="s">
        <v>20</v>
      </c>
      <c r="J511" s="1" t="s">
        <v>25</v>
      </c>
      <c r="K511" s="1" t="s">
        <v>9</v>
      </c>
      <c r="L511" s="1" t="s">
        <v>78</v>
      </c>
      <c r="M511" s="11" t="s">
        <v>188</v>
      </c>
      <c r="N511" s="1" t="s">
        <v>6037</v>
      </c>
      <c r="O511" s="1" t="s">
        <v>16</v>
      </c>
      <c r="P511" s="1" t="s">
        <v>60</v>
      </c>
      <c r="Q511" s="1" t="s">
        <v>5895</v>
      </c>
      <c r="R511" s="1" t="s">
        <v>4803</v>
      </c>
      <c r="S511" s="1" t="s">
        <v>6107</v>
      </c>
      <c r="T511" s="1" t="s">
        <v>6108</v>
      </c>
      <c r="U511" s="1" t="s">
        <v>6131</v>
      </c>
      <c r="V511" s="1" t="s">
        <v>6192</v>
      </c>
      <c r="W511" s="27">
        <v>91.666666666666657</v>
      </c>
      <c r="X511" s="27">
        <v>80.555555555555557</v>
      </c>
      <c r="Y511" s="33">
        <f>AVERAGE(Table13[[#This Row],[Score 1]],Table13[[#This Row],[Score 2]])</f>
        <v>86.111111111111114</v>
      </c>
      <c r="Z511" s="1">
        <v>5</v>
      </c>
      <c r="AA511" s="1">
        <v>4</v>
      </c>
      <c r="AB511" s="22">
        <f>Table13[[#This Row],[Rank 1]]+Table13[[#This Row],[Rank 2]]</f>
        <v>9</v>
      </c>
      <c r="AC511" s="1" t="str">
        <f>IF(AND(Table13[[#This Row],[Average score]]&gt;75,Table13[[#This Row],[Total rank]]&gt;6.5),"Yes","No")</f>
        <v>Yes</v>
      </c>
      <c r="AD511" s="1" t="str">
        <f>IF(AND(Table13[[#This Row],[Average score]]&gt;80,Table13[[#This Row],[Total rank]]&gt;7.5),"Yes","No")</f>
        <v>Yes</v>
      </c>
      <c r="AF511" s="8">
        <v>46027</v>
      </c>
      <c r="AG511" s="1">
        <v>2</v>
      </c>
      <c r="AH511" s="27">
        <v>300000</v>
      </c>
      <c r="AI511" s="27">
        <v>300000</v>
      </c>
      <c r="AJ511" s="30">
        <v>0</v>
      </c>
      <c r="AK511" s="30">
        <f>Table13[[#This Row],[Year 1]]</f>
        <v>300000</v>
      </c>
      <c r="AL511" s="30">
        <f>Table13[[#This Row],[Year 2]]</f>
        <v>300000</v>
      </c>
      <c r="AM511" s="30">
        <f>Table13[[#This Row],[Year 3]]</f>
        <v>0</v>
      </c>
      <c r="AN511" s="1">
        <v>3</v>
      </c>
    </row>
    <row r="512" spans="1:40" hidden="1" x14ac:dyDescent="0.25">
      <c r="A512" s="1" t="s">
        <v>48</v>
      </c>
      <c r="B512" s="1" t="s">
        <v>2453</v>
      </c>
      <c r="C512" s="1" t="s">
        <v>50</v>
      </c>
      <c r="D512" s="1" t="s">
        <v>3355</v>
      </c>
      <c r="E512" s="1" t="s">
        <v>3356</v>
      </c>
      <c r="F512" s="22" t="s">
        <v>3</v>
      </c>
      <c r="G512" s="1" t="s">
        <v>6085</v>
      </c>
      <c r="H512" s="1" t="s">
        <v>5</v>
      </c>
      <c r="I512" s="1" t="s">
        <v>17</v>
      </c>
      <c r="J512" s="1" t="s">
        <v>25</v>
      </c>
      <c r="K512" s="1" t="s">
        <v>9</v>
      </c>
      <c r="L512" s="1" t="s">
        <v>78</v>
      </c>
      <c r="M512" s="11" t="s">
        <v>188</v>
      </c>
      <c r="N512" s="1" t="s">
        <v>6037</v>
      </c>
      <c r="O512" s="1" t="s">
        <v>13</v>
      </c>
      <c r="P512" s="1" t="s">
        <v>761</v>
      </c>
      <c r="Q512" s="1" t="s">
        <v>5896</v>
      </c>
      <c r="R512" s="1" t="s">
        <v>4804</v>
      </c>
      <c r="S512" s="1" t="s">
        <v>6068</v>
      </c>
      <c r="T512" s="1" t="s">
        <v>6069</v>
      </c>
      <c r="U512" s="1" t="s">
        <v>6099</v>
      </c>
      <c r="V512" s="1" t="s">
        <v>6194</v>
      </c>
      <c r="W512" s="27">
        <v>75</v>
      </c>
      <c r="X512" s="27">
        <v>57.142857142857139</v>
      </c>
      <c r="Y512" s="33">
        <f>AVERAGE(Table13[[#This Row],[Score 1]],Table13[[#This Row],[Score 2]])</f>
        <v>66.071428571428569</v>
      </c>
      <c r="Z512" s="1">
        <v>1</v>
      </c>
      <c r="AA512" s="1">
        <v>1</v>
      </c>
      <c r="AB512" s="22">
        <f>Table13[[#This Row],[Rank 1]]+Table13[[#This Row],[Rank 2]]</f>
        <v>2</v>
      </c>
      <c r="AC512" s="1" t="str">
        <f>IF(AND(Table13[[#This Row],[Average score]]&gt;75,Table13[[#This Row],[Total rank]]&gt;6.5),"Yes","No")</f>
        <v>No</v>
      </c>
      <c r="AD512" s="1" t="str">
        <f>IF(AND(Table13[[#This Row],[Average score]]&gt;80,Table13[[#This Row],[Total rank]]&gt;7.5),"Yes","No")</f>
        <v>No</v>
      </c>
      <c r="AF512" s="8">
        <v>46034</v>
      </c>
      <c r="AG512" s="1">
        <v>3</v>
      </c>
      <c r="AH512" s="27">
        <v>349000</v>
      </c>
      <c r="AI512" s="27">
        <v>348000</v>
      </c>
      <c r="AJ512" s="27">
        <v>350000</v>
      </c>
      <c r="AK512" s="27">
        <f>Table13[[#This Row],[Year 1]]</f>
        <v>349000</v>
      </c>
      <c r="AL512" s="27">
        <f>Table13[[#This Row],[Year 2]]</f>
        <v>348000</v>
      </c>
      <c r="AM512" s="27">
        <f>Table13[[#This Row],[Year 3]]</f>
        <v>350000</v>
      </c>
      <c r="AN512" s="1">
        <v>3</v>
      </c>
    </row>
    <row r="513" spans="1:40" x14ac:dyDescent="0.25">
      <c r="A513" s="1" t="s">
        <v>48</v>
      </c>
      <c r="B513" s="1" t="s">
        <v>2454</v>
      </c>
      <c r="C513" s="1" t="s">
        <v>50</v>
      </c>
      <c r="D513" s="1" t="s">
        <v>3357</v>
      </c>
      <c r="E513" s="1" t="s">
        <v>3358</v>
      </c>
      <c r="F513" s="22" t="s">
        <v>3</v>
      </c>
      <c r="G513" s="1" t="s">
        <v>6085</v>
      </c>
      <c r="H513" s="1" t="s">
        <v>6</v>
      </c>
      <c r="I513" s="1" t="s">
        <v>20</v>
      </c>
      <c r="J513" s="1" t="s">
        <v>26</v>
      </c>
      <c r="K513" s="1" t="s">
        <v>9</v>
      </c>
      <c r="L513" s="1" t="s">
        <v>78</v>
      </c>
      <c r="M513" s="11" t="s">
        <v>188</v>
      </c>
      <c r="N513" s="1" t="s">
        <v>6037</v>
      </c>
      <c r="O513" s="1" t="s">
        <v>14</v>
      </c>
      <c r="P513" s="1" t="s">
        <v>247</v>
      </c>
      <c r="Q513" s="1" t="s">
        <v>5897</v>
      </c>
      <c r="R513" s="1" t="s">
        <v>4807</v>
      </c>
      <c r="S513" s="1" t="s">
        <v>6144</v>
      </c>
      <c r="T513" s="1" t="s">
        <v>6143</v>
      </c>
      <c r="U513" s="1" t="s">
        <v>6161</v>
      </c>
      <c r="V513" s="1" t="s">
        <v>6183</v>
      </c>
      <c r="W513" s="27">
        <v>92.857142857142861</v>
      </c>
      <c r="X513" s="27">
        <v>100</v>
      </c>
      <c r="Y513" s="33">
        <f>AVERAGE(Table13[[#This Row],[Score 1]],Table13[[#This Row],[Score 2]])</f>
        <v>96.428571428571431</v>
      </c>
      <c r="Z513" s="1">
        <v>5</v>
      </c>
      <c r="AA513" s="1">
        <v>5</v>
      </c>
      <c r="AB513" s="22">
        <f>Table13[[#This Row],[Rank 1]]+Table13[[#This Row],[Rank 2]]</f>
        <v>10</v>
      </c>
      <c r="AC513" s="1" t="str">
        <f>IF(AND(Table13[[#This Row],[Average score]]&gt;75,Table13[[#This Row],[Total rank]]&gt;6.5),"Yes","No")</f>
        <v>Yes</v>
      </c>
      <c r="AD513" s="1" t="str">
        <f>IF(AND(Table13[[#This Row],[Average score]]&gt;80,Table13[[#This Row],[Total rank]]&gt;7.5),"Yes","No")</f>
        <v>Yes</v>
      </c>
      <c r="AE513" s="1" t="s">
        <v>6221</v>
      </c>
      <c r="AF513" s="8">
        <v>45672</v>
      </c>
      <c r="AG513" s="1">
        <v>1</v>
      </c>
      <c r="AH513" s="27">
        <v>177083.4</v>
      </c>
      <c r="AI513" s="30">
        <v>0</v>
      </c>
      <c r="AJ513" s="30">
        <v>0</v>
      </c>
      <c r="AK513" s="30">
        <v>178000</v>
      </c>
      <c r="AL513" s="30">
        <f>Table13[[#This Row],[Year 2]]</f>
        <v>0</v>
      </c>
      <c r="AM513" s="30">
        <f>Table13[[#This Row],[Year 3]]</f>
        <v>0</v>
      </c>
      <c r="AN513" s="1">
        <v>3</v>
      </c>
    </row>
    <row r="514" spans="1:40" x14ac:dyDescent="0.25">
      <c r="A514" s="1" t="s">
        <v>48</v>
      </c>
      <c r="B514" s="1" t="s">
        <v>2455</v>
      </c>
      <c r="C514" s="1" t="s">
        <v>50</v>
      </c>
      <c r="D514" s="1" t="s">
        <v>3359</v>
      </c>
      <c r="E514" s="1" t="s">
        <v>3360</v>
      </c>
      <c r="F514" s="22" t="s">
        <v>3</v>
      </c>
      <c r="G514" s="1" t="s">
        <v>6085</v>
      </c>
      <c r="H514" s="1" t="s">
        <v>6</v>
      </c>
      <c r="I514" s="1" t="s">
        <v>20</v>
      </c>
      <c r="J514" s="1" t="s">
        <v>25</v>
      </c>
      <c r="K514" s="1" t="s">
        <v>9</v>
      </c>
      <c r="L514" s="1" t="s">
        <v>78</v>
      </c>
      <c r="M514" s="11" t="s">
        <v>188</v>
      </c>
      <c r="N514" s="1" t="s">
        <v>6037</v>
      </c>
      <c r="O514" s="1" t="s">
        <v>11</v>
      </c>
      <c r="P514" s="1" t="s">
        <v>656</v>
      </c>
      <c r="Q514" s="1" t="s">
        <v>5898</v>
      </c>
      <c r="R514" s="1" t="s">
        <v>4809</v>
      </c>
      <c r="S514" s="1" t="s">
        <v>6053</v>
      </c>
      <c r="T514" s="1" t="s">
        <v>6055</v>
      </c>
      <c r="U514" s="1" t="s">
        <v>6105</v>
      </c>
      <c r="V514" s="1" t="s">
        <v>6087</v>
      </c>
      <c r="W514" s="27">
        <v>89.285714285714292</v>
      </c>
      <c r="X514" s="27">
        <v>89.285714285714292</v>
      </c>
      <c r="Y514" s="33">
        <f>AVERAGE(Table13[[#This Row],[Score 1]],Table13[[#This Row],[Score 2]])</f>
        <v>89.285714285714292</v>
      </c>
      <c r="Z514" s="1">
        <v>5</v>
      </c>
      <c r="AA514" s="1">
        <v>5</v>
      </c>
      <c r="AB514" s="22">
        <f>Table13[[#This Row],[Rank 1]]+Table13[[#This Row],[Rank 2]]</f>
        <v>10</v>
      </c>
      <c r="AC514" s="1" t="str">
        <f>IF(AND(Table13[[#This Row],[Average score]]&gt;75,Table13[[#This Row],[Total rank]]&gt;6.5),"Yes","No")</f>
        <v>Yes</v>
      </c>
      <c r="AD514" s="1" t="str">
        <f>IF(AND(Table13[[#This Row],[Average score]]&gt;80,Table13[[#This Row],[Total rank]]&gt;7.5),"Yes","No")</f>
        <v>Yes</v>
      </c>
      <c r="AE514" s="1" t="s">
        <v>6221</v>
      </c>
      <c r="AF514" s="8">
        <v>45719</v>
      </c>
      <c r="AG514" s="1">
        <v>1</v>
      </c>
      <c r="AH514" s="27">
        <v>122840</v>
      </c>
      <c r="AI514" s="30">
        <v>0</v>
      </c>
      <c r="AJ514" s="30">
        <v>0</v>
      </c>
      <c r="AK514" s="30">
        <v>123000</v>
      </c>
      <c r="AL514" s="30">
        <f>Table13[[#This Row],[Year 2]]</f>
        <v>0</v>
      </c>
      <c r="AM514" s="30">
        <f>Table13[[#This Row],[Year 3]]</f>
        <v>0</v>
      </c>
      <c r="AN514" s="1">
        <v>3</v>
      </c>
    </row>
    <row r="515" spans="1:40" x14ac:dyDescent="0.25">
      <c r="A515" s="1" t="s">
        <v>48</v>
      </c>
      <c r="B515" s="1" t="s">
        <v>2457</v>
      </c>
      <c r="C515" s="1" t="s">
        <v>50</v>
      </c>
      <c r="D515" s="1" t="s">
        <v>3363</v>
      </c>
      <c r="E515" s="1" t="s">
        <v>3364</v>
      </c>
      <c r="F515" s="22" t="s">
        <v>3</v>
      </c>
      <c r="G515" s="1" t="s">
        <v>6085</v>
      </c>
      <c r="H515" s="1" t="s">
        <v>6</v>
      </c>
      <c r="I515" s="1" t="s">
        <v>24</v>
      </c>
      <c r="J515" s="1" t="s">
        <v>25</v>
      </c>
      <c r="K515" s="1" t="s">
        <v>9</v>
      </c>
      <c r="L515" s="1" t="s">
        <v>78</v>
      </c>
      <c r="M515" s="11" t="s">
        <v>188</v>
      </c>
      <c r="N515" s="1" t="s">
        <v>6037</v>
      </c>
      <c r="O515" s="1" t="s">
        <v>12</v>
      </c>
      <c r="P515" s="1" t="s">
        <v>60</v>
      </c>
      <c r="Q515" s="1" t="s">
        <v>5899</v>
      </c>
      <c r="R515" s="1" t="s">
        <v>4813</v>
      </c>
      <c r="S515" s="1" t="s">
        <v>6155</v>
      </c>
      <c r="T515" s="1" t="s">
        <v>6154</v>
      </c>
      <c r="U515" s="1" t="s">
        <v>6164</v>
      </c>
      <c r="V515" s="1" t="s">
        <v>6167</v>
      </c>
      <c r="W515" s="27">
        <v>89.285714285714292</v>
      </c>
      <c r="X515" s="27">
        <v>78.571428571428569</v>
      </c>
      <c r="Y515" s="33">
        <f>AVERAGE(Table13[[#This Row],[Score 1]],Table13[[#This Row],[Score 2]])</f>
        <v>83.928571428571431</v>
      </c>
      <c r="Z515" s="1">
        <v>5</v>
      </c>
      <c r="AA515" s="1">
        <v>3</v>
      </c>
      <c r="AB515" s="22">
        <f>Table13[[#This Row],[Rank 1]]+Table13[[#This Row],[Rank 2]]</f>
        <v>8</v>
      </c>
      <c r="AC515" s="1" t="str">
        <f>IF(AND(Table13[[#This Row],[Average score]]&gt;75,Table13[[#This Row],[Total rank]]&gt;6.5),"Yes","No")</f>
        <v>Yes</v>
      </c>
      <c r="AD515" s="1" t="str">
        <f>IF(AND(Table13[[#This Row],[Average score]]&gt;80,Table13[[#This Row],[Total rank]]&gt;7.5),"Yes","No")</f>
        <v>Yes</v>
      </c>
      <c r="AE515" s="1" t="s">
        <v>6221</v>
      </c>
      <c r="AF515" s="8">
        <v>46062</v>
      </c>
      <c r="AG515" s="1">
        <v>2</v>
      </c>
      <c r="AH515" s="27">
        <v>80264</v>
      </c>
      <c r="AI515" s="27">
        <v>85477</v>
      </c>
      <c r="AJ515" s="30">
        <v>0</v>
      </c>
      <c r="AK515" s="30">
        <v>81000</v>
      </c>
      <c r="AL515" s="30">
        <v>86000</v>
      </c>
      <c r="AM515" s="30">
        <f>Table13[[#This Row],[Year 3]]</f>
        <v>0</v>
      </c>
      <c r="AN515" s="1">
        <v>3</v>
      </c>
    </row>
    <row r="516" spans="1:40" hidden="1" x14ac:dyDescent="0.25">
      <c r="A516" s="1" t="s">
        <v>48</v>
      </c>
      <c r="B516" s="10" t="s">
        <v>2459</v>
      </c>
      <c r="C516" s="1" t="s">
        <v>50</v>
      </c>
      <c r="D516" s="1" t="s">
        <v>3367</v>
      </c>
      <c r="E516" s="1" t="s">
        <v>3368</v>
      </c>
      <c r="F516" s="22" t="s">
        <v>3</v>
      </c>
      <c r="G516" s="1" t="s">
        <v>6085</v>
      </c>
      <c r="H516" s="1" t="s">
        <v>6</v>
      </c>
      <c r="I516" s="1" t="s">
        <v>20</v>
      </c>
      <c r="J516" s="1" t="s">
        <v>25</v>
      </c>
      <c r="K516" s="1" t="s">
        <v>9</v>
      </c>
      <c r="L516" s="1" t="s">
        <v>78</v>
      </c>
      <c r="M516" s="11" t="s">
        <v>188</v>
      </c>
      <c r="N516" s="1" t="s">
        <v>6037</v>
      </c>
      <c r="O516" s="1" t="s">
        <v>13</v>
      </c>
      <c r="P516" s="1" t="s">
        <v>1456</v>
      </c>
      <c r="Q516" s="1" t="s">
        <v>5901</v>
      </c>
      <c r="R516" s="1" t="s">
        <v>4819</v>
      </c>
      <c r="S516" s="1" t="s">
        <v>6068</v>
      </c>
      <c r="T516" s="1" t="s">
        <v>6069</v>
      </c>
      <c r="U516" s="1" t="s">
        <v>6099</v>
      </c>
      <c r="V516" s="1" t="s">
        <v>6194</v>
      </c>
      <c r="W516" s="27">
        <v>64.285714285714292</v>
      </c>
      <c r="X516" s="27">
        <v>57.142857142857139</v>
      </c>
      <c r="Y516" s="33">
        <f>AVERAGE(Table13[[#This Row],[Score 1]],Table13[[#This Row],[Score 2]])</f>
        <v>60.714285714285715</v>
      </c>
      <c r="Z516" s="1">
        <v>3</v>
      </c>
      <c r="AA516" s="1">
        <v>3</v>
      </c>
      <c r="AB516" s="22">
        <f>Table13[[#This Row],[Rank 1]]+Table13[[#This Row],[Rank 2]]</f>
        <v>6</v>
      </c>
      <c r="AC516" s="1" t="str">
        <f>IF(AND(Table13[[#This Row],[Average score]]&gt;75,Table13[[#This Row],[Total rank]]&gt;6.5),"Yes","No")</f>
        <v>No</v>
      </c>
      <c r="AD516" s="1" t="str">
        <f>IF(AND(Table13[[#This Row],[Average score]]&gt;80,Table13[[#This Row],[Total rank]]&gt;7.5),"Yes","No")</f>
        <v>No</v>
      </c>
      <c r="AF516" s="8">
        <v>46029</v>
      </c>
      <c r="AG516" s="1">
        <v>1</v>
      </c>
      <c r="AH516" s="27">
        <v>128055</v>
      </c>
      <c r="AI516" s="30">
        <v>0</v>
      </c>
      <c r="AJ516" s="30">
        <v>0</v>
      </c>
      <c r="AK516" s="30">
        <f>Table13[[#This Row],[Year 1]]</f>
        <v>128055</v>
      </c>
      <c r="AL516" s="30">
        <f>Table13[[#This Row],[Year 2]]</f>
        <v>0</v>
      </c>
      <c r="AM516" s="30">
        <f>Table13[[#This Row],[Year 3]]</f>
        <v>0</v>
      </c>
      <c r="AN516" s="1">
        <v>3</v>
      </c>
    </row>
    <row r="517" spans="1:40" hidden="1" x14ac:dyDescent="0.25">
      <c r="A517" s="1" t="s">
        <v>48</v>
      </c>
      <c r="B517" s="1" t="s">
        <v>2460</v>
      </c>
      <c r="C517" s="1" t="s">
        <v>50</v>
      </c>
      <c r="D517" s="1" t="s">
        <v>3369</v>
      </c>
      <c r="E517" s="1" t="s">
        <v>3370</v>
      </c>
      <c r="F517" s="22" t="s">
        <v>3</v>
      </c>
      <c r="G517" s="1" t="s">
        <v>6085</v>
      </c>
      <c r="H517" s="1" t="s">
        <v>6</v>
      </c>
      <c r="I517" s="1" t="s">
        <v>24</v>
      </c>
      <c r="J517" s="1" t="s">
        <v>25</v>
      </c>
      <c r="K517" s="1" t="s">
        <v>9</v>
      </c>
      <c r="L517" s="1" t="s">
        <v>78</v>
      </c>
      <c r="M517" s="11" t="s">
        <v>188</v>
      </c>
      <c r="N517" s="1" t="s">
        <v>6037</v>
      </c>
      <c r="O517" s="1" t="s">
        <v>16</v>
      </c>
      <c r="P517" s="1" t="s">
        <v>1456</v>
      </c>
      <c r="Q517" s="1" t="s">
        <v>5902</v>
      </c>
      <c r="R517" s="1" t="s">
        <v>4821</v>
      </c>
      <c r="S517" s="1" t="s">
        <v>6115</v>
      </c>
      <c r="T517" s="1" t="s">
        <v>6116</v>
      </c>
      <c r="U517" s="1" t="s">
        <v>6130</v>
      </c>
      <c r="V517" s="1" t="s">
        <v>6191</v>
      </c>
      <c r="W517" s="27">
        <v>64.285714285714292</v>
      </c>
      <c r="X517" s="27">
        <v>57.142857142857139</v>
      </c>
      <c r="Y517" s="33">
        <f>AVERAGE(Table13[[#This Row],[Score 1]],Table13[[#This Row],[Score 2]])</f>
        <v>60.714285714285715</v>
      </c>
      <c r="Z517" s="1">
        <v>2</v>
      </c>
      <c r="AA517" s="1">
        <v>3</v>
      </c>
      <c r="AB517" s="22">
        <f>Table13[[#This Row],[Rank 1]]+Table13[[#This Row],[Rank 2]]</f>
        <v>5</v>
      </c>
      <c r="AC517" s="1" t="str">
        <f>IF(AND(Table13[[#This Row],[Average score]]&gt;75,Table13[[#This Row],[Total rank]]&gt;6.5),"Yes","No")</f>
        <v>No</v>
      </c>
      <c r="AD517" s="1" t="str">
        <f>IF(AND(Table13[[#This Row],[Average score]]&gt;80,Table13[[#This Row],[Total rank]]&gt;7.5),"Yes","No")</f>
        <v>No</v>
      </c>
      <c r="AF517" s="8">
        <v>46027</v>
      </c>
      <c r="AG517" s="1">
        <v>2</v>
      </c>
      <c r="AH517" s="27">
        <v>231500</v>
      </c>
      <c r="AI517" s="27">
        <v>226500</v>
      </c>
      <c r="AJ517" s="30">
        <v>0</v>
      </c>
      <c r="AK517" s="30">
        <f>Table13[[#This Row],[Year 1]]</f>
        <v>231500</v>
      </c>
      <c r="AL517" s="30">
        <f>Table13[[#This Row],[Year 2]]</f>
        <v>226500</v>
      </c>
      <c r="AM517" s="30">
        <f>Table13[[#This Row],[Year 3]]</f>
        <v>0</v>
      </c>
      <c r="AN517" s="1">
        <v>3</v>
      </c>
    </row>
    <row r="518" spans="1:40" hidden="1" x14ac:dyDescent="0.25">
      <c r="A518" s="1" t="s">
        <v>48</v>
      </c>
      <c r="B518" s="1" t="s">
        <v>2461</v>
      </c>
      <c r="C518" s="1" t="s">
        <v>50</v>
      </c>
      <c r="D518" s="1" t="s">
        <v>3371</v>
      </c>
      <c r="E518" s="1" t="s">
        <v>3372</v>
      </c>
      <c r="F518" s="22" t="s">
        <v>3</v>
      </c>
      <c r="G518" s="1" t="s">
        <v>6085</v>
      </c>
      <c r="H518" s="1" t="s">
        <v>6</v>
      </c>
      <c r="I518" s="1" t="s">
        <v>20</v>
      </c>
      <c r="J518" s="1" t="s">
        <v>26</v>
      </c>
      <c r="K518" s="1" t="s">
        <v>9</v>
      </c>
      <c r="L518" s="1" t="s">
        <v>78</v>
      </c>
      <c r="M518" s="11" t="s">
        <v>188</v>
      </c>
      <c r="N518" s="1" t="s">
        <v>6037</v>
      </c>
      <c r="O518" s="1" t="s">
        <v>16</v>
      </c>
      <c r="P518" s="1" t="s">
        <v>4823</v>
      </c>
      <c r="Q518" s="1" t="s">
        <v>5903</v>
      </c>
      <c r="R518" s="1" t="s">
        <v>4824</v>
      </c>
      <c r="S518" s="1" t="s">
        <v>6107</v>
      </c>
      <c r="T518" s="1" t="s">
        <v>6108</v>
      </c>
      <c r="U518" s="1" t="s">
        <v>6131</v>
      </c>
      <c r="V518" s="1" t="s">
        <v>6192</v>
      </c>
      <c r="W518" s="27">
        <v>67.857142857142861</v>
      </c>
      <c r="X518" s="27">
        <v>46.428571428571431</v>
      </c>
      <c r="Y518" s="33">
        <f>AVERAGE(Table13[[#This Row],[Score 1]],Table13[[#This Row],[Score 2]])</f>
        <v>57.142857142857146</v>
      </c>
      <c r="Z518" s="1">
        <v>4</v>
      </c>
      <c r="AA518" s="1">
        <v>2</v>
      </c>
      <c r="AB518" s="22">
        <f>Table13[[#This Row],[Rank 1]]+Table13[[#This Row],[Rank 2]]</f>
        <v>6</v>
      </c>
      <c r="AC518" s="1" t="str">
        <f>IF(AND(Table13[[#This Row],[Average score]]&gt;75,Table13[[#This Row],[Total rank]]&gt;6.5),"Yes","No")</f>
        <v>No</v>
      </c>
      <c r="AD518" s="1" t="str">
        <f>IF(AND(Table13[[#This Row],[Average score]]&gt;80,Table13[[#This Row],[Total rank]]&gt;7.5),"Yes","No")</f>
        <v>No</v>
      </c>
      <c r="AF518" s="8">
        <v>46023</v>
      </c>
      <c r="AG518" s="1">
        <v>2</v>
      </c>
      <c r="AH518" s="27">
        <v>232000</v>
      </c>
      <c r="AI518" s="27">
        <v>232000</v>
      </c>
      <c r="AJ518" s="30">
        <v>0</v>
      </c>
      <c r="AK518" s="30">
        <f>Table13[[#This Row],[Year 1]]</f>
        <v>232000</v>
      </c>
      <c r="AL518" s="30">
        <f>Table13[[#This Row],[Year 2]]</f>
        <v>232000</v>
      </c>
      <c r="AM518" s="30">
        <f>Table13[[#This Row],[Year 3]]</f>
        <v>0</v>
      </c>
      <c r="AN518" s="1">
        <v>3</v>
      </c>
    </row>
    <row r="519" spans="1:40" hidden="1" x14ac:dyDescent="0.25">
      <c r="A519" s="1" t="s">
        <v>48</v>
      </c>
      <c r="B519" s="1" t="s">
        <v>2462</v>
      </c>
      <c r="C519" s="1" t="s">
        <v>50</v>
      </c>
      <c r="D519" s="1" t="s">
        <v>3373</v>
      </c>
      <c r="E519" s="1" t="s">
        <v>3374</v>
      </c>
      <c r="F519" s="22" t="s">
        <v>3</v>
      </c>
      <c r="G519" s="1" t="s">
        <v>6085</v>
      </c>
      <c r="H519" s="1" t="s">
        <v>5</v>
      </c>
      <c r="I519" s="1" t="s">
        <v>24</v>
      </c>
      <c r="J519" s="1" t="s">
        <v>25</v>
      </c>
      <c r="K519" s="1" t="s">
        <v>9</v>
      </c>
      <c r="L519" s="1" t="s">
        <v>78</v>
      </c>
      <c r="M519" s="11" t="s">
        <v>188</v>
      </c>
      <c r="N519" s="1" t="s">
        <v>6037</v>
      </c>
      <c r="O519" s="1" t="s">
        <v>13</v>
      </c>
      <c r="P519" s="1" t="s">
        <v>126</v>
      </c>
      <c r="Q519" s="1" t="s">
        <v>5904</v>
      </c>
      <c r="R519" s="1" t="s">
        <v>4825</v>
      </c>
      <c r="S519" s="1" t="s">
        <v>6064</v>
      </c>
      <c r="T519" s="1" t="s">
        <v>6065</v>
      </c>
      <c r="U519" s="1" t="s">
        <v>6102</v>
      </c>
      <c r="V519" s="1" t="s">
        <v>6197</v>
      </c>
      <c r="W519" s="27">
        <v>100</v>
      </c>
      <c r="X519" s="27">
        <v>75</v>
      </c>
      <c r="Y519" s="33">
        <f>AVERAGE(Table13[[#This Row],[Score 1]],Table13[[#This Row],[Score 2]])</f>
        <v>87.5</v>
      </c>
      <c r="Z519" s="1">
        <v>5</v>
      </c>
      <c r="AA519" s="1">
        <v>4</v>
      </c>
      <c r="AB519" s="22">
        <f>Table13[[#This Row],[Rank 1]]+Table13[[#This Row],[Rank 2]]</f>
        <v>9</v>
      </c>
      <c r="AC519" s="1" t="str">
        <f>IF(AND(Table13[[#This Row],[Average score]]&gt;75,Table13[[#This Row],[Total rank]]&gt;6.5),"Yes","No")</f>
        <v>Yes</v>
      </c>
      <c r="AD519" s="1" t="str">
        <f>IF(AND(Table13[[#This Row],[Average score]]&gt;80,Table13[[#This Row],[Total rank]]&gt;7.5),"Yes","No")</f>
        <v>Yes</v>
      </c>
      <c r="AF519" s="8">
        <v>46055</v>
      </c>
      <c r="AG519" s="1">
        <v>3</v>
      </c>
      <c r="AH519" s="27">
        <v>122170</v>
      </c>
      <c r="AI519" s="27">
        <v>122170</v>
      </c>
      <c r="AJ519" s="27">
        <v>122170</v>
      </c>
      <c r="AK519" s="27">
        <f>Table13[[#This Row],[Year 1]]</f>
        <v>122170</v>
      </c>
      <c r="AL519" s="27">
        <f>Table13[[#This Row],[Year 2]]</f>
        <v>122170</v>
      </c>
      <c r="AM519" s="27">
        <f>Table13[[#This Row],[Year 3]]</f>
        <v>122170</v>
      </c>
      <c r="AN519" s="1">
        <v>3</v>
      </c>
    </row>
    <row r="520" spans="1:40" x14ac:dyDescent="0.25">
      <c r="A520" s="1" t="s">
        <v>48</v>
      </c>
      <c r="B520" s="1" t="s">
        <v>2464</v>
      </c>
      <c r="C520" s="1" t="s">
        <v>50</v>
      </c>
      <c r="D520" s="1" t="s">
        <v>3377</v>
      </c>
      <c r="E520" s="1" t="s">
        <v>3378</v>
      </c>
      <c r="F520" s="22" t="s">
        <v>3</v>
      </c>
      <c r="G520" s="1" t="s">
        <v>6085</v>
      </c>
      <c r="H520" s="1" t="s">
        <v>6</v>
      </c>
      <c r="I520" s="1" t="s">
        <v>24</v>
      </c>
      <c r="J520" s="1" t="s">
        <v>25</v>
      </c>
      <c r="K520" s="1" t="s">
        <v>9</v>
      </c>
      <c r="L520" s="1" t="s">
        <v>78</v>
      </c>
      <c r="M520" s="11" t="s">
        <v>188</v>
      </c>
      <c r="N520" s="1" t="s">
        <v>6037</v>
      </c>
      <c r="O520" s="1" t="s">
        <v>13</v>
      </c>
      <c r="P520" s="1" t="s">
        <v>60</v>
      </c>
      <c r="Q520" s="1" t="s">
        <v>5906</v>
      </c>
      <c r="R520" s="1" t="s">
        <v>4829</v>
      </c>
      <c r="S520" s="1" t="s">
        <v>6078</v>
      </c>
      <c r="T520" s="1" t="s">
        <v>6077</v>
      </c>
      <c r="U520" s="1" t="s">
        <v>6090</v>
      </c>
      <c r="V520" s="1" t="s">
        <v>6174</v>
      </c>
      <c r="W520" s="27">
        <v>100</v>
      </c>
      <c r="X520" s="27">
        <v>100</v>
      </c>
      <c r="Y520" s="33">
        <f>AVERAGE(Table13[[#This Row],[Score 1]],Table13[[#This Row],[Score 2]])</f>
        <v>100</v>
      </c>
      <c r="Z520" s="1">
        <v>5</v>
      </c>
      <c r="AA520" s="1">
        <v>5</v>
      </c>
      <c r="AB520" s="22">
        <f>Table13[[#This Row],[Rank 1]]+Table13[[#This Row],[Rank 2]]</f>
        <v>10</v>
      </c>
      <c r="AC520" s="1" t="str">
        <f>IF(AND(Table13[[#This Row],[Average score]]&gt;75,Table13[[#This Row],[Total rank]]&gt;6.5),"Yes","No")</f>
        <v>Yes</v>
      </c>
      <c r="AD520" s="1" t="str">
        <f>IF(AND(Table13[[#This Row],[Average score]]&gt;80,Table13[[#This Row],[Total rank]]&gt;7.5),"Yes","No")</f>
        <v>Yes</v>
      </c>
      <c r="AE520" s="1" t="s">
        <v>6221</v>
      </c>
      <c r="AF520" s="8">
        <v>45672</v>
      </c>
      <c r="AG520" s="1">
        <v>1</v>
      </c>
      <c r="AH520" s="27">
        <v>216862</v>
      </c>
      <c r="AI520" s="30">
        <v>0</v>
      </c>
      <c r="AJ520" s="30">
        <v>0</v>
      </c>
      <c r="AK520" s="30">
        <v>217000</v>
      </c>
      <c r="AL520" s="30">
        <f>Table13[[#This Row],[Year 2]]</f>
        <v>0</v>
      </c>
      <c r="AM520" s="30">
        <f>Table13[[#This Row],[Year 3]]</f>
        <v>0</v>
      </c>
      <c r="AN520" s="1">
        <v>3</v>
      </c>
    </row>
    <row r="521" spans="1:40" x14ac:dyDescent="0.25">
      <c r="A521" s="1" t="s">
        <v>48</v>
      </c>
      <c r="B521" s="1" t="s">
        <v>2465</v>
      </c>
      <c r="C521" s="1" t="s">
        <v>50</v>
      </c>
      <c r="D521" s="1" t="s">
        <v>3379</v>
      </c>
      <c r="E521" s="1" t="s">
        <v>3380</v>
      </c>
      <c r="F521" s="22" t="s">
        <v>3</v>
      </c>
      <c r="G521" s="1" t="s">
        <v>6085</v>
      </c>
      <c r="H521" s="1" t="s">
        <v>5</v>
      </c>
      <c r="I521" s="1" t="s">
        <v>24</v>
      </c>
      <c r="J521" s="1" t="s">
        <v>25</v>
      </c>
      <c r="K521" s="1" t="s">
        <v>9</v>
      </c>
      <c r="L521" s="1" t="s">
        <v>78</v>
      </c>
      <c r="M521" s="11" t="s">
        <v>188</v>
      </c>
      <c r="N521" s="1" t="s">
        <v>6037</v>
      </c>
      <c r="O521" s="1" t="s">
        <v>13</v>
      </c>
      <c r="P521" s="1" t="s">
        <v>126</v>
      </c>
      <c r="Q521" s="1" t="s">
        <v>5907</v>
      </c>
      <c r="R521" s="1" t="s">
        <v>4831</v>
      </c>
      <c r="S521" s="1" t="s">
        <v>6078</v>
      </c>
      <c r="T521" s="1" t="s">
        <v>6077</v>
      </c>
      <c r="U521" s="1" t="s">
        <v>6090</v>
      </c>
      <c r="V521" s="1" t="s">
        <v>6174</v>
      </c>
      <c r="W521" s="27">
        <v>89.285714285714292</v>
      </c>
      <c r="X521" s="27">
        <v>92.857142857142861</v>
      </c>
      <c r="Y521" s="33">
        <f>AVERAGE(Table13[[#This Row],[Score 1]],Table13[[#This Row],[Score 2]])</f>
        <v>91.071428571428584</v>
      </c>
      <c r="Z521" s="1">
        <v>5</v>
      </c>
      <c r="AA521" s="1">
        <v>5</v>
      </c>
      <c r="AB521" s="22">
        <f>Table13[[#This Row],[Rank 1]]+Table13[[#This Row],[Rank 2]]</f>
        <v>10</v>
      </c>
      <c r="AC521" s="1" t="str">
        <f>IF(AND(Table13[[#This Row],[Average score]]&gt;75,Table13[[#This Row],[Total rank]]&gt;6.5),"Yes","No")</f>
        <v>Yes</v>
      </c>
      <c r="AD521" s="1" t="str">
        <f>IF(AND(Table13[[#This Row],[Average score]]&gt;80,Table13[[#This Row],[Total rank]]&gt;7.5),"Yes","No")</f>
        <v>Yes</v>
      </c>
      <c r="AE521" s="1" t="s">
        <v>6221</v>
      </c>
      <c r="AF521" s="8">
        <v>46037</v>
      </c>
      <c r="AG521" s="1">
        <v>3</v>
      </c>
      <c r="AH521" s="27">
        <v>182400</v>
      </c>
      <c r="AI521" s="27">
        <v>182400</v>
      </c>
      <c r="AJ521" s="27">
        <v>182400</v>
      </c>
      <c r="AK521" s="27">
        <v>183000</v>
      </c>
      <c r="AL521" s="27">
        <v>183000</v>
      </c>
      <c r="AM521" s="27">
        <v>183000</v>
      </c>
      <c r="AN521" s="1">
        <v>3</v>
      </c>
    </row>
    <row r="522" spans="1:40" hidden="1" x14ac:dyDescent="0.25">
      <c r="A522" s="1" t="s">
        <v>48</v>
      </c>
      <c r="B522" s="1" t="s">
        <v>2466</v>
      </c>
      <c r="C522" s="1" t="s">
        <v>50</v>
      </c>
      <c r="D522" s="1" t="s">
        <v>3381</v>
      </c>
      <c r="E522" s="1" t="s">
        <v>3382</v>
      </c>
      <c r="F522" s="22" t="s">
        <v>3</v>
      </c>
      <c r="G522" s="1" t="s">
        <v>6085</v>
      </c>
      <c r="H522" s="1" t="s">
        <v>5</v>
      </c>
      <c r="I522" s="1" t="s">
        <v>20</v>
      </c>
      <c r="J522" s="1" t="s">
        <v>25</v>
      </c>
      <c r="K522" s="1" t="s">
        <v>9</v>
      </c>
      <c r="L522" s="1" t="s">
        <v>78</v>
      </c>
      <c r="M522" s="11" t="s">
        <v>188</v>
      </c>
      <c r="N522" s="1" t="s">
        <v>6037</v>
      </c>
      <c r="O522" s="1" t="s">
        <v>14</v>
      </c>
      <c r="P522" s="1" t="s">
        <v>1519</v>
      </c>
      <c r="Q522" s="18" t="s">
        <v>5908</v>
      </c>
      <c r="R522" s="1" t="s">
        <v>4833</v>
      </c>
      <c r="S522" s="1" t="s">
        <v>6133</v>
      </c>
      <c r="T522" s="1" t="s">
        <v>6134</v>
      </c>
      <c r="U522" s="1" t="s">
        <v>6094</v>
      </c>
      <c r="V522" s="1" t="s">
        <v>6184</v>
      </c>
      <c r="W522" s="27">
        <v>67.857142857142861</v>
      </c>
      <c r="X522" s="27">
        <v>50</v>
      </c>
      <c r="Y522" s="33">
        <f>AVERAGE(Table13[[#This Row],[Score 1]],Table13[[#This Row],[Score 2]])</f>
        <v>58.928571428571431</v>
      </c>
      <c r="Z522" s="1">
        <v>3</v>
      </c>
      <c r="AA522" s="1">
        <v>1</v>
      </c>
      <c r="AB522" s="22">
        <f>Table13[[#This Row],[Rank 1]]+Table13[[#This Row],[Rank 2]]</f>
        <v>4</v>
      </c>
      <c r="AC522" s="1" t="str">
        <f>IF(AND(Table13[[#This Row],[Average score]]&gt;75,Table13[[#This Row],[Total rank]]&gt;6.5),"Yes","No")</f>
        <v>No</v>
      </c>
      <c r="AD522" s="1" t="str">
        <f>IF(AND(Table13[[#This Row],[Average score]]&gt;80,Table13[[#This Row],[Total rank]]&gt;7.5),"Yes","No")</f>
        <v>No</v>
      </c>
      <c r="AF522" s="8">
        <v>45807</v>
      </c>
      <c r="AG522" s="1">
        <v>3</v>
      </c>
      <c r="AH522" s="27">
        <v>110000</v>
      </c>
      <c r="AI522" s="27">
        <v>160000</v>
      </c>
      <c r="AJ522" s="27">
        <v>180000</v>
      </c>
      <c r="AK522" s="27">
        <f>Table13[[#This Row],[Year 1]]</f>
        <v>110000</v>
      </c>
      <c r="AL522" s="27">
        <f>Table13[[#This Row],[Year 2]]</f>
        <v>160000</v>
      </c>
      <c r="AM522" s="27">
        <f>Table13[[#This Row],[Year 3]]</f>
        <v>180000</v>
      </c>
      <c r="AN522" s="1">
        <v>3</v>
      </c>
    </row>
    <row r="523" spans="1:40" x14ac:dyDescent="0.25">
      <c r="A523" s="1" t="s">
        <v>48</v>
      </c>
      <c r="B523" s="1" t="s">
        <v>2467</v>
      </c>
      <c r="C523" s="1" t="s">
        <v>50</v>
      </c>
      <c r="D523" s="1" t="s">
        <v>3383</v>
      </c>
      <c r="E523" s="1" t="s">
        <v>3384</v>
      </c>
      <c r="F523" s="22" t="s">
        <v>3</v>
      </c>
      <c r="G523" s="1" t="s">
        <v>6085</v>
      </c>
      <c r="H523" s="1" t="s">
        <v>5</v>
      </c>
      <c r="I523" s="1" t="s">
        <v>20</v>
      </c>
      <c r="J523" s="1" t="s">
        <v>25</v>
      </c>
      <c r="K523" s="1" t="s">
        <v>9</v>
      </c>
      <c r="L523" s="1" t="s">
        <v>78</v>
      </c>
      <c r="M523" s="11" t="s">
        <v>188</v>
      </c>
      <c r="N523" s="1" t="s">
        <v>6037</v>
      </c>
      <c r="O523" s="1" t="s">
        <v>14</v>
      </c>
      <c r="P523" s="1" t="s">
        <v>247</v>
      </c>
      <c r="Q523" s="18" t="s">
        <v>5908</v>
      </c>
      <c r="R523" s="1" t="s">
        <v>4834</v>
      </c>
      <c r="S523" s="1" t="s">
        <v>6133</v>
      </c>
      <c r="T523" s="1" t="s">
        <v>6134</v>
      </c>
      <c r="U523" s="1" t="s">
        <v>6094</v>
      </c>
      <c r="V523" s="1" t="s">
        <v>6184</v>
      </c>
      <c r="W523" s="27">
        <v>92.857142857142861</v>
      </c>
      <c r="X523" s="27">
        <v>92.857142857142861</v>
      </c>
      <c r="Y523" s="33">
        <f>AVERAGE(Table13[[#This Row],[Score 1]],Table13[[#This Row],[Score 2]])</f>
        <v>92.857142857142861</v>
      </c>
      <c r="Z523" s="1">
        <v>5</v>
      </c>
      <c r="AA523" s="1">
        <v>5</v>
      </c>
      <c r="AB523" s="22">
        <f>Table13[[#This Row],[Rank 1]]+Table13[[#This Row],[Rank 2]]</f>
        <v>10</v>
      </c>
      <c r="AC523" s="1" t="str">
        <f>IF(AND(Table13[[#This Row],[Average score]]&gt;75,Table13[[#This Row],[Total rank]]&gt;6.5),"Yes","No")</f>
        <v>Yes</v>
      </c>
      <c r="AD523" s="1" t="str">
        <f>IF(AND(Table13[[#This Row],[Average score]]&gt;80,Table13[[#This Row],[Total rank]]&gt;7.5),"Yes","No")</f>
        <v>Yes</v>
      </c>
      <c r="AE523" s="1" t="s">
        <v>6221</v>
      </c>
      <c r="AF523" s="8">
        <v>45691</v>
      </c>
      <c r="AG523" s="1">
        <v>3</v>
      </c>
      <c r="AH523" s="27">
        <v>256979.12</v>
      </c>
      <c r="AI523" s="27">
        <v>280000</v>
      </c>
      <c r="AJ523" s="27">
        <v>269000</v>
      </c>
      <c r="AK523" s="27">
        <v>257000</v>
      </c>
      <c r="AL523" s="27">
        <f>Table13[[#This Row],[Year 2]]</f>
        <v>280000</v>
      </c>
      <c r="AM523" s="27">
        <f>Table13[[#This Row],[Year 3]]</f>
        <v>269000</v>
      </c>
      <c r="AN523" s="1">
        <v>3</v>
      </c>
    </row>
    <row r="524" spans="1:40" hidden="1" x14ac:dyDescent="0.25">
      <c r="A524" s="1" t="s">
        <v>48</v>
      </c>
      <c r="B524" s="1" t="s">
        <v>2468</v>
      </c>
      <c r="C524" s="1" t="s">
        <v>50</v>
      </c>
      <c r="D524" s="1" t="s">
        <v>3385</v>
      </c>
      <c r="E524" s="1" t="s">
        <v>3386</v>
      </c>
      <c r="F524" s="22" t="s">
        <v>3</v>
      </c>
      <c r="G524" s="1" t="s">
        <v>6085</v>
      </c>
      <c r="H524" s="1" t="s">
        <v>5</v>
      </c>
      <c r="I524" s="1" t="s">
        <v>24</v>
      </c>
      <c r="J524" s="1" t="s">
        <v>25</v>
      </c>
      <c r="K524" s="1" t="s">
        <v>9</v>
      </c>
      <c r="L524" s="1" t="s">
        <v>78</v>
      </c>
      <c r="M524" s="11" t="s">
        <v>188</v>
      </c>
      <c r="N524" s="1" t="s">
        <v>6037</v>
      </c>
      <c r="O524" s="1" t="s">
        <v>13</v>
      </c>
      <c r="P524" s="1" t="s">
        <v>126</v>
      </c>
      <c r="Q524" s="1" t="s">
        <v>5909</v>
      </c>
      <c r="R524" s="1" t="s">
        <v>4837</v>
      </c>
      <c r="S524" s="1" t="s">
        <v>6063</v>
      </c>
      <c r="T524" s="1" t="s">
        <v>6076</v>
      </c>
      <c r="U524" s="1" t="s">
        <v>6100</v>
      </c>
      <c r="V524" s="1" t="s">
        <v>6195</v>
      </c>
      <c r="W524" s="27">
        <v>96.428571428571431</v>
      </c>
      <c r="X524" s="27">
        <v>75</v>
      </c>
      <c r="Y524" s="33">
        <f>AVERAGE(Table13[[#This Row],[Score 1]],Table13[[#This Row],[Score 2]])</f>
        <v>85.714285714285722</v>
      </c>
      <c r="Z524" s="1">
        <v>5</v>
      </c>
      <c r="AA524" s="1">
        <v>5</v>
      </c>
      <c r="AB524" s="22">
        <f>Table13[[#This Row],[Rank 1]]+Table13[[#This Row],[Rank 2]]</f>
        <v>10</v>
      </c>
      <c r="AC524" s="1" t="str">
        <f>IF(AND(Table13[[#This Row],[Average score]]&gt;75,Table13[[#This Row],[Total rank]]&gt;6.5),"Yes","No")</f>
        <v>Yes</v>
      </c>
      <c r="AD524" s="1" t="str">
        <f>IF(AND(Table13[[#This Row],[Average score]]&gt;80,Table13[[#This Row],[Total rank]]&gt;7.5),"Yes","No")</f>
        <v>Yes</v>
      </c>
      <c r="AF524" s="8">
        <v>46034</v>
      </c>
      <c r="AG524" s="1">
        <v>3</v>
      </c>
      <c r="AH524" s="27">
        <v>241838</v>
      </c>
      <c r="AI524" s="27">
        <v>241838</v>
      </c>
      <c r="AJ524" s="27">
        <v>241838</v>
      </c>
      <c r="AK524" s="27">
        <f>Table13[[#This Row],[Year 1]]</f>
        <v>241838</v>
      </c>
      <c r="AL524" s="27">
        <f>Table13[[#This Row],[Year 2]]</f>
        <v>241838</v>
      </c>
      <c r="AM524" s="27">
        <f>Table13[[#This Row],[Year 3]]</f>
        <v>241838</v>
      </c>
      <c r="AN524" s="1">
        <v>3</v>
      </c>
    </row>
    <row r="525" spans="1:40" hidden="1" x14ac:dyDescent="0.25">
      <c r="A525" s="1" t="s">
        <v>48</v>
      </c>
      <c r="B525" s="1" t="s">
        <v>2469</v>
      </c>
      <c r="C525" s="1" t="s">
        <v>50</v>
      </c>
      <c r="D525" s="1" t="s">
        <v>3387</v>
      </c>
      <c r="E525" s="1" t="s">
        <v>3388</v>
      </c>
      <c r="F525" s="22" t="s">
        <v>3</v>
      </c>
      <c r="G525" s="1" t="s">
        <v>6085</v>
      </c>
      <c r="H525" s="1" t="s">
        <v>6</v>
      </c>
      <c r="I525" s="1" t="s">
        <v>20</v>
      </c>
      <c r="J525" s="1" t="s">
        <v>25</v>
      </c>
      <c r="K525" s="1" t="s">
        <v>9</v>
      </c>
      <c r="L525" s="1" t="s">
        <v>78</v>
      </c>
      <c r="M525" s="11" t="s">
        <v>188</v>
      </c>
      <c r="N525" s="1" t="s">
        <v>6037</v>
      </c>
      <c r="O525" s="1" t="s">
        <v>14</v>
      </c>
      <c r="P525" s="1" t="s">
        <v>162</v>
      </c>
      <c r="Q525" s="1" t="s">
        <v>5910</v>
      </c>
      <c r="R525" s="1" t="s">
        <v>4839</v>
      </c>
      <c r="S525" s="1" t="s">
        <v>6144</v>
      </c>
      <c r="T525" s="1" t="s">
        <v>6143</v>
      </c>
      <c r="U525" s="1" t="s">
        <v>6161</v>
      </c>
      <c r="V525" s="1" t="s">
        <v>6183</v>
      </c>
      <c r="W525" s="27">
        <v>71.428571428571431</v>
      </c>
      <c r="X525" s="27">
        <v>75</v>
      </c>
      <c r="Y525" s="33">
        <f>AVERAGE(Table13[[#This Row],[Score 1]],Table13[[#This Row],[Score 2]])</f>
        <v>73.214285714285722</v>
      </c>
      <c r="Z525" s="1">
        <v>3</v>
      </c>
      <c r="AA525" s="1">
        <v>4</v>
      </c>
      <c r="AB525" s="22">
        <f>Table13[[#This Row],[Rank 1]]+Table13[[#This Row],[Rank 2]]</f>
        <v>7</v>
      </c>
      <c r="AC525" s="1" t="str">
        <f>IF(AND(Table13[[#This Row],[Average score]]&gt;75,Table13[[#This Row],[Total rank]]&gt;6.5),"Yes","No")</f>
        <v>No</v>
      </c>
      <c r="AD525" s="1" t="str">
        <f>IF(AND(Table13[[#This Row],[Average score]]&gt;80,Table13[[#This Row],[Total rank]]&gt;7.5),"Yes","No")</f>
        <v>No</v>
      </c>
      <c r="AF525" s="8">
        <v>46063</v>
      </c>
      <c r="AG525" s="1">
        <v>1</v>
      </c>
      <c r="AH525" s="27">
        <v>149630</v>
      </c>
      <c r="AI525" s="30">
        <v>0</v>
      </c>
      <c r="AJ525" s="30">
        <v>0</v>
      </c>
      <c r="AK525" s="30">
        <f>Table13[[#This Row],[Year 1]]</f>
        <v>149630</v>
      </c>
      <c r="AL525" s="30">
        <f>Table13[[#This Row],[Year 2]]</f>
        <v>0</v>
      </c>
      <c r="AM525" s="30">
        <f>Table13[[#This Row],[Year 3]]</f>
        <v>0</v>
      </c>
      <c r="AN525" s="1">
        <v>3</v>
      </c>
    </row>
    <row r="526" spans="1:40" hidden="1" x14ac:dyDescent="0.25">
      <c r="A526" s="1" t="s">
        <v>48</v>
      </c>
      <c r="B526" s="1" t="s">
        <v>2470</v>
      </c>
      <c r="C526" s="1" t="s">
        <v>50</v>
      </c>
      <c r="D526" s="1" t="s">
        <v>3389</v>
      </c>
      <c r="E526" s="1" t="s">
        <v>3390</v>
      </c>
      <c r="F526" s="22" t="s">
        <v>3</v>
      </c>
      <c r="G526" s="1" t="s">
        <v>6085</v>
      </c>
      <c r="H526" s="1" t="s">
        <v>7</v>
      </c>
      <c r="I526" s="1" t="s">
        <v>21</v>
      </c>
      <c r="J526" s="1" t="s">
        <v>25</v>
      </c>
      <c r="K526" s="1" t="s">
        <v>9</v>
      </c>
      <c r="L526" s="1" t="s">
        <v>78</v>
      </c>
      <c r="M526" s="11" t="s">
        <v>188</v>
      </c>
      <c r="N526" s="1" t="s">
        <v>6037</v>
      </c>
      <c r="O526" s="1" t="s">
        <v>13</v>
      </c>
      <c r="P526" s="1" t="s">
        <v>247</v>
      </c>
      <c r="Q526" s="1" t="s">
        <v>5911</v>
      </c>
      <c r="R526" s="1" t="s">
        <v>4841</v>
      </c>
      <c r="S526" s="1" t="s">
        <v>6071</v>
      </c>
      <c r="T526" s="1" t="s">
        <v>6074</v>
      </c>
      <c r="U526" s="1" t="s">
        <v>6181</v>
      </c>
      <c r="V526" s="1" t="s">
        <v>6171</v>
      </c>
      <c r="W526" s="27">
        <v>58.333333333333336</v>
      </c>
      <c r="X526" s="27">
        <v>61.111111111111114</v>
      </c>
      <c r="Y526" s="33">
        <f>AVERAGE(Table13[[#This Row],[Score 1]],Table13[[#This Row],[Score 2]])</f>
        <v>59.722222222222229</v>
      </c>
      <c r="Z526" s="1">
        <v>2</v>
      </c>
      <c r="AA526" s="1">
        <v>2</v>
      </c>
      <c r="AB526" s="22">
        <f>Table13[[#This Row],[Rank 1]]+Table13[[#This Row],[Rank 2]]</f>
        <v>4</v>
      </c>
      <c r="AC526" s="1" t="str">
        <f>IF(AND(Table13[[#This Row],[Average score]]&gt;75,Table13[[#This Row],[Total rank]]&gt;6.5),"Yes","No")</f>
        <v>No</v>
      </c>
      <c r="AD526" s="1" t="str">
        <f>IF(AND(Table13[[#This Row],[Average score]]&gt;80,Table13[[#This Row],[Total rank]]&gt;7.5),"Yes","No")</f>
        <v>No</v>
      </c>
      <c r="AF526" s="8">
        <v>46034</v>
      </c>
      <c r="AG526" s="1">
        <v>2</v>
      </c>
      <c r="AH526" s="27">
        <v>241600</v>
      </c>
      <c r="AI526" s="27">
        <v>247300</v>
      </c>
      <c r="AJ526" s="30">
        <v>0</v>
      </c>
      <c r="AK526" s="30">
        <f>Table13[[#This Row],[Year 1]]</f>
        <v>241600</v>
      </c>
      <c r="AL526" s="30">
        <f>Table13[[#This Row],[Year 2]]</f>
        <v>247300</v>
      </c>
      <c r="AM526" s="30">
        <f>Table13[[#This Row],[Year 3]]</f>
        <v>0</v>
      </c>
      <c r="AN526" s="1">
        <v>3</v>
      </c>
    </row>
    <row r="527" spans="1:40" hidden="1" x14ac:dyDescent="0.25">
      <c r="A527" s="1" t="s">
        <v>48</v>
      </c>
      <c r="B527" s="1" t="s">
        <v>2471</v>
      </c>
      <c r="C527" s="1" t="s">
        <v>50</v>
      </c>
      <c r="D527" s="1" t="s">
        <v>3391</v>
      </c>
      <c r="E527" s="1" t="s">
        <v>3392</v>
      </c>
      <c r="F527" s="22" t="s">
        <v>3</v>
      </c>
      <c r="G527" s="1" t="s">
        <v>6085</v>
      </c>
      <c r="H527" s="1" t="s">
        <v>5</v>
      </c>
      <c r="I527" s="1" t="s">
        <v>23</v>
      </c>
      <c r="J527" s="1" t="s">
        <v>25</v>
      </c>
      <c r="K527" s="1" t="s">
        <v>9</v>
      </c>
      <c r="L527" s="1" t="s">
        <v>78</v>
      </c>
      <c r="M527" s="11" t="s">
        <v>188</v>
      </c>
      <c r="N527" s="1" t="s">
        <v>6037</v>
      </c>
      <c r="O527" s="1" t="s">
        <v>16</v>
      </c>
      <c r="P527" s="1" t="s">
        <v>1456</v>
      </c>
      <c r="Q527" s="1" t="s">
        <v>5902</v>
      </c>
      <c r="R527" s="1" t="s">
        <v>4844</v>
      </c>
      <c r="S527" s="1" t="s">
        <v>6115</v>
      </c>
      <c r="T527" s="1" t="s">
        <v>6116</v>
      </c>
      <c r="U527" s="1" t="s">
        <v>6130</v>
      </c>
      <c r="V527" s="1" t="s">
        <v>6191</v>
      </c>
      <c r="W527" s="27">
        <v>85.714285714285708</v>
      </c>
      <c r="X527" s="27">
        <v>89.285714285714292</v>
      </c>
      <c r="Y527" s="33">
        <f>AVERAGE(Table13[[#This Row],[Score 1]],Table13[[#This Row],[Score 2]])</f>
        <v>87.5</v>
      </c>
      <c r="Z527" s="1">
        <v>4</v>
      </c>
      <c r="AA527" s="1">
        <v>4</v>
      </c>
      <c r="AB527" s="22">
        <f>Table13[[#This Row],[Rank 1]]+Table13[[#This Row],[Rank 2]]</f>
        <v>8</v>
      </c>
      <c r="AC527" s="1" t="str">
        <f>IF(AND(Table13[[#This Row],[Average score]]&gt;75,Table13[[#This Row],[Total rank]]&gt;6.5),"Yes","No")</f>
        <v>Yes</v>
      </c>
      <c r="AD527" s="1" t="str">
        <f>IF(AND(Table13[[#This Row],[Average score]]&gt;80,Table13[[#This Row],[Total rank]]&gt;7.5),"Yes","No")</f>
        <v>Yes</v>
      </c>
      <c r="AF527" s="8">
        <v>46054</v>
      </c>
      <c r="AG527" s="1">
        <v>3</v>
      </c>
      <c r="AH527" s="27">
        <v>550240</v>
      </c>
      <c r="AI527" s="27">
        <v>589282.52</v>
      </c>
      <c r="AJ527" s="27">
        <v>626259.54</v>
      </c>
      <c r="AK527" s="27">
        <v>350000</v>
      </c>
      <c r="AL527" s="27">
        <v>350000</v>
      </c>
      <c r="AM527" s="27">
        <v>350000</v>
      </c>
      <c r="AN527" s="1">
        <v>3</v>
      </c>
    </row>
    <row r="528" spans="1:40" x14ac:dyDescent="0.25">
      <c r="A528" s="1" t="s">
        <v>48</v>
      </c>
      <c r="B528" s="1" t="s">
        <v>2472</v>
      </c>
      <c r="C528" s="1" t="s">
        <v>50</v>
      </c>
      <c r="D528" s="1" t="s">
        <v>3393</v>
      </c>
      <c r="E528" s="1" t="s">
        <v>3394</v>
      </c>
      <c r="F528" s="22" t="s">
        <v>3</v>
      </c>
      <c r="G528" s="1" t="s">
        <v>6085</v>
      </c>
      <c r="H528" s="1" t="s">
        <v>6</v>
      </c>
      <c r="I528" s="1" t="s">
        <v>20</v>
      </c>
      <c r="J528" s="1" t="s">
        <v>25</v>
      </c>
      <c r="K528" s="1" t="s">
        <v>9</v>
      </c>
      <c r="L528" s="1" t="s">
        <v>78</v>
      </c>
      <c r="M528" s="11" t="s">
        <v>188</v>
      </c>
      <c r="N528" s="1" t="s">
        <v>6037</v>
      </c>
      <c r="O528" s="1" t="s">
        <v>10</v>
      </c>
      <c r="P528" s="1" t="s">
        <v>593</v>
      </c>
      <c r="Q528" s="17" t="s">
        <v>5912</v>
      </c>
      <c r="R528" s="1" t="s">
        <v>4848</v>
      </c>
      <c r="S528" s="1" t="s">
        <v>6043</v>
      </c>
      <c r="T528" s="1" t="s">
        <v>6044</v>
      </c>
      <c r="U528" s="1" t="s">
        <v>6091</v>
      </c>
      <c r="V528" s="1" t="s">
        <v>6175</v>
      </c>
      <c r="W528" s="27">
        <v>89.285714285714292</v>
      </c>
      <c r="X528" s="27">
        <v>85.714285714285708</v>
      </c>
      <c r="Y528" s="33">
        <f>AVERAGE(Table13[[#This Row],[Score 1]],Table13[[#This Row],[Score 2]])</f>
        <v>87.5</v>
      </c>
      <c r="Z528" s="1">
        <v>5</v>
      </c>
      <c r="AA528" s="1">
        <v>4</v>
      </c>
      <c r="AB528" s="22">
        <f>Table13[[#This Row],[Rank 1]]+Table13[[#This Row],[Rank 2]]</f>
        <v>9</v>
      </c>
      <c r="AC528" s="1" t="str">
        <f>IF(AND(Table13[[#This Row],[Average score]]&gt;75,Table13[[#This Row],[Total rank]]&gt;6.5),"Yes","No")</f>
        <v>Yes</v>
      </c>
      <c r="AD528" s="1" t="str">
        <f>IF(AND(Table13[[#This Row],[Average score]]&gt;80,Table13[[#This Row],[Total rank]]&gt;7.5),"Yes","No")</f>
        <v>Yes</v>
      </c>
      <c r="AE528" s="2" t="s">
        <v>6221</v>
      </c>
      <c r="AF528" s="8">
        <v>46048</v>
      </c>
      <c r="AG528" s="1">
        <v>1</v>
      </c>
      <c r="AH528" s="27">
        <v>176159.28</v>
      </c>
      <c r="AI528" s="30">
        <v>0</v>
      </c>
      <c r="AJ528" s="30">
        <v>0</v>
      </c>
      <c r="AK528" s="30">
        <v>177000</v>
      </c>
      <c r="AL528" s="30">
        <f>Table13[[#This Row],[Year 2]]</f>
        <v>0</v>
      </c>
      <c r="AM528" s="30">
        <f>Table13[[#This Row],[Year 3]]</f>
        <v>0</v>
      </c>
      <c r="AN528" s="1">
        <v>3</v>
      </c>
    </row>
    <row r="529" spans="1:40" hidden="1" x14ac:dyDescent="0.25">
      <c r="A529" s="1" t="s">
        <v>48</v>
      </c>
      <c r="B529" s="1" t="s">
        <v>2473</v>
      </c>
      <c r="C529" s="1" t="s">
        <v>50</v>
      </c>
      <c r="D529" s="1" t="s">
        <v>3395</v>
      </c>
      <c r="E529" s="1" t="s">
        <v>3396</v>
      </c>
      <c r="F529" s="22" t="s">
        <v>3</v>
      </c>
      <c r="G529" s="1" t="s">
        <v>6085</v>
      </c>
      <c r="H529" s="1" t="s">
        <v>6</v>
      </c>
      <c r="I529" s="1" t="s">
        <v>24</v>
      </c>
      <c r="J529" s="1" t="s">
        <v>25</v>
      </c>
      <c r="K529" s="1" t="s">
        <v>9</v>
      </c>
      <c r="L529" s="1" t="s">
        <v>78</v>
      </c>
      <c r="M529" s="11" t="s">
        <v>188</v>
      </c>
      <c r="N529" s="1" t="s">
        <v>6037</v>
      </c>
      <c r="O529" s="1" t="s">
        <v>18</v>
      </c>
      <c r="P529" s="1" t="s">
        <v>60</v>
      </c>
      <c r="Q529" s="1" t="s">
        <v>5481</v>
      </c>
      <c r="R529" s="18" t="s">
        <v>4850</v>
      </c>
      <c r="S529" s="1" t="s">
        <v>6061</v>
      </c>
      <c r="T529" s="1" t="s">
        <v>6062</v>
      </c>
      <c r="U529" s="1" t="s">
        <v>6101</v>
      </c>
      <c r="V529" s="1" t="s">
        <v>6196</v>
      </c>
      <c r="W529" s="27">
        <v>86.111111111111114</v>
      </c>
      <c r="X529" s="27">
        <v>77.777777777777786</v>
      </c>
      <c r="Y529" s="33">
        <f>AVERAGE(Table13[[#This Row],[Score 1]],Table13[[#This Row],[Score 2]])</f>
        <v>81.944444444444457</v>
      </c>
      <c r="Z529" s="1">
        <v>3</v>
      </c>
      <c r="AA529" s="1">
        <v>4</v>
      </c>
      <c r="AB529" s="22">
        <f>Table13[[#This Row],[Rank 1]]+Table13[[#This Row],[Rank 2]]</f>
        <v>7</v>
      </c>
      <c r="AC529" s="1" t="str">
        <f>IF(AND(Table13[[#This Row],[Average score]]&gt;75,Table13[[#This Row],[Total rank]]&gt;6.5),"Yes","No")</f>
        <v>Yes</v>
      </c>
      <c r="AD529" s="1" t="str">
        <f>IF(AND(Table13[[#This Row],[Average score]]&gt;80,Table13[[#This Row],[Total rank]]&gt;7.5),"Yes","No")</f>
        <v>No</v>
      </c>
      <c r="AF529" s="8">
        <v>45689</v>
      </c>
      <c r="AG529" s="1">
        <v>2</v>
      </c>
      <c r="AH529" s="27">
        <v>139060</v>
      </c>
      <c r="AI529" s="27">
        <v>139060</v>
      </c>
      <c r="AJ529" s="30">
        <v>0</v>
      </c>
      <c r="AK529" s="30">
        <f>Table13[[#This Row],[Year 1]]</f>
        <v>139060</v>
      </c>
      <c r="AL529" s="30">
        <f>Table13[[#This Row],[Year 2]]</f>
        <v>139060</v>
      </c>
      <c r="AM529" s="30">
        <f>Table13[[#This Row],[Year 3]]</f>
        <v>0</v>
      </c>
      <c r="AN529" s="1">
        <v>3</v>
      </c>
    </row>
    <row r="530" spans="1:40" hidden="1" x14ac:dyDescent="0.25">
      <c r="A530" s="1" t="s">
        <v>48</v>
      </c>
      <c r="B530" s="1" t="s">
        <v>2474</v>
      </c>
      <c r="C530" s="1" t="s">
        <v>50</v>
      </c>
      <c r="D530" s="1" t="s">
        <v>3397</v>
      </c>
      <c r="E530" s="1" t="s">
        <v>3398</v>
      </c>
      <c r="F530" s="22" t="s">
        <v>3</v>
      </c>
      <c r="G530" s="1" t="s">
        <v>6085</v>
      </c>
      <c r="H530" s="1" t="s">
        <v>6</v>
      </c>
      <c r="I530" s="1" t="s">
        <v>24</v>
      </c>
      <c r="J530" s="1" t="s">
        <v>25</v>
      </c>
      <c r="K530" s="1" t="s">
        <v>9</v>
      </c>
      <c r="L530" s="1" t="s">
        <v>78</v>
      </c>
      <c r="M530" s="11" t="s">
        <v>188</v>
      </c>
      <c r="N530" s="1" t="s">
        <v>6037</v>
      </c>
      <c r="O530" s="1" t="s">
        <v>13</v>
      </c>
      <c r="P530" s="1" t="s">
        <v>126</v>
      </c>
      <c r="Q530" s="1" t="s">
        <v>5913</v>
      </c>
      <c r="R530" s="1" t="s">
        <v>4852</v>
      </c>
      <c r="S530" s="1" t="s">
        <v>6078</v>
      </c>
      <c r="T530" s="1" t="s">
        <v>6077</v>
      </c>
      <c r="U530" s="1" t="s">
        <v>6090</v>
      </c>
      <c r="V530" s="1" t="s">
        <v>6174</v>
      </c>
      <c r="W530" s="27">
        <v>71.428571428571431</v>
      </c>
      <c r="X530" s="27">
        <v>71.428571428571431</v>
      </c>
      <c r="Y530" s="33">
        <f>AVERAGE(Table13[[#This Row],[Score 1]],Table13[[#This Row],[Score 2]])</f>
        <v>71.428571428571431</v>
      </c>
      <c r="Z530" s="1">
        <v>3</v>
      </c>
      <c r="AA530" s="1">
        <v>4</v>
      </c>
      <c r="AB530" s="22">
        <f>Table13[[#This Row],[Rank 1]]+Table13[[#This Row],[Rank 2]]</f>
        <v>7</v>
      </c>
      <c r="AC530" s="1" t="str">
        <f>IF(AND(Table13[[#This Row],[Average score]]&gt;75,Table13[[#This Row],[Total rank]]&gt;6.5),"Yes","No")</f>
        <v>No</v>
      </c>
      <c r="AD530" s="1" t="str">
        <f>IF(AND(Table13[[#This Row],[Average score]]&gt;80,Table13[[#This Row],[Total rank]]&gt;7.5),"Yes","No")</f>
        <v>No</v>
      </c>
      <c r="AF530" s="8">
        <v>45658</v>
      </c>
      <c r="AG530" s="1">
        <v>1</v>
      </c>
      <c r="AH530" s="27">
        <v>150000</v>
      </c>
      <c r="AI530" s="30">
        <v>0</v>
      </c>
      <c r="AJ530" s="30">
        <v>0</v>
      </c>
      <c r="AK530" s="30">
        <f>Table13[[#This Row],[Year 1]]</f>
        <v>150000</v>
      </c>
      <c r="AL530" s="30">
        <f>Table13[[#This Row],[Year 2]]</f>
        <v>0</v>
      </c>
      <c r="AM530" s="30">
        <f>Table13[[#This Row],[Year 3]]</f>
        <v>0</v>
      </c>
      <c r="AN530" s="1">
        <v>3</v>
      </c>
    </row>
    <row r="531" spans="1:40" hidden="1" x14ac:dyDescent="0.25">
      <c r="A531" s="1" t="s">
        <v>48</v>
      </c>
      <c r="B531" s="1" t="s">
        <v>2475</v>
      </c>
      <c r="C531" s="1" t="s">
        <v>50</v>
      </c>
      <c r="D531" s="1" t="s">
        <v>3399</v>
      </c>
      <c r="E531" s="1" t="s">
        <v>3400</v>
      </c>
      <c r="F531" s="22" t="s">
        <v>3</v>
      </c>
      <c r="G531" s="1" t="s">
        <v>6085</v>
      </c>
      <c r="H531" s="1" t="s">
        <v>5</v>
      </c>
      <c r="I531" s="1" t="s">
        <v>21</v>
      </c>
      <c r="J531" s="1" t="s">
        <v>25</v>
      </c>
      <c r="K531" s="1" t="s">
        <v>9</v>
      </c>
      <c r="L531" s="1" t="s">
        <v>78</v>
      </c>
      <c r="M531" s="11" t="s">
        <v>188</v>
      </c>
      <c r="N531" s="1" t="s">
        <v>6037</v>
      </c>
      <c r="O531" s="1" t="s">
        <v>19</v>
      </c>
      <c r="P531" s="1" t="s">
        <v>4853</v>
      </c>
      <c r="Q531" s="18" t="s">
        <v>5914</v>
      </c>
      <c r="R531" s="1" t="s">
        <v>4854</v>
      </c>
      <c r="S531" s="1" t="s">
        <v>6133</v>
      </c>
      <c r="T531" s="1" t="s">
        <v>6134</v>
      </c>
      <c r="U531" s="1" t="s">
        <v>6094</v>
      </c>
      <c r="V531" s="1" t="s">
        <v>6184</v>
      </c>
      <c r="W531" s="27">
        <v>82.142857142857139</v>
      </c>
      <c r="X531" s="27">
        <v>64.285714285714292</v>
      </c>
      <c r="Y531" s="33">
        <f>AVERAGE(Table13[[#This Row],[Score 1]],Table13[[#This Row],[Score 2]])</f>
        <v>73.214285714285722</v>
      </c>
      <c r="Z531" s="1">
        <v>5</v>
      </c>
      <c r="AA531" s="1">
        <v>3</v>
      </c>
      <c r="AB531" s="22">
        <f>Table13[[#This Row],[Rank 1]]+Table13[[#This Row],[Rank 2]]</f>
        <v>8</v>
      </c>
      <c r="AC531" s="1" t="str">
        <f>IF(AND(Table13[[#This Row],[Average score]]&gt;75,Table13[[#This Row],[Total rank]]&gt;6.5),"Yes","No")</f>
        <v>No</v>
      </c>
      <c r="AD531" s="1" t="str">
        <f>IF(AND(Table13[[#This Row],[Average score]]&gt;80,Table13[[#This Row],[Total rank]]&gt;7.5),"Yes","No")</f>
        <v>No</v>
      </c>
      <c r="AF531" s="8">
        <v>46083</v>
      </c>
      <c r="AG531" s="1">
        <v>3</v>
      </c>
      <c r="AH531" s="27">
        <v>288100</v>
      </c>
      <c r="AI531" s="27">
        <v>340200</v>
      </c>
      <c r="AJ531" s="27">
        <v>293200</v>
      </c>
      <c r="AK531" s="27">
        <f>Table13[[#This Row],[Year 1]]</f>
        <v>288100</v>
      </c>
      <c r="AL531" s="27">
        <f>Table13[[#This Row],[Year 2]]</f>
        <v>340200</v>
      </c>
      <c r="AM531" s="27">
        <f>Table13[[#This Row],[Year 3]]</f>
        <v>293200</v>
      </c>
      <c r="AN531" s="1">
        <v>3</v>
      </c>
    </row>
    <row r="532" spans="1:40" hidden="1" x14ac:dyDescent="0.25">
      <c r="A532" s="1" t="s">
        <v>48</v>
      </c>
      <c r="B532" s="2" t="s">
        <v>2476</v>
      </c>
      <c r="C532" s="1" t="s">
        <v>50</v>
      </c>
      <c r="D532" s="1" t="s">
        <v>3401</v>
      </c>
      <c r="E532" s="1" t="s">
        <v>3402</v>
      </c>
      <c r="F532" s="22" t="s">
        <v>3</v>
      </c>
      <c r="G532" s="1" t="s">
        <v>6085</v>
      </c>
      <c r="H532" s="1" t="s">
        <v>5</v>
      </c>
      <c r="I532" s="1" t="s">
        <v>24</v>
      </c>
      <c r="J532" s="1" t="s">
        <v>26</v>
      </c>
      <c r="K532" s="1" t="s">
        <v>9</v>
      </c>
      <c r="L532" s="1" t="s">
        <v>78</v>
      </c>
      <c r="M532" s="11" t="s">
        <v>188</v>
      </c>
      <c r="N532" s="1" t="s">
        <v>6037</v>
      </c>
      <c r="O532" s="1" t="s">
        <v>10</v>
      </c>
      <c r="P532" s="1" t="s">
        <v>247</v>
      </c>
      <c r="Q532" s="18" t="s">
        <v>5380</v>
      </c>
      <c r="R532" s="1" t="s">
        <v>4858</v>
      </c>
      <c r="S532" s="1" t="s">
        <v>6048</v>
      </c>
      <c r="T532" s="1" t="s">
        <v>6051</v>
      </c>
      <c r="U532" s="1" t="s">
        <v>6086</v>
      </c>
      <c r="V532" s="1" t="s">
        <v>6193</v>
      </c>
      <c r="W532" s="27">
        <v>67.857142857142861</v>
      </c>
      <c r="X532" s="27">
        <v>82.142857142857139</v>
      </c>
      <c r="Y532" s="33">
        <f>AVERAGE(Table13[[#This Row],[Score 1]],Table13[[#This Row],[Score 2]])</f>
        <v>75</v>
      </c>
      <c r="Z532" s="1">
        <v>3</v>
      </c>
      <c r="AA532" s="1">
        <v>5</v>
      </c>
      <c r="AB532" s="22">
        <f>Table13[[#This Row],[Rank 1]]+Table13[[#This Row],[Rank 2]]</f>
        <v>8</v>
      </c>
      <c r="AC532" s="1" t="str">
        <f>IF(AND(Table13[[#This Row],[Average score]]&gt;75,Table13[[#This Row],[Total rank]]&gt;6.5),"Yes","No")</f>
        <v>No</v>
      </c>
      <c r="AD532" s="1" t="str">
        <f>IF(AND(Table13[[#This Row],[Average score]]&gt;80,Table13[[#This Row],[Total rank]]&gt;7.5),"Yes","No")</f>
        <v>No</v>
      </c>
      <c r="AF532" s="8">
        <v>46082</v>
      </c>
      <c r="AG532" s="1">
        <v>2</v>
      </c>
      <c r="AH532" s="27">
        <v>278000</v>
      </c>
      <c r="AI532" s="27">
        <v>250000</v>
      </c>
      <c r="AJ532" s="30">
        <v>0</v>
      </c>
      <c r="AK532" s="30">
        <f>Table13[[#This Row],[Year 1]]</f>
        <v>278000</v>
      </c>
      <c r="AL532" s="30">
        <f>Table13[[#This Row],[Year 2]]</f>
        <v>250000</v>
      </c>
      <c r="AM532" s="30">
        <f>Table13[[#This Row],[Year 3]]</f>
        <v>0</v>
      </c>
      <c r="AN532" s="1">
        <v>3</v>
      </c>
    </row>
    <row r="533" spans="1:40" x14ac:dyDescent="0.25">
      <c r="A533" s="1" t="s">
        <v>48</v>
      </c>
      <c r="B533" s="1" t="s">
        <v>2477</v>
      </c>
      <c r="C533" s="1" t="s">
        <v>50</v>
      </c>
      <c r="D533" s="1" t="s">
        <v>3403</v>
      </c>
      <c r="E533" s="1" t="s">
        <v>3404</v>
      </c>
      <c r="F533" s="22" t="s">
        <v>3</v>
      </c>
      <c r="G533" s="1" t="s">
        <v>6085</v>
      </c>
      <c r="H533" s="1" t="s">
        <v>5</v>
      </c>
      <c r="I533" s="1" t="s">
        <v>24</v>
      </c>
      <c r="J533" s="1" t="s">
        <v>25</v>
      </c>
      <c r="K533" s="1" t="s">
        <v>9</v>
      </c>
      <c r="L533" s="1" t="s">
        <v>78</v>
      </c>
      <c r="M533" s="11" t="s">
        <v>188</v>
      </c>
      <c r="N533" s="1" t="s">
        <v>6037</v>
      </c>
      <c r="O533" s="1" t="s">
        <v>13</v>
      </c>
      <c r="P533" s="1" t="s">
        <v>247</v>
      </c>
      <c r="Q533" s="1" t="s">
        <v>5915</v>
      </c>
      <c r="R533" s="1" t="s">
        <v>4860</v>
      </c>
      <c r="S533" s="1" t="s">
        <v>6081</v>
      </c>
      <c r="T533" s="1" t="s">
        <v>6082</v>
      </c>
      <c r="U533" s="1" t="s">
        <v>6097</v>
      </c>
      <c r="V533" s="1" t="s">
        <v>6188</v>
      </c>
      <c r="W533" s="27">
        <v>92.857142857142861</v>
      </c>
      <c r="X533" s="27">
        <v>96.428571428571431</v>
      </c>
      <c r="Y533" s="33">
        <f>AVERAGE(Table13[[#This Row],[Score 1]],Table13[[#This Row],[Score 2]])</f>
        <v>94.642857142857139</v>
      </c>
      <c r="Z533" s="1">
        <v>5</v>
      </c>
      <c r="AA533" s="1">
        <v>5</v>
      </c>
      <c r="AB533" s="22">
        <f>Table13[[#This Row],[Rank 1]]+Table13[[#This Row],[Rank 2]]</f>
        <v>10</v>
      </c>
      <c r="AC533" s="1" t="str">
        <f>IF(AND(Table13[[#This Row],[Average score]]&gt;75,Table13[[#This Row],[Total rank]]&gt;6.5),"Yes","No")</f>
        <v>Yes</v>
      </c>
      <c r="AD533" s="1" t="str">
        <f>IF(AND(Table13[[#This Row],[Average score]]&gt;80,Table13[[#This Row],[Total rank]]&gt;7.5),"Yes","No")</f>
        <v>Yes</v>
      </c>
      <c r="AE533" s="1" t="s">
        <v>6221</v>
      </c>
      <c r="AF533" s="8">
        <v>45693</v>
      </c>
      <c r="AG533" s="1">
        <v>2</v>
      </c>
      <c r="AH533" s="27">
        <v>203786</v>
      </c>
      <c r="AI533" s="27">
        <v>244837</v>
      </c>
      <c r="AJ533" s="30">
        <v>0</v>
      </c>
      <c r="AK533" s="30">
        <v>204000</v>
      </c>
      <c r="AL533" s="30">
        <v>245000</v>
      </c>
      <c r="AM533" s="30">
        <f>Table13[[#This Row],[Year 3]]</f>
        <v>0</v>
      </c>
      <c r="AN533" s="1">
        <v>3</v>
      </c>
    </row>
    <row r="534" spans="1:40" hidden="1" x14ac:dyDescent="0.25">
      <c r="A534" s="1" t="s">
        <v>48</v>
      </c>
      <c r="B534" s="10" t="s">
        <v>2478</v>
      </c>
      <c r="C534" s="1" t="s">
        <v>50</v>
      </c>
      <c r="D534" s="1" t="s">
        <v>3405</v>
      </c>
      <c r="E534" s="1" t="s">
        <v>3406</v>
      </c>
      <c r="F534" s="22" t="s">
        <v>3</v>
      </c>
      <c r="G534" s="1" t="s">
        <v>6085</v>
      </c>
      <c r="H534" s="1" t="s">
        <v>6</v>
      </c>
      <c r="I534" s="1" t="s">
        <v>20</v>
      </c>
      <c r="J534" s="1" t="s">
        <v>26</v>
      </c>
      <c r="K534" s="1" t="s">
        <v>9</v>
      </c>
      <c r="L534" s="1" t="s">
        <v>78</v>
      </c>
      <c r="M534" s="1" t="s">
        <v>1013</v>
      </c>
      <c r="N534" s="1" t="s">
        <v>6037</v>
      </c>
      <c r="O534" s="1" t="s">
        <v>13</v>
      </c>
      <c r="P534" s="1" t="s">
        <v>126</v>
      </c>
      <c r="Q534" s="1" t="s">
        <v>5916</v>
      </c>
      <c r="R534" s="1" t="s">
        <v>4863</v>
      </c>
      <c r="S534" s="1" t="s">
        <v>6079</v>
      </c>
      <c r="T534" s="1" t="s">
        <v>6080</v>
      </c>
      <c r="U534" s="1" t="s">
        <v>6089</v>
      </c>
      <c r="V534" s="1" t="s">
        <v>6172</v>
      </c>
      <c r="W534" s="27">
        <v>75</v>
      </c>
      <c r="X534" s="27">
        <v>78.571428571428569</v>
      </c>
      <c r="Y534" s="33">
        <f>AVERAGE(Table13[[#This Row],[Score 1]],Table13[[#This Row],[Score 2]])</f>
        <v>76.785714285714278</v>
      </c>
      <c r="Z534" s="1">
        <v>3</v>
      </c>
      <c r="AA534" s="1">
        <v>4</v>
      </c>
      <c r="AB534" s="22">
        <f>Table13[[#This Row],[Rank 1]]+Table13[[#This Row],[Rank 2]]</f>
        <v>7</v>
      </c>
      <c r="AC534" s="1" t="str">
        <f>IF(AND(Table13[[#This Row],[Average score]]&gt;75,Table13[[#This Row],[Total rank]]&gt;6.5),"Yes","No")</f>
        <v>Yes</v>
      </c>
      <c r="AD534" s="1" t="str">
        <f>IF(AND(Table13[[#This Row],[Average score]]&gt;80,Table13[[#This Row],[Total rank]]&gt;7.5),"Yes","No")</f>
        <v>No</v>
      </c>
      <c r="AF534" s="8">
        <v>46042</v>
      </c>
      <c r="AG534" s="1">
        <v>2</v>
      </c>
      <c r="AH534" s="27">
        <v>161600</v>
      </c>
      <c r="AI534" s="27">
        <v>161600</v>
      </c>
      <c r="AJ534" s="30">
        <v>0</v>
      </c>
      <c r="AK534" s="30">
        <f>Table13[[#This Row],[Year 1]]</f>
        <v>161600</v>
      </c>
      <c r="AL534" s="30">
        <f>Table13[[#This Row],[Year 2]]</f>
        <v>161600</v>
      </c>
      <c r="AM534" s="30">
        <f>Table13[[#This Row],[Year 3]]</f>
        <v>0</v>
      </c>
      <c r="AN534" s="1">
        <v>2</v>
      </c>
    </row>
    <row r="535" spans="1:40" hidden="1" x14ac:dyDescent="0.25">
      <c r="A535" s="1" t="s">
        <v>48</v>
      </c>
      <c r="B535" s="1" t="s">
        <v>2479</v>
      </c>
      <c r="C535" s="1" t="s">
        <v>50</v>
      </c>
      <c r="D535" s="1" t="s">
        <v>3407</v>
      </c>
      <c r="E535" s="1" t="s">
        <v>3408</v>
      </c>
      <c r="F535" s="22" t="s">
        <v>3</v>
      </c>
      <c r="G535" s="1" t="s">
        <v>6085</v>
      </c>
      <c r="H535" s="1" t="s">
        <v>5</v>
      </c>
      <c r="I535" s="1" t="s">
        <v>21</v>
      </c>
      <c r="J535" s="1" t="s">
        <v>25</v>
      </c>
      <c r="K535" s="1" t="s">
        <v>9</v>
      </c>
      <c r="L535" s="1" t="s">
        <v>78</v>
      </c>
      <c r="M535" s="11" t="s">
        <v>188</v>
      </c>
      <c r="N535" s="1" t="s">
        <v>6037</v>
      </c>
      <c r="O535" s="1" t="s">
        <v>13</v>
      </c>
      <c r="P535" s="1" t="s">
        <v>4865</v>
      </c>
      <c r="Q535" s="1" t="s">
        <v>5917</v>
      </c>
      <c r="R535" s="1" t="s">
        <v>4866</v>
      </c>
      <c r="S535" s="1" t="s">
        <v>6078</v>
      </c>
      <c r="T535" s="1" t="s">
        <v>6077</v>
      </c>
      <c r="U535" s="1" t="s">
        <v>6090</v>
      </c>
      <c r="V535" s="1" t="s">
        <v>6174</v>
      </c>
      <c r="W535" s="27">
        <v>78.571428571428569</v>
      </c>
      <c r="X535" s="27">
        <v>67.857142857142861</v>
      </c>
      <c r="Y535" s="33">
        <f>AVERAGE(Table13[[#This Row],[Score 1]],Table13[[#This Row],[Score 2]])</f>
        <v>73.214285714285722</v>
      </c>
      <c r="Z535" s="1">
        <v>4</v>
      </c>
      <c r="AA535" s="1">
        <v>2</v>
      </c>
      <c r="AB535" s="22">
        <f>Table13[[#This Row],[Rank 1]]+Table13[[#This Row],[Rank 2]]</f>
        <v>6</v>
      </c>
      <c r="AC535" s="1" t="str">
        <f>IF(AND(Table13[[#This Row],[Average score]]&gt;75,Table13[[#This Row],[Total rank]]&gt;6.5),"Yes","No")</f>
        <v>No</v>
      </c>
      <c r="AD535" s="1" t="str">
        <f>IF(AND(Table13[[#This Row],[Average score]]&gt;80,Table13[[#This Row],[Total rank]]&gt;7.5),"Yes","No")</f>
        <v>No</v>
      </c>
      <c r="AF535" s="8">
        <v>46146</v>
      </c>
      <c r="AG535" s="1">
        <v>3</v>
      </c>
      <c r="AH535" s="27">
        <v>190000</v>
      </c>
      <c r="AI535" s="27">
        <v>215000</v>
      </c>
      <c r="AJ535" s="27">
        <v>230000</v>
      </c>
      <c r="AK535" s="27">
        <f>Table13[[#This Row],[Year 1]]</f>
        <v>190000</v>
      </c>
      <c r="AL535" s="27">
        <f>Table13[[#This Row],[Year 2]]</f>
        <v>215000</v>
      </c>
      <c r="AM535" s="27">
        <f>Table13[[#This Row],[Year 3]]</f>
        <v>230000</v>
      </c>
      <c r="AN535" s="1">
        <v>3</v>
      </c>
    </row>
    <row r="536" spans="1:40" hidden="1" x14ac:dyDescent="0.25">
      <c r="A536" s="1" t="s">
        <v>48</v>
      </c>
      <c r="B536" s="1" t="s">
        <v>2480</v>
      </c>
      <c r="C536" s="1" t="s">
        <v>50</v>
      </c>
      <c r="D536" s="1" t="s">
        <v>3409</v>
      </c>
      <c r="E536" s="1" t="s">
        <v>3410</v>
      </c>
      <c r="F536" s="22" t="s">
        <v>3</v>
      </c>
      <c r="G536" s="1" t="s">
        <v>6085</v>
      </c>
      <c r="H536" s="1" t="s">
        <v>7</v>
      </c>
      <c r="I536" s="1" t="s">
        <v>20</v>
      </c>
      <c r="J536" s="1" t="s">
        <v>25</v>
      </c>
      <c r="K536" s="1" t="s">
        <v>9</v>
      </c>
      <c r="L536" s="1" t="s">
        <v>78</v>
      </c>
      <c r="M536" s="11" t="s">
        <v>188</v>
      </c>
      <c r="N536" s="1" t="s">
        <v>6037</v>
      </c>
      <c r="O536" s="1" t="s">
        <v>13</v>
      </c>
      <c r="P536" s="1" t="s">
        <v>126</v>
      </c>
      <c r="Q536" s="1" t="s">
        <v>5918</v>
      </c>
      <c r="R536" s="1" t="s">
        <v>4867</v>
      </c>
      <c r="S536" s="1" t="s">
        <v>6064</v>
      </c>
      <c r="T536" s="1" t="s">
        <v>6065</v>
      </c>
      <c r="U536" s="1" t="s">
        <v>6102</v>
      </c>
      <c r="V536" s="1" t="s">
        <v>6197</v>
      </c>
      <c r="W536" s="27">
        <v>86.111111111111114</v>
      </c>
      <c r="X536" s="27">
        <v>75</v>
      </c>
      <c r="Y536" s="33">
        <f>AVERAGE(Table13[[#This Row],[Score 1]],Table13[[#This Row],[Score 2]])</f>
        <v>80.555555555555557</v>
      </c>
      <c r="Z536" s="1">
        <v>4</v>
      </c>
      <c r="AA536" s="1">
        <v>4</v>
      </c>
      <c r="AB536" s="22">
        <f>Table13[[#This Row],[Rank 1]]+Table13[[#This Row],[Rank 2]]</f>
        <v>8</v>
      </c>
      <c r="AC536" s="1" t="str">
        <f>IF(AND(Table13[[#This Row],[Average score]]&gt;75,Table13[[#This Row],[Total rank]]&gt;6.5),"Yes","No")</f>
        <v>Yes</v>
      </c>
      <c r="AD536" s="1" t="str">
        <f>IF(AND(Table13[[#This Row],[Average score]]&gt;80,Table13[[#This Row],[Total rank]]&gt;7.5),"Yes","No")</f>
        <v>Yes</v>
      </c>
      <c r="AF536" s="8">
        <v>46023</v>
      </c>
      <c r="AG536" s="1">
        <v>1</v>
      </c>
      <c r="AH536" s="27">
        <v>350000</v>
      </c>
      <c r="AI536" s="30">
        <v>0</v>
      </c>
      <c r="AJ536" s="30">
        <v>0</v>
      </c>
      <c r="AK536" s="30">
        <f>Table13[[#This Row],[Year 1]]</f>
        <v>350000</v>
      </c>
      <c r="AL536" s="30">
        <f>Table13[[#This Row],[Year 2]]</f>
        <v>0</v>
      </c>
      <c r="AM536" s="30">
        <f>Table13[[#This Row],[Year 3]]</f>
        <v>0</v>
      </c>
      <c r="AN536" s="1">
        <v>3</v>
      </c>
    </row>
    <row r="537" spans="1:40" hidden="1" x14ac:dyDescent="0.25">
      <c r="A537" s="1" t="s">
        <v>48</v>
      </c>
      <c r="B537" s="10" t="s">
        <v>2481</v>
      </c>
      <c r="C537" s="1" t="s">
        <v>50</v>
      </c>
      <c r="D537" s="1" t="s">
        <v>3411</v>
      </c>
      <c r="E537" s="1" t="s">
        <v>3412</v>
      </c>
      <c r="F537" s="22" t="s">
        <v>3</v>
      </c>
      <c r="G537" s="1" t="s">
        <v>6085</v>
      </c>
      <c r="H537" s="1" t="s">
        <v>7</v>
      </c>
      <c r="I537" s="1" t="s">
        <v>21</v>
      </c>
      <c r="J537" s="1" t="s">
        <v>25</v>
      </c>
      <c r="K537" s="1" t="s">
        <v>9</v>
      </c>
      <c r="L537" s="1" t="s">
        <v>78</v>
      </c>
      <c r="M537" s="11" t="s">
        <v>188</v>
      </c>
      <c r="N537" s="1" t="s">
        <v>6037</v>
      </c>
      <c r="O537" s="1" t="s">
        <v>16</v>
      </c>
      <c r="P537" s="1" t="s">
        <v>4868</v>
      </c>
      <c r="Q537" s="1" t="s">
        <v>5919</v>
      </c>
      <c r="R537" s="1" t="s">
        <v>4869</v>
      </c>
      <c r="S537" s="1" t="s">
        <v>6113</v>
      </c>
      <c r="T537" s="1" t="s">
        <v>6114</v>
      </c>
      <c r="U537" s="2" t="s">
        <v>6128</v>
      </c>
      <c r="V537" s="1" t="s">
        <v>6182</v>
      </c>
      <c r="W537" s="29">
        <f>Table13[[#This Row],[Score 2]]</f>
        <v>69.444444444444443</v>
      </c>
      <c r="X537" s="27">
        <v>69.444444444444443</v>
      </c>
      <c r="Y537" s="33">
        <f>AVERAGE(Table13[[#This Row],[Score 1]],Table13[[#This Row],[Score 2]])</f>
        <v>69.444444444444443</v>
      </c>
      <c r="Z537" s="2">
        <f>Table13[[#This Row],[Rank 2]]</f>
        <v>3</v>
      </c>
      <c r="AA537" s="1">
        <v>3</v>
      </c>
      <c r="AB537" s="22">
        <f>Table13[[#This Row],[Rank 1]]+Table13[[#This Row],[Rank 2]]</f>
        <v>6</v>
      </c>
      <c r="AC537" s="1" t="str">
        <f>IF(AND(Table13[[#This Row],[Average score]]&gt;75,Table13[[#This Row],[Total rank]]&gt;6.5),"Yes","No")</f>
        <v>No</v>
      </c>
      <c r="AD537" s="1" t="str">
        <f>IF(AND(Table13[[#This Row],[Average score]]&gt;80,Table13[[#This Row],[Total rank]]&gt;7.5),"Yes","No")</f>
        <v>No</v>
      </c>
      <c r="AF537" s="8">
        <v>46052</v>
      </c>
      <c r="AG537" s="1">
        <v>2</v>
      </c>
      <c r="AH537" s="27">
        <v>490000</v>
      </c>
      <c r="AI537" s="27">
        <v>470000</v>
      </c>
      <c r="AJ537" s="30">
        <v>0</v>
      </c>
      <c r="AK537" s="30">
        <f>Table13[[#This Row],[Year 1]]</f>
        <v>490000</v>
      </c>
      <c r="AL537" s="30">
        <f>Table13[[#This Row],[Year 2]]</f>
        <v>470000</v>
      </c>
      <c r="AM537" s="30">
        <f>Table13[[#This Row],[Year 3]]</f>
        <v>0</v>
      </c>
      <c r="AN537" s="1">
        <v>3</v>
      </c>
    </row>
    <row r="538" spans="1:40" hidden="1" x14ac:dyDescent="0.25">
      <c r="A538" s="1" t="s">
        <v>48</v>
      </c>
      <c r="B538" s="2" t="s">
        <v>2482</v>
      </c>
      <c r="C538" s="1" t="s">
        <v>50</v>
      </c>
      <c r="D538" s="1" t="s">
        <v>3413</v>
      </c>
      <c r="E538" s="1" t="s">
        <v>3414</v>
      </c>
      <c r="F538" s="22" t="s">
        <v>3</v>
      </c>
      <c r="G538" s="1" t="s">
        <v>6085</v>
      </c>
      <c r="H538" s="1" t="s">
        <v>5</v>
      </c>
      <c r="I538" s="1" t="s">
        <v>24</v>
      </c>
      <c r="J538" s="1" t="s">
        <v>25</v>
      </c>
      <c r="K538" s="1" t="s">
        <v>9</v>
      </c>
      <c r="L538" s="1" t="s">
        <v>78</v>
      </c>
      <c r="M538" s="11" t="s">
        <v>188</v>
      </c>
      <c r="N538" s="1" t="s">
        <v>6037</v>
      </c>
      <c r="O538" s="1" t="s">
        <v>10</v>
      </c>
      <c r="P538" s="1" t="s">
        <v>126</v>
      </c>
      <c r="Q538" s="18" t="s">
        <v>5747</v>
      </c>
      <c r="R538" s="1" t="s">
        <v>4621</v>
      </c>
      <c r="S538" s="1" t="s">
        <v>6048</v>
      </c>
      <c r="T538" s="1" t="s">
        <v>6051</v>
      </c>
      <c r="U538" s="1" t="s">
        <v>6086</v>
      </c>
      <c r="V538" s="1" t="s">
        <v>6193</v>
      </c>
      <c r="W538" s="27">
        <v>92.857142857142861</v>
      </c>
      <c r="X538" s="27">
        <v>82.142857142857139</v>
      </c>
      <c r="Y538" s="33">
        <f>AVERAGE(Table13[[#This Row],[Score 1]],Table13[[#This Row],[Score 2]])</f>
        <v>87.5</v>
      </c>
      <c r="Z538" s="1">
        <v>5</v>
      </c>
      <c r="AA538" s="1">
        <v>4</v>
      </c>
      <c r="AB538" s="22">
        <f>Table13[[#This Row],[Rank 1]]+Table13[[#This Row],[Rank 2]]</f>
        <v>9</v>
      </c>
      <c r="AC538" s="1" t="str">
        <f>IF(AND(Table13[[#This Row],[Average score]]&gt;75,Table13[[#This Row],[Total rank]]&gt;6.5),"Yes","No")</f>
        <v>Yes</v>
      </c>
      <c r="AD538" s="1" t="str">
        <f>IF(AND(Table13[[#This Row],[Average score]]&gt;80,Table13[[#This Row],[Total rank]]&gt;7.5),"Yes","No")</f>
        <v>Yes</v>
      </c>
      <c r="AF538" s="8">
        <v>45670</v>
      </c>
      <c r="AG538" s="1">
        <v>3</v>
      </c>
      <c r="AH538" s="27">
        <v>281170</v>
      </c>
      <c r="AI538" s="27">
        <v>288000</v>
      </c>
      <c r="AJ538" s="27">
        <v>305000</v>
      </c>
      <c r="AK538" s="27">
        <f>Table13[[#This Row],[Year 1]]</f>
        <v>281170</v>
      </c>
      <c r="AL538" s="27">
        <f>Table13[[#This Row],[Year 2]]</f>
        <v>288000</v>
      </c>
      <c r="AM538" s="27">
        <f>Table13[[#This Row],[Year 3]]</f>
        <v>305000</v>
      </c>
      <c r="AN538" s="1">
        <v>3</v>
      </c>
    </row>
    <row r="539" spans="1:40" hidden="1" x14ac:dyDescent="0.25">
      <c r="A539" s="1" t="s">
        <v>48</v>
      </c>
      <c r="B539" s="1" t="s">
        <v>2483</v>
      </c>
      <c r="C539" s="1" t="s">
        <v>50</v>
      </c>
      <c r="D539" s="1" t="s">
        <v>3415</v>
      </c>
      <c r="E539" s="1" t="s">
        <v>3416</v>
      </c>
      <c r="F539" s="22" t="s">
        <v>3</v>
      </c>
      <c r="G539" s="1" t="s">
        <v>6085</v>
      </c>
      <c r="H539" s="1" t="s">
        <v>5</v>
      </c>
      <c r="I539" s="1" t="s">
        <v>20</v>
      </c>
      <c r="J539" s="1" t="s">
        <v>25</v>
      </c>
      <c r="K539" s="1" t="s">
        <v>9</v>
      </c>
      <c r="L539" s="1" t="s">
        <v>78</v>
      </c>
      <c r="M539" s="11" t="s">
        <v>188</v>
      </c>
      <c r="N539" s="1" t="s">
        <v>6037</v>
      </c>
      <c r="O539" s="1" t="s">
        <v>13</v>
      </c>
      <c r="P539" s="1" t="s">
        <v>247</v>
      </c>
      <c r="Q539" s="1" t="s">
        <v>5920</v>
      </c>
      <c r="R539" s="1" t="s">
        <v>4872</v>
      </c>
      <c r="S539" s="1" t="s">
        <v>6078</v>
      </c>
      <c r="T539" s="1" t="s">
        <v>6077</v>
      </c>
      <c r="U539" s="1" t="s">
        <v>6090</v>
      </c>
      <c r="V539" s="1" t="s">
        <v>6174</v>
      </c>
      <c r="W539" s="27">
        <v>78.571428571428569</v>
      </c>
      <c r="X539" s="27">
        <v>78.571428571428569</v>
      </c>
      <c r="Y539" s="33">
        <f>AVERAGE(Table13[[#This Row],[Score 1]],Table13[[#This Row],[Score 2]])</f>
        <v>78.571428571428569</v>
      </c>
      <c r="Z539" s="1">
        <v>4</v>
      </c>
      <c r="AA539" s="1">
        <v>4</v>
      </c>
      <c r="AB539" s="22">
        <f>Table13[[#This Row],[Rank 1]]+Table13[[#This Row],[Rank 2]]</f>
        <v>8</v>
      </c>
      <c r="AC539" s="1" t="str">
        <f>IF(AND(Table13[[#This Row],[Average score]]&gt;75,Table13[[#This Row],[Total rank]]&gt;6.5),"Yes","No")</f>
        <v>Yes</v>
      </c>
      <c r="AD539" s="1" t="str">
        <f>IF(AND(Table13[[#This Row],[Average score]]&gt;80,Table13[[#This Row],[Total rank]]&gt;7.5),"Yes","No")</f>
        <v>No</v>
      </c>
      <c r="AF539" s="8">
        <v>46027</v>
      </c>
      <c r="AG539" s="1">
        <v>2</v>
      </c>
      <c r="AH539" s="27">
        <v>288000</v>
      </c>
      <c r="AI539" s="27">
        <v>295000</v>
      </c>
      <c r="AJ539" s="30">
        <v>0</v>
      </c>
      <c r="AK539" s="30">
        <f>Table13[[#This Row],[Year 1]]</f>
        <v>288000</v>
      </c>
      <c r="AL539" s="30">
        <f>Table13[[#This Row],[Year 2]]</f>
        <v>295000</v>
      </c>
      <c r="AM539" s="30">
        <f>Table13[[#This Row],[Year 3]]</f>
        <v>0</v>
      </c>
      <c r="AN539" s="1">
        <v>3</v>
      </c>
    </row>
    <row r="540" spans="1:40" hidden="1" x14ac:dyDescent="0.25">
      <c r="A540" s="1" t="s">
        <v>48</v>
      </c>
      <c r="B540" s="1" t="s">
        <v>2484</v>
      </c>
      <c r="C540" s="1" t="s">
        <v>50</v>
      </c>
      <c r="D540" s="1" t="s">
        <v>3417</v>
      </c>
      <c r="E540" s="1" t="s">
        <v>3418</v>
      </c>
      <c r="F540" s="22" t="s">
        <v>3</v>
      </c>
      <c r="G540" s="1" t="s">
        <v>6085</v>
      </c>
      <c r="H540" s="1" t="s">
        <v>6</v>
      </c>
      <c r="I540" s="1" t="s">
        <v>20</v>
      </c>
      <c r="J540" s="1" t="s">
        <v>25</v>
      </c>
      <c r="K540" s="1" t="s">
        <v>9</v>
      </c>
      <c r="L540" s="1" t="s">
        <v>78</v>
      </c>
      <c r="M540" s="11" t="s">
        <v>188</v>
      </c>
      <c r="N540" s="1" t="s">
        <v>6037</v>
      </c>
      <c r="O540" s="1" t="s">
        <v>11</v>
      </c>
      <c r="P540" s="1" t="s">
        <v>66</v>
      </c>
      <c r="Q540" s="1" t="s">
        <v>5921</v>
      </c>
      <c r="R540" s="1" t="s">
        <v>4873</v>
      </c>
      <c r="S540" s="1" t="s">
        <v>6053</v>
      </c>
      <c r="T540" s="1" t="s">
        <v>6055</v>
      </c>
      <c r="U540" s="1" t="s">
        <v>6105</v>
      </c>
      <c r="V540" s="1" t="s">
        <v>6087</v>
      </c>
      <c r="W540" s="27">
        <v>67.857142857142861</v>
      </c>
      <c r="X540" s="27">
        <v>60.714285714285708</v>
      </c>
      <c r="Y540" s="33">
        <f>AVERAGE(Table13[[#This Row],[Score 1]],Table13[[#This Row],[Score 2]])</f>
        <v>64.285714285714278</v>
      </c>
      <c r="Z540" s="1">
        <v>3</v>
      </c>
      <c r="AA540" s="1">
        <v>3</v>
      </c>
      <c r="AB540" s="22">
        <f>Table13[[#This Row],[Rank 1]]+Table13[[#This Row],[Rank 2]]</f>
        <v>6</v>
      </c>
      <c r="AC540" s="1" t="str">
        <f>IF(AND(Table13[[#This Row],[Average score]]&gt;75,Table13[[#This Row],[Total rank]]&gt;6.5),"Yes","No")</f>
        <v>No</v>
      </c>
      <c r="AD540" s="1" t="str">
        <f>IF(AND(Table13[[#This Row],[Average score]]&gt;80,Table13[[#This Row],[Total rank]]&gt;7.5),"Yes","No")</f>
        <v>No</v>
      </c>
      <c r="AF540" s="8">
        <v>46023</v>
      </c>
      <c r="AG540" s="1">
        <v>1</v>
      </c>
      <c r="AH540" s="27">
        <v>177000</v>
      </c>
      <c r="AI540" s="30">
        <v>0</v>
      </c>
      <c r="AJ540" s="30">
        <v>0</v>
      </c>
      <c r="AK540" s="30">
        <f>Table13[[#This Row],[Year 1]]</f>
        <v>177000</v>
      </c>
      <c r="AL540" s="30">
        <f>Table13[[#This Row],[Year 2]]</f>
        <v>0</v>
      </c>
      <c r="AM540" s="30">
        <f>Table13[[#This Row],[Year 3]]</f>
        <v>0</v>
      </c>
      <c r="AN540" s="1">
        <v>3</v>
      </c>
    </row>
    <row r="541" spans="1:40" hidden="1" x14ac:dyDescent="0.25">
      <c r="A541" s="1" t="s">
        <v>48</v>
      </c>
      <c r="B541" s="1" t="s">
        <v>2485</v>
      </c>
      <c r="C541" s="1" t="s">
        <v>50</v>
      </c>
      <c r="D541" s="1" t="s">
        <v>3419</v>
      </c>
      <c r="E541" s="1" t="s">
        <v>3420</v>
      </c>
      <c r="F541" s="22" t="s">
        <v>3</v>
      </c>
      <c r="G541" s="1" t="s">
        <v>6085</v>
      </c>
      <c r="H541" s="1" t="s">
        <v>6</v>
      </c>
      <c r="I541" s="1" t="s">
        <v>20</v>
      </c>
      <c r="J541" s="1" t="s">
        <v>25</v>
      </c>
      <c r="K541" s="1" t="s">
        <v>9</v>
      </c>
      <c r="L541" s="1" t="s">
        <v>78</v>
      </c>
      <c r="M541" s="11" t="s">
        <v>188</v>
      </c>
      <c r="N541" s="1" t="s">
        <v>6037</v>
      </c>
      <c r="O541" s="1" t="s">
        <v>14</v>
      </c>
      <c r="P541" s="1" t="s">
        <v>656</v>
      </c>
      <c r="Q541" s="1" t="s">
        <v>5750</v>
      </c>
      <c r="R541" s="1" t="s">
        <v>4874</v>
      </c>
      <c r="S541" s="1" t="s">
        <v>6150</v>
      </c>
      <c r="T541" s="1" t="s">
        <v>6149</v>
      </c>
      <c r="U541" s="1" t="s">
        <v>6158</v>
      </c>
      <c r="V541" s="1" t="s">
        <v>6166</v>
      </c>
      <c r="W541" s="27">
        <v>82.142857142857139</v>
      </c>
      <c r="X541" s="27">
        <v>71.428571428571431</v>
      </c>
      <c r="Y541" s="33">
        <f>AVERAGE(Table13[[#This Row],[Score 1]],Table13[[#This Row],[Score 2]])</f>
        <v>76.785714285714278</v>
      </c>
      <c r="Z541" s="1">
        <v>5</v>
      </c>
      <c r="AA541" s="1">
        <v>5</v>
      </c>
      <c r="AB541" s="22">
        <f>Table13[[#This Row],[Rank 1]]+Table13[[#This Row],[Rank 2]]</f>
        <v>10</v>
      </c>
      <c r="AC541" s="1" t="str">
        <f>IF(AND(Table13[[#This Row],[Average score]]&gt;75,Table13[[#This Row],[Total rank]]&gt;6.5),"Yes","No")</f>
        <v>Yes</v>
      </c>
      <c r="AD541" s="1" t="str">
        <f>IF(AND(Table13[[#This Row],[Average score]]&gt;80,Table13[[#This Row],[Total rank]]&gt;7.5),"Yes","No")</f>
        <v>No</v>
      </c>
      <c r="AF541" s="8">
        <v>45719</v>
      </c>
      <c r="AG541" s="1">
        <v>1</v>
      </c>
      <c r="AH541" s="27">
        <v>78000</v>
      </c>
      <c r="AI541" s="30">
        <v>0</v>
      </c>
      <c r="AJ541" s="30">
        <v>0</v>
      </c>
      <c r="AK541" s="30">
        <f>Table13[[#This Row],[Year 1]]</f>
        <v>78000</v>
      </c>
      <c r="AL541" s="30">
        <f>Table13[[#This Row],[Year 2]]</f>
        <v>0</v>
      </c>
      <c r="AM541" s="30">
        <f>Table13[[#This Row],[Year 3]]</f>
        <v>0</v>
      </c>
      <c r="AN541" s="1">
        <v>3</v>
      </c>
    </row>
    <row r="542" spans="1:40" hidden="1" x14ac:dyDescent="0.25">
      <c r="A542" s="1" t="s">
        <v>48</v>
      </c>
      <c r="B542" s="1" t="s">
        <v>2486</v>
      </c>
      <c r="C542" s="1" t="s">
        <v>50</v>
      </c>
      <c r="D542" s="1" t="s">
        <v>3421</v>
      </c>
      <c r="E542" s="1" t="s">
        <v>3422</v>
      </c>
      <c r="F542" s="22" t="s">
        <v>3</v>
      </c>
      <c r="G542" s="1" t="s">
        <v>6085</v>
      </c>
      <c r="H542" s="1" t="s">
        <v>5</v>
      </c>
      <c r="I542" s="1" t="s">
        <v>24</v>
      </c>
      <c r="J542" s="1" t="s">
        <v>26</v>
      </c>
      <c r="K542" s="1" t="s">
        <v>8</v>
      </c>
      <c r="L542" s="1" t="s">
        <v>78</v>
      </c>
      <c r="M542" s="11" t="s">
        <v>188</v>
      </c>
      <c r="N542" s="1" t="s">
        <v>6037</v>
      </c>
      <c r="O542" s="1" t="s">
        <v>16</v>
      </c>
      <c r="P542" s="1" t="s">
        <v>4876</v>
      </c>
      <c r="Q542" s="1" t="s">
        <v>5284</v>
      </c>
      <c r="R542" s="1" t="s">
        <v>4877</v>
      </c>
      <c r="S542" s="1" t="s">
        <v>6123</v>
      </c>
      <c r="T542" s="1" t="s">
        <v>6124</v>
      </c>
      <c r="U542" s="1" t="s">
        <v>6132</v>
      </c>
      <c r="V542" s="1" t="s">
        <v>6202</v>
      </c>
      <c r="W542" s="27">
        <v>71.875</v>
      </c>
      <c r="X542" s="27">
        <v>68.75</v>
      </c>
      <c r="Y542" s="33">
        <f>AVERAGE(Table13[[#This Row],[Score 1]],Table13[[#This Row],[Score 2]])</f>
        <v>70.3125</v>
      </c>
      <c r="Z542" s="1">
        <v>3</v>
      </c>
      <c r="AA542" s="1">
        <v>2</v>
      </c>
      <c r="AB542" s="22">
        <f>Table13[[#This Row],[Rank 1]]+Table13[[#This Row],[Rank 2]]</f>
        <v>5</v>
      </c>
      <c r="AC542" s="1" t="str">
        <f>IF(AND(Table13[[#This Row],[Average score]]&gt;75,Table13[[#This Row],[Total rank]]&gt;6.5),"Yes","No")</f>
        <v>No</v>
      </c>
      <c r="AD542" s="1" t="str">
        <f>IF(AND(Table13[[#This Row],[Average score]]&gt;80,Table13[[#This Row],[Total rank]]&gt;7.5),"Yes","No")</f>
        <v>No</v>
      </c>
      <c r="AF542" s="8">
        <v>46023</v>
      </c>
      <c r="AG542" s="1">
        <v>3</v>
      </c>
      <c r="AH542" s="27">
        <v>914097.6</v>
      </c>
      <c r="AI542" s="27">
        <v>914097.6</v>
      </c>
      <c r="AJ542" s="27">
        <v>914097.6</v>
      </c>
      <c r="AK542" s="27">
        <f>Table13[[#This Row],[Year 1]]</f>
        <v>914097.6</v>
      </c>
      <c r="AL542" s="27">
        <f>Table13[[#This Row],[Year 2]]</f>
        <v>914097.6</v>
      </c>
      <c r="AM542" s="27">
        <f>Table13[[#This Row],[Year 3]]</f>
        <v>914097.6</v>
      </c>
      <c r="AN542" s="1">
        <v>3</v>
      </c>
    </row>
    <row r="543" spans="1:40" hidden="1" x14ac:dyDescent="0.25">
      <c r="A543" s="1" t="s">
        <v>48</v>
      </c>
      <c r="B543" s="1" t="s">
        <v>2487</v>
      </c>
      <c r="C543" s="1" t="s">
        <v>50</v>
      </c>
      <c r="D543" s="1" t="s">
        <v>3423</v>
      </c>
      <c r="E543" s="1" t="s">
        <v>3424</v>
      </c>
      <c r="F543" s="22" t="s">
        <v>3</v>
      </c>
      <c r="G543" s="1" t="s">
        <v>6085</v>
      </c>
      <c r="H543" s="1" t="s">
        <v>6</v>
      </c>
      <c r="I543" s="1" t="s">
        <v>20</v>
      </c>
      <c r="J543" s="1" t="s">
        <v>26</v>
      </c>
      <c r="K543" s="1" t="s">
        <v>9</v>
      </c>
      <c r="L543" s="1" t="s">
        <v>78</v>
      </c>
      <c r="M543" s="11" t="s">
        <v>188</v>
      </c>
      <c r="N543" s="1" t="s">
        <v>6037</v>
      </c>
      <c r="O543" s="1" t="s">
        <v>14</v>
      </c>
      <c r="P543" s="1" t="s">
        <v>247</v>
      </c>
      <c r="Q543" s="1" t="s">
        <v>5577</v>
      </c>
      <c r="R543" s="1" t="s">
        <v>4879</v>
      </c>
      <c r="S543" s="1" t="s">
        <v>6144</v>
      </c>
      <c r="T543" s="1" t="s">
        <v>6143</v>
      </c>
      <c r="U543" s="1" t="s">
        <v>6161</v>
      </c>
      <c r="V543" s="1" t="s">
        <v>6183</v>
      </c>
      <c r="W543" s="27">
        <v>67.857142857142861</v>
      </c>
      <c r="X543" s="27">
        <v>78.571428571428569</v>
      </c>
      <c r="Y543" s="33">
        <f>AVERAGE(Table13[[#This Row],[Score 1]],Table13[[#This Row],[Score 2]])</f>
        <v>73.214285714285722</v>
      </c>
      <c r="Z543" s="1">
        <v>2</v>
      </c>
      <c r="AA543" s="1">
        <v>4</v>
      </c>
      <c r="AB543" s="22">
        <f>Table13[[#This Row],[Rank 1]]+Table13[[#This Row],[Rank 2]]</f>
        <v>6</v>
      </c>
      <c r="AC543" s="1" t="str">
        <f>IF(AND(Table13[[#This Row],[Average score]]&gt;75,Table13[[#This Row],[Total rank]]&gt;6.5),"Yes","No")</f>
        <v>No</v>
      </c>
      <c r="AD543" s="1" t="str">
        <f>IF(AND(Table13[[#This Row],[Average score]]&gt;80,Table13[[#This Row],[Total rank]]&gt;7.5),"Yes","No")</f>
        <v>No</v>
      </c>
      <c r="AF543" s="8">
        <v>45693</v>
      </c>
      <c r="AG543" s="1">
        <v>1</v>
      </c>
      <c r="AH543" s="27">
        <v>207427.76</v>
      </c>
      <c r="AI543" s="30">
        <v>0</v>
      </c>
      <c r="AJ543" s="30">
        <v>0</v>
      </c>
      <c r="AK543" s="30">
        <f>Table13[[#This Row],[Year 1]]</f>
        <v>207427.76</v>
      </c>
      <c r="AL543" s="30">
        <f>Table13[[#This Row],[Year 2]]</f>
        <v>0</v>
      </c>
      <c r="AM543" s="30">
        <f>Table13[[#This Row],[Year 3]]</f>
        <v>0</v>
      </c>
      <c r="AN543" s="1">
        <v>3</v>
      </c>
    </row>
    <row r="544" spans="1:40" hidden="1" x14ac:dyDescent="0.25">
      <c r="A544" s="1" t="s">
        <v>48</v>
      </c>
      <c r="B544" s="1" t="s">
        <v>2489</v>
      </c>
      <c r="C544" s="1" t="s">
        <v>50</v>
      </c>
      <c r="D544" s="1" t="s">
        <v>3427</v>
      </c>
      <c r="E544" s="1" t="s">
        <v>3428</v>
      </c>
      <c r="F544" s="22" t="s">
        <v>3</v>
      </c>
      <c r="G544" s="1" t="s">
        <v>6085</v>
      </c>
      <c r="H544" s="1" t="s">
        <v>6</v>
      </c>
      <c r="I544" s="1" t="s">
        <v>20</v>
      </c>
      <c r="J544" s="1" t="s">
        <v>25</v>
      </c>
      <c r="K544" s="1" t="s">
        <v>9</v>
      </c>
      <c r="L544" s="1" t="s">
        <v>78</v>
      </c>
      <c r="M544" s="11" t="s">
        <v>188</v>
      </c>
      <c r="N544" s="1" t="s">
        <v>6037</v>
      </c>
      <c r="O544" s="1" t="s">
        <v>16</v>
      </c>
      <c r="P544" s="1" t="s">
        <v>1456</v>
      </c>
      <c r="Q544" s="1" t="s">
        <v>5923</v>
      </c>
      <c r="R544" s="10" t="s">
        <v>4884</v>
      </c>
      <c r="S544" s="1" t="s">
        <v>6109</v>
      </c>
      <c r="T544" s="1" t="s">
        <v>6110</v>
      </c>
      <c r="U544" s="1" t="s">
        <v>6125</v>
      </c>
      <c r="V544" s="1" t="s">
        <v>6202</v>
      </c>
      <c r="W544" s="27">
        <v>60.714285714285708</v>
      </c>
      <c r="X544" s="27">
        <v>67.857142857142861</v>
      </c>
      <c r="Y544" s="33">
        <f>AVERAGE(Table13[[#This Row],[Score 1]],Table13[[#This Row],[Score 2]])</f>
        <v>64.285714285714278</v>
      </c>
      <c r="Z544" s="1">
        <v>1</v>
      </c>
      <c r="AA544" s="1">
        <v>2</v>
      </c>
      <c r="AB544" s="22">
        <f>Table13[[#This Row],[Rank 1]]+Table13[[#This Row],[Rank 2]]</f>
        <v>3</v>
      </c>
      <c r="AC544" s="1" t="str">
        <f>IF(AND(Table13[[#This Row],[Average score]]&gt;75,Table13[[#This Row],[Total rank]]&gt;6.5),"Yes","No")</f>
        <v>No</v>
      </c>
      <c r="AD544" s="1" t="str">
        <f>IF(AND(Table13[[#This Row],[Average score]]&gt;80,Table13[[#This Row],[Total rank]]&gt;7.5),"Yes","No")</f>
        <v>No</v>
      </c>
      <c r="AF544" s="8">
        <v>45672</v>
      </c>
      <c r="AG544" s="1">
        <v>1</v>
      </c>
      <c r="AH544" s="27">
        <v>139000</v>
      </c>
      <c r="AI544" s="30">
        <v>0</v>
      </c>
      <c r="AJ544" s="30">
        <v>0</v>
      </c>
      <c r="AK544" s="30">
        <f>Table13[[#This Row],[Year 1]]</f>
        <v>139000</v>
      </c>
      <c r="AL544" s="30">
        <f>Table13[[#This Row],[Year 2]]</f>
        <v>0</v>
      </c>
      <c r="AM544" s="30">
        <f>Table13[[#This Row],[Year 3]]</f>
        <v>0</v>
      </c>
      <c r="AN544" s="1">
        <v>3</v>
      </c>
    </row>
    <row r="545" spans="1:40" hidden="1" x14ac:dyDescent="0.25">
      <c r="A545" s="1" t="s">
        <v>48</v>
      </c>
      <c r="B545" s="1" t="s">
        <v>2490</v>
      </c>
      <c r="C545" s="1" t="s">
        <v>50</v>
      </c>
      <c r="D545" s="1" t="s">
        <v>3429</v>
      </c>
      <c r="E545" s="1" t="s">
        <v>3430</v>
      </c>
      <c r="F545" s="22" t="s">
        <v>3</v>
      </c>
      <c r="G545" s="1" t="s">
        <v>6085</v>
      </c>
      <c r="H545" s="1" t="s">
        <v>6</v>
      </c>
      <c r="I545" s="1" t="s">
        <v>20</v>
      </c>
      <c r="J545" s="1" t="s">
        <v>25</v>
      </c>
      <c r="K545" s="1" t="s">
        <v>9</v>
      </c>
      <c r="L545" s="1" t="s">
        <v>78</v>
      </c>
      <c r="M545" s="11" t="s">
        <v>188</v>
      </c>
      <c r="N545" s="1" t="s">
        <v>6037</v>
      </c>
      <c r="O545" s="1" t="s">
        <v>14</v>
      </c>
      <c r="P545" s="1" t="s">
        <v>707</v>
      </c>
      <c r="Q545" s="1" t="s">
        <v>5924</v>
      </c>
      <c r="R545" s="1" t="s">
        <v>4885</v>
      </c>
      <c r="S545" s="1" t="s">
        <v>6150</v>
      </c>
      <c r="T545" s="1" t="s">
        <v>6149</v>
      </c>
      <c r="U545" s="1" t="s">
        <v>6158</v>
      </c>
      <c r="V545" s="1" t="s">
        <v>6166</v>
      </c>
      <c r="W545" s="27">
        <v>67.857142857142861</v>
      </c>
      <c r="X545" s="27">
        <v>60.714285714285708</v>
      </c>
      <c r="Y545" s="33">
        <f>AVERAGE(Table13[[#This Row],[Score 1]],Table13[[#This Row],[Score 2]])</f>
        <v>64.285714285714278</v>
      </c>
      <c r="Z545" s="1">
        <v>3</v>
      </c>
      <c r="AA545" s="1">
        <v>3</v>
      </c>
      <c r="AB545" s="22">
        <f>Table13[[#This Row],[Rank 1]]+Table13[[#This Row],[Rank 2]]</f>
        <v>6</v>
      </c>
      <c r="AC545" s="1" t="str">
        <f>IF(AND(Table13[[#This Row],[Average score]]&gt;75,Table13[[#This Row],[Total rank]]&gt;6.5),"Yes","No")</f>
        <v>No</v>
      </c>
      <c r="AD545" s="1" t="str">
        <f>IF(AND(Table13[[#This Row],[Average score]]&gt;80,Table13[[#This Row],[Total rank]]&gt;7.5),"Yes","No")</f>
        <v>No</v>
      </c>
      <c r="AF545" s="8">
        <v>46069</v>
      </c>
      <c r="AG545" s="1">
        <v>1</v>
      </c>
      <c r="AH545" s="27">
        <v>130000</v>
      </c>
      <c r="AI545" s="30">
        <v>0</v>
      </c>
      <c r="AJ545" s="30">
        <v>0</v>
      </c>
      <c r="AK545" s="30">
        <f>Table13[[#This Row],[Year 1]]</f>
        <v>130000</v>
      </c>
      <c r="AL545" s="30">
        <f>Table13[[#This Row],[Year 2]]</f>
        <v>0</v>
      </c>
      <c r="AM545" s="30">
        <f>Table13[[#This Row],[Year 3]]</f>
        <v>0</v>
      </c>
      <c r="AN545" s="1">
        <v>2</v>
      </c>
    </row>
    <row r="546" spans="1:40" x14ac:dyDescent="0.25">
      <c r="A546" s="1" t="s">
        <v>48</v>
      </c>
      <c r="B546" s="2" t="s">
        <v>2491</v>
      </c>
      <c r="C546" s="1" t="s">
        <v>50</v>
      </c>
      <c r="D546" s="1" t="s">
        <v>3431</v>
      </c>
      <c r="E546" s="1" t="s">
        <v>3432</v>
      </c>
      <c r="F546" s="22" t="s">
        <v>3</v>
      </c>
      <c r="G546" s="1" t="s">
        <v>6085</v>
      </c>
      <c r="H546" s="1" t="s">
        <v>5</v>
      </c>
      <c r="I546" s="1" t="s">
        <v>22</v>
      </c>
      <c r="J546" s="1" t="s">
        <v>25</v>
      </c>
      <c r="K546" s="1" t="s">
        <v>9</v>
      </c>
      <c r="L546" s="1" t="s">
        <v>78</v>
      </c>
      <c r="M546" s="11" t="s">
        <v>188</v>
      </c>
      <c r="N546" s="1" t="s">
        <v>6037</v>
      </c>
      <c r="O546" s="1" t="s">
        <v>10</v>
      </c>
      <c r="P546" s="1" t="s">
        <v>306</v>
      </c>
      <c r="Q546" s="18" t="s">
        <v>4621</v>
      </c>
      <c r="R546" s="1" t="s">
        <v>4886</v>
      </c>
      <c r="S546" s="1" t="s">
        <v>6051</v>
      </c>
      <c r="T546" s="1" t="s">
        <v>6047</v>
      </c>
      <c r="U546" s="1" t="s">
        <v>6106</v>
      </c>
      <c r="V546" s="1" t="s">
        <v>6193</v>
      </c>
      <c r="W546" s="27">
        <v>100</v>
      </c>
      <c r="X546" s="27">
        <v>85.714285714285708</v>
      </c>
      <c r="Y546" s="33">
        <f>AVERAGE(Table13[[#This Row],[Score 1]],Table13[[#This Row],[Score 2]])</f>
        <v>92.857142857142861</v>
      </c>
      <c r="Z546" s="1">
        <v>5</v>
      </c>
      <c r="AA546" s="1">
        <v>5</v>
      </c>
      <c r="AB546" s="22">
        <f>Table13[[#This Row],[Rank 1]]+Table13[[#This Row],[Rank 2]]</f>
        <v>10</v>
      </c>
      <c r="AC546" s="1" t="str">
        <f>IF(AND(Table13[[#This Row],[Average score]]&gt;75,Table13[[#This Row],[Total rank]]&gt;6.5),"Yes","No")</f>
        <v>Yes</v>
      </c>
      <c r="AD546" s="1" t="str">
        <f>IF(AND(Table13[[#This Row],[Average score]]&gt;80,Table13[[#This Row],[Total rank]]&gt;7.5),"Yes","No")</f>
        <v>Yes</v>
      </c>
      <c r="AE546" s="1" t="s">
        <v>6221</v>
      </c>
      <c r="AF546" s="8">
        <v>45859</v>
      </c>
      <c r="AG546" s="1">
        <v>3</v>
      </c>
      <c r="AH546" s="27">
        <v>146200</v>
      </c>
      <c r="AI546" s="27">
        <v>146200</v>
      </c>
      <c r="AJ546" s="27">
        <v>146200</v>
      </c>
      <c r="AK546" s="27">
        <v>147000</v>
      </c>
      <c r="AL546" s="27">
        <v>147000</v>
      </c>
      <c r="AM546" s="27">
        <v>147000</v>
      </c>
      <c r="AN546" s="1">
        <v>3</v>
      </c>
    </row>
    <row r="547" spans="1:40" hidden="1" x14ac:dyDescent="0.25">
      <c r="A547" s="1" t="s">
        <v>48</v>
      </c>
      <c r="B547" s="1" t="s">
        <v>2492</v>
      </c>
      <c r="C547" s="1" t="s">
        <v>50</v>
      </c>
      <c r="D547" s="1" t="s">
        <v>3433</v>
      </c>
      <c r="E547" s="1" t="s">
        <v>3434</v>
      </c>
      <c r="F547" s="22" t="s">
        <v>3</v>
      </c>
      <c r="G547" s="1" t="s">
        <v>6085</v>
      </c>
      <c r="H547" s="1" t="s">
        <v>5</v>
      </c>
      <c r="I547" s="1" t="s">
        <v>20</v>
      </c>
      <c r="J547" s="1" t="s">
        <v>25</v>
      </c>
      <c r="K547" s="1" t="s">
        <v>9</v>
      </c>
      <c r="L547" s="1" t="s">
        <v>78</v>
      </c>
      <c r="M547" s="11" t="s">
        <v>188</v>
      </c>
      <c r="N547" s="1" t="s">
        <v>6037</v>
      </c>
      <c r="O547" s="1" t="s">
        <v>14</v>
      </c>
      <c r="P547" s="1" t="s">
        <v>1519</v>
      </c>
      <c r="Q547" s="18" t="s">
        <v>5524</v>
      </c>
      <c r="R547" s="1" t="s">
        <v>4888</v>
      </c>
      <c r="S547" s="1" t="s">
        <v>6133</v>
      </c>
      <c r="T547" s="1" t="s">
        <v>6134</v>
      </c>
      <c r="U547" s="1" t="s">
        <v>6094</v>
      </c>
      <c r="V547" s="1" t="s">
        <v>6184</v>
      </c>
      <c r="W547" s="27">
        <v>67.857142857142861</v>
      </c>
      <c r="X547" s="27">
        <v>67.857142857142861</v>
      </c>
      <c r="Y547" s="33">
        <f>AVERAGE(Table13[[#This Row],[Score 1]],Table13[[#This Row],[Score 2]])</f>
        <v>67.857142857142861</v>
      </c>
      <c r="Z547" s="1">
        <v>3</v>
      </c>
      <c r="AA547" s="1">
        <v>3</v>
      </c>
      <c r="AB547" s="22">
        <f>Table13[[#This Row],[Rank 1]]+Table13[[#This Row],[Rank 2]]</f>
        <v>6</v>
      </c>
      <c r="AC547" s="1" t="str">
        <f>IF(AND(Table13[[#This Row],[Average score]]&gt;75,Table13[[#This Row],[Total rank]]&gt;6.5),"Yes","No")</f>
        <v>No</v>
      </c>
      <c r="AD547" s="1" t="str">
        <f>IF(AND(Table13[[#This Row],[Average score]]&gt;80,Table13[[#This Row],[Total rank]]&gt;7.5),"Yes","No")</f>
        <v>No</v>
      </c>
      <c r="AF547" s="8">
        <v>46083</v>
      </c>
      <c r="AG547" s="1">
        <v>3</v>
      </c>
      <c r="AH547" s="27">
        <v>190500</v>
      </c>
      <c r="AI547" s="27">
        <v>215500</v>
      </c>
      <c r="AJ547" s="27">
        <v>217500</v>
      </c>
      <c r="AK547" s="27">
        <f>Table13[[#This Row],[Year 1]]</f>
        <v>190500</v>
      </c>
      <c r="AL547" s="27">
        <f>Table13[[#This Row],[Year 2]]</f>
        <v>215500</v>
      </c>
      <c r="AM547" s="27">
        <f>Table13[[#This Row],[Year 3]]</f>
        <v>217500</v>
      </c>
      <c r="AN547" s="1">
        <v>3</v>
      </c>
    </row>
    <row r="548" spans="1:40" hidden="1" x14ac:dyDescent="0.25">
      <c r="A548" s="1" t="s">
        <v>48</v>
      </c>
      <c r="B548" s="1" t="s">
        <v>2493</v>
      </c>
      <c r="C548" s="1" t="s">
        <v>50</v>
      </c>
      <c r="D548" s="1" t="s">
        <v>3435</v>
      </c>
      <c r="E548" s="1" t="s">
        <v>3436</v>
      </c>
      <c r="F548" s="22" t="s">
        <v>3</v>
      </c>
      <c r="G548" s="1" t="s">
        <v>6085</v>
      </c>
      <c r="H548" s="1" t="s">
        <v>5</v>
      </c>
      <c r="I548" s="1" t="s">
        <v>20</v>
      </c>
      <c r="J548" s="1" t="s">
        <v>26</v>
      </c>
      <c r="K548" s="1" t="s">
        <v>9</v>
      </c>
      <c r="L548" s="1" t="s">
        <v>78</v>
      </c>
      <c r="M548" s="11" t="s">
        <v>188</v>
      </c>
      <c r="N548" s="1" t="s">
        <v>6037</v>
      </c>
      <c r="O548" s="1" t="s">
        <v>13</v>
      </c>
      <c r="P548" s="1" t="s">
        <v>639</v>
      </c>
      <c r="Q548" s="1" t="s">
        <v>5925</v>
      </c>
      <c r="R548" s="1" t="s">
        <v>4891</v>
      </c>
      <c r="S548" s="1" t="s">
        <v>6064</v>
      </c>
      <c r="T548" s="1" t="s">
        <v>6065</v>
      </c>
      <c r="U548" s="1" t="s">
        <v>6102</v>
      </c>
      <c r="V548" s="1" t="s">
        <v>6197</v>
      </c>
      <c r="W548" s="27">
        <v>85.714285714285708</v>
      </c>
      <c r="X548" s="27">
        <v>75</v>
      </c>
      <c r="Y548" s="33">
        <f>AVERAGE(Table13[[#This Row],[Score 1]],Table13[[#This Row],[Score 2]])</f>
        <v>80.357142857142861</v>
      </c>
      <c r="Z548" s="1">
        <v>4</v>
      </c>
      <c r="AA548" s="1">
        <v>2</v>
      </c>
      <c r="AB548" s="22">
        <f>Table13[[#This Row],[Rank 1]]+Table13[[#This Row],[Rank 2]]</f>
        <v>6</v>
      </c>
      <c r="AC548" s="1" t="str">
        <f>IF(AND(Table13[[#This Row],[Average score]]&gt;75,Table13[[#This Row],[Total rank]]&gt;6.5),"Yes","No")</f>
        <v>No</v>
      </c>
      <c r="AD548" s="1" t="str">
        <f>IF(AND(Table13[[#This Row],[Average score]]&gt;80,Table13[[#This Row],[Total rank]]&gt;7.5),"Yes","No")</f>
        <v>No</v>
      </c>
      <c r="AF548" s="8">
        <v>45677</v>
      </c>
      <c r="AG548" s="1">
        <v>3</v>
      </c>
      <c r="AH548" s="27">
        <v>132000</v>
      </c>
      <c r="AI548" s="27">
        <v>132000</v>
      </c>
      <c r="AJ548" s="27">
        <v>132000</v>
      </c>
      <c r="AK548" s="27">
        <f>Table13[[#This Row],[Year 1]]</f>
        <v>132000</v>
      </c>
      <c r="AL548" s="27">
        <f>Table13[[#This Row],[Year 2]]</f>
        <v>132000</v>
      </c>
      <c r="AM548" s="27">
        <f>Table13[[#This Row],[Year 3]]</f>
        <v>132000</v>
      </c>
      <c r="AN548" s="1">
        <v>3</v>
      </c>
    </row>
    <row r="549" spans="1:40" hidden="1" x14ac:dyDescent="0.25">
      <c r="A549" s="1" t="s">
        <v>48</v>
      </c>
      <c r="B549" s="2" t="s">
        <v>2494</v>
      </c>
      <c r="C549" s="1" t="s">
        <v>50</v>
      </c>
      <c r="D549" s="1" t="s">
        <v>3437</v>
      </c>
      <c r="E549" s="1" t="s">
        <v>3438</v>
      </c>
      <c r="F549" s="22" t="s">
        <v>3</v>
      </c>
      <c r="G549" s="1" t="s">
        <v>6085</v>
      </c>
      <c r="H549" s="1" t="s">
        <v>5</v>
      </c>
      <c r="I549" s="1" t="s">
        <v>17</v>
      </c>
      <c r="J549" s="1" t="s">
        <v>26</v>
      </c>
      <c r="K549" s="1" t="s">
        <v>9</v>
      </c>
      <c r="L549" s="1" t="s">
        <v>78</v>
      </c>
      <c r="M549" s="11" t="s">
        <v>188</v>
      </c>
      <c r="N549" s="1" t="s">
        <v>6037</v>
      </c>
      <c r="O549" s="1" t="s">
        <v>10</v>
      </c>
      <c r="P549" s="1" t="s">
        <v>1444</v>
      </c>
      <c r="Q549" s="18" t="s">
        <v>5380</v>
      </c>
      <c r="R549" s="1" t="s">
        <v>4892</v>
      </c>
      <c r="S549" s="1" t="s">
        <v>6051</v>
      </c>
      <c r="T549" s="1" t="s">
        <v>6047</v>
      </c>
      <c r="U549" s="1" t="s">
        <v>6106</v>
      </c>
      <c r="V549" s="1" t="s">
        <v>6193</v>
      </c>
      <c r="W549" s="27">
        <v>60.714285714285708</v>
      </c>
      <c r="X549" s="27">
        <v>57.142857142857139</v>
      </c>
      <c r="Y549" s="33">
        <f>AVERAGE(Table13[[#This Row],[Score 1]],Table13[[#This Row],[Score 2]])</f>
        <v>58.928571428571423</v>
      </c>
      <c r="Z549" s="1">
        <v>2</v>
      </c>
      <c r="AA549" s="1">
        <v>1</v>
      </c>
      <c r="AB549" s="22">
        <f>Table13[[#This Row],[Rank 1]]+Table13[[#This Row],[Rank 2]]</f>
        <v>3</v>
      </c>
      <c r="AC549" s="1" t="str">
        <f>IF(AND(Table13[[#This Row],[Average score]]&gt;75,Table13[[#This Row],[Total rank]]&gt;6.5),"Yes","No")</f>
        <v>No</v>
      </c>
      <c r="AD549" s="1" t="str">
        <f>IF(AND(Table13[[#This Row],[Average score]]&gt;80,Table13[[#This Row],[Total rank]]&gt;7.5),"Yes","No")</f>
        <v>No</v>
      </c>
      <c r="AF549" s="8">
        <v>45692</v>
      </c>
      <c r="AG549" s="1">
        <v>3</v>
      </c>
      <c r="AH549" s="27">
        <v>307760</v>
      </c>
      <c r="AI549" s="27">
        <v>307760</v>
      </c>
      <c r="AJ549" s="27">
        <v>307760</v>
      </c>
      <c r="AK549" s="27">
        <f>Table13[[#This Row],[Year 1]]</f>
        <v>307760</v>
      </c>
      <c r="AL549" s="27">
        <f>Table13[[#This Row],[Year 2]]</f>
        <v>307760</v>
      </c>
      <c r="AM549" s="27">
        <f>Table13[[#This Row],[Year 3]]</f>
        <v>307760</v>
      </c>
      <c r="AN549" s="1">
        <v>2</v>
      </c>
    </row>
    <row r="550" spans="1:40" x14ac:dyDescent="0.25">
      <c r="A550" s="1" t="s">
        <v>48</v>
      </c>
      <c r="B550" s="10" t="s">
        <v>2614</v>
      </c>
      <c r="C550" s="1" t="s">
        <v>50</v>
      </c>
      <c r="D550" s="1" t="s">
        <v>3675</v>
      </c>
      <c r="E550" s="1" t="s">
        <v>3676</v>
      </c>
      <c r="F550" s="22" t="s">
        <v>3</v>
      </c>
      <c r="G550" s="1" t="s">
        <v>6085</v>
      </c>
      <c r="H550" s="1" t="s">
        <v>6</v>
      </c>
      <c r="I550" s="1" t="s">
        <v>20</v>
      </c>
      <c r="J550" s="1" t="s">
        <v>25</v>
      </c>
      <c r="K550" s="1" t="s">
        <v>9</v>
      </c>
      <c r="L550" s="1" t="s">
        <v>78</v>
      </c>
      <c r="M550" s="11" t="s">
        <v>188</v>
      </c>
      <c r="N550" s="1" t="s">
        <v>6037</v>
      </c>
      <c r="O550" s="1" t="s">
        <v>14</v>
      </c>
      <c r="P550" s="1" t="s">
        <v>581</v>
      </c>
      <c r="Q550" s="1" t="s">
        <v>6006</v>
      </c>
      <c r="R550" s="1" t="s">
        <v>5160</v>
      </c>
      <c r="S550" s="1" t="s">
        <v>6142</v>
      </c>
      <c r="T550" s="1" t="s">
        <v>6136</v>
      </c>
      <c r="U550" s="1" t="s">
        <v>6161</v>
      </c>
      <c r="V550" s="1" t="s">
        <v>6163</v>
      </c>
      <c r="W550" s="27">
        <v>82.142857142857139</v>
      </c>
      <c r="X550" s="27">
        <v>96.428571428571431</v>
      </c>
      <c r="Y550" s="33">
        <f>AVERAGE(Table13[[#This Row],[Score 1]],Table13[[#This Row],[Score 2]])</f>
        <v>89.285714285714278</v>
      </c>
      <c r="Z550" s="1">
        <v>5</v>
      </c>
      <c r="AA550" s="1">
        <v>5</v>
      </c>
      <c r="AB550" s="22">
        <f>Table13[[#This Row],[Rank 1]]+Table13[[#This Row],[Rank 2]]</f>
        <v>10</v>
      </c>
      <c r="AC550" s="1" t="str">
        <f>IF(AND(Table13[[#This Row],[Average score]]&gt;75,Table13[[#This Row],[Total rank]]&gt;6.5),"Yes","No")</f>
        <v>Yes</v>
      </c>
      <c r="AD550" s="1" t="str">
        <f>IF(AND(Table13[[#This Row],[Average score]]&gt;80,Table13[[#This Row],[Total rank]]&gt;7.5),"Yes","No")</f>
        <v>Yes</v>
      </c>
      <c r="AE550" s="1" t="s">
        <v>6221</v>
      </c>
      <c r="AF550" s="8">
        <v>46036</v>
      </c>
      <c r="AG550" s="1">
        <v>2</v>
      </c>
      <c r="AH550" s="27">
        <v>193394</v>
      </c>
      <c r="AI550" s="27">
        <v>223394</v>
      </c>
      <c r="AJ550" s="30">
        <v>0</v>
      </c>
      <c r="AK550" s="30">
        <v>194000</v>
      </c>
      <c r="AL550" s="30">
        <v>224000</v>
      </c>
      <c r="AM550" s="30">
        <f>Table13[[#This Row],[Year 3]]</f>
        <v>0</v>
      </c>
      <c r="AN550" s="1">
        <v>3</v>
      </c>
    </row>
    <row r="551" spans="1:40" hidden="1" x14ac:dyDescent="0.25">
      <c r="A551" s="1" t="s">
        <v>48</v>
      </c>
      <c r="B551" s="1" t="s">
        <v>2496</v>
      </c>
      <c r="C551" s="1" t="s">
        <v>50</v>
      </c>
      <c r="D551" s="1" t="s">
        <v>3441</v>
      </c>
      <c r="E551" s="1" t="s">
        <v>3442</v>
      </c>
      <c r="F551" s="22" t="s">
        <v>3</v>
      </c>
      <c r="G551" s="1" t="s">
        <v>6085</v>
      </c>
      <c r="H551" s="1" t="s">
        <v>5</v>
      </c>
      <c r="I551" s="1" t="s">
        <v>20</v>
      </c>
      <c r="J551" s="1" t="s">
        <v>25</v>
      </c>
      <c r="K551" s="1" t="s">
        <v>9</v>
      </c>
      <c r="L551" s="1" t="s">
        <v>78</v>
      </c>
      <c r="M551" s="11" t="s">
        <v>188</v>
      </c>
      <c r="N551" s="1" t="s">
        <v>6037</v>
      </c>
      <c r="O551" s="1" t="s">
        <v>16</v>
      </c>
      <c r="P551" s="1" t="s">
        <v>1456</v>
      </c>
      <c r="Q551" s="1" t="s">
        <v>5927</v>
      </c>
      <c r="R551" s="1" t="s">
        <v>4895</v>
      </c>
      <c r="S551" s="1" t="s">
        <v>6123</v>
      </c>
      <c r="T551" s="1" t="s">
        <v>6124</v>
      </c>
      <c r="U551" s="1" t="s">
        <v>6132</v>
      </c>
      <c r="V551" s="1" t="s">
        <v>6202</v>
      </c>
      <c r="W551" s="27">
        <v>64.285714285714292</v>
      </c>
      <c r="X551" s="27">
        <v>71.428571428571431</v>
      </c>
      <c r="Y551" s="33">
        <f>AVERAGE(Table13[[#This Row],[Score 1]],Table13[[#This Row],[Score 2]])</f>
        <v>67.857142857142861</v>
      </c>
      <c r="Z551" s="1">
        <v>2</v>
      </c>
      <c r="AA551" s="1">
        <v>3</v>
      </c>
      <c r="AB551" s="22">
        <f>Table13[[#This Row],[Rank 1]]+Table13[[#This Row],[Rank 2]]</f>
        <v>5</v>
      </c>
      <c r="AC551" s="1" t="str">
        <f>IF(AND(Table13[[#This Row],[Average score]]&gt;75,Table13[[#This Row],[Total rank]]&gt;6.5),"Yes","No")</f>
        <v>No</v>
      </c>
      <c r="AD551" s="1" t="str">
        <f>IF(AND(Table13[[#This Row],[Average score]]&gt;80,Table13[[#This Row],[Total rank]]&gt;7.5),"Yes","No")</f>
        <v>No</v>
      </c>
      <c r="AF551" s="8">
        <v>46034</v>
      </c>
      <c r="AG551" s="1">
        <v>3</v>
      </c>
      <c r="AH551" s="27">
        <v>277740</v>
      </c>
      <c r="AI551" s="27">
        <v>298740</v>
      </c>
      <c r="AJ551" s="27">
        <v>270740</v>
      </c>
      <c r="AK551" s="27">
        <f>Table13[[#This Row],[Year 1]]</f>
        <v>277740</v>
      </c>
      <c r="AL551" s="27">
        <f>Table13[[#This Row],[Year 2]]</f>
        <v>298740</v>
      </c>
      <c r="AM551" s="27">
        <f>Table13[[#This Row],[Year 3]]</f>
        <v>270740</v>
      </c>
      <c r="AN551" s="1">
        <v>3</v>
      </c>
    </row>
    <row r="552" spans="1:40" hidden="1" x14ac:dyDescent="0.25">
      <c r="A552" s="1" t="s">
        <v>48</v>
      </c>
      <c r="B552" s="1" t="s">
        <v>2497</v>
      </c>
      <c r="C552" s="1" t="s">
        <v>50</v>
      </c>
      <c r="D552" s="1" t="s">
        <v>3443</v>
      </c>
      <c r="E552" s="1" t="s">
        <v>3444</v>
      </c>
      <c r="F552" s="22" t="s">
        <v>3</v>
      </c>
      <c r="G552" s="1" t="s">
        <v>6085</v>
      </c>
      <c r="H552" s="1" t="s">
        <v>6</v>
      </c>
      <c r="I552" s="1" t="s">
        <v>21</v>
      </c>
      <c r="J552" s="1" t="s">
        <v>25</v>
      </c>
      <c r="K552" s="1" t="s">
        <v>9</v>
      </c>
      <c r="L552" s="1" t="s">
        <v>78</v>
      </c>
      <c r="M552" s="1" t="s">
        <v>1013</v>
      </c>
      <c r="N552" s="1" t="s">
        <v>6037</v>
      </c>
      <c r="O552" s="1" t="s">
        <v>14</v>
      </c>
      <c r="P552" s="1" t="s">
        <v>126</v>
      </c>
      <c r="Q552" s="1" t="s">
        <v>5928</v>
      </c>
      <c r="R552" s="1" t="s">
        <v>4899</v>
      </c>
      <c r="S552" s="1" t="s">
        <v>6144</v>
      </c>
      <c r="T552" s="1" t="s">
        <v>6143</v>
      </c>
      <c r="U552" s="1" t="s">
        <v>6161</v>
      </c>
      <c r="V552" s="1" t="s">
        <v>6183</v>
      </c>
      <c r="W552" s="27">
        <v>78.571428571428569</v>
      </c>
      <c r="X552" s="27">
        <v>75</v>
      </c>
      <c r="Y552" s="33">
        <f>AVERAGE(Table13[[#This Row],[Score 1]],Table13[[#This Row],[Score 2]])</f>
        <v>76.785714285714278</v>
      </c>
      <c r="Z552" s="1">
        <v>4</v>
      </c>
      <c r="AA552" s="1">
        <v>3</v>
      </c>
      <c r="AB552" s="22">
        <f>Table13[[#This Row],[Rank 1]]+Table13[[#This Row],[Rank 2]]</f>
        <v>7</v>
      </c>
      <c r="AC552" s="1" t="str">
        <f>IF(AND(Table13[[#This Row],[Average score]]&gt;75,Table13[[#This Row],[Total rank]]&gt;6.5),"Yes","No")</f>
        <v>Yes</v>
      </c>
      <c r="AD552" s="1" t="str">
        <f>IF(AND(Table13[[#This Row],[Average score]]&gt;80,Table13[[#This Row],[Total rank]]&gt;7.5),"Yes","No")</f>
        <v>No</v>
      </c>
      <c r="AF552" s="8">
        <v>46069</v>
      </c>
      <c r="AG552" s="1">
        <v>1</v>
      </c>
      <c r="AH552" s="27">
        <v>290000</v>
      </c>
      <c r="AI552" s="30">
        <v>0</v>
      </c>
      <c r="AJ552" s="30">
        <v>0</v>
      </c>
      <c r="AK552" s="30">
        <f>Table13[[#This Row],[Year 1]]</f>
        <v>290000</v>
      </c>
      <c r="AL552" s="30">
        <f>Table13[[#This Row],[Year 2]]</f>
        <v>0</v>
      </c>
      <c r="AM552" s="30">
        <f>Table13[[#This Row],[Year 3]]</f>
        <v>0</v>
      </c>
      <c r="AN552" s="1">
        <v>2</v>
      </c>
    </row>
    <row r="553" spans="1:40" x14ac:dyDescent="0.25">
      <c r="A553" s="1" t="s">
        <v>48</v>
      </c>
      <c r="B553" s="1" t="s">
        <v>2498</v>
      </c>
      <c r="C553" s="1" t="s">
        <v>50</v>
      </c>
      <c r="D553" s="1" t="s">
        <v>3445</v>
      </c>
      <c r="E553" s="1" t="s">
        <v>3446</v>
      </c>
      <c r="F553" s="22" t="s">
        <v>3</v>
      </c>
      <c r="G553" s="1" t="s">
        <v>6085</v>
      </c>
      <c r="H553" s="1" t="s">
        <v>6</v>
      </c>
      <c r="I553" s="1" t="s">
        <v>24</v>
      </c>
      <c r="J553" s="1" t="s">
        <v>25</v>
      </c>
      <c r="K553" s="1" t="s">
        <v>9</v>
      </c>
      <c r="L553" s="1" t="s">
        <v>78</v>
      </c>
      <c r="M553" s="11" t="s">
        <v>188</v>
      </c>
      <c r="N553" s="1" t="s">
        <v>6037</v>
      </c>
      <c r="O553" s="1" t="s">
        <v>15</v>
      </c>
      <c r="P553" s="1" t="s">
        <v>60</v>
      </c>
      <c r="Q553" s="1" t="s">
        <v>5929</v>
      </c>
      <c r="R553" s="1" t="s">
        <v>4900</v>
      </c>
      <c r="S553" s="1" t="s">
        <v>6057</v>
      </c>
      <c r="T553" s="1" t="s">
        <v>6058</v>
      </c>
      <c r="U553" s="1" t="s">
        <v>6095</v>
      </c>
      <c r="V553" s="1" t="s">
        <v>6186</v>
      </c>
      <c r="W553" s="27">
        <v>82.142857142857139</v>
      </c>
      <c r="X553" s="27">
        <v>100</v>
      </c>
      <c r="Y553" s="33">
        <f>AVERAGE(Table13[[#This Row],[Score 1]],Table13[[#This Row],[Score 2]])</f>
        <v>91.071428571428569</v>
      </c>
      <c r="Z553" s="1">
        <v>5</v>
      </c>
      <c r="AA553" s="1">
        <v>5</v>
      </c>
      <c r="AB553" s="22">
        <f>Table13[[#This Row],[Rank 1]]+Table13[[#This Row],[Rank 2]]</f>
        <v>10</v>
      </c>
      <c r="AC553" s="1" t="str">
        <f>IF(AND(Table13[[#This Row],[Average score]]&gt;75,Table13[[#This Row],[Total rank]]&gt;6.5),"Yes","No")</f>
        <v>Yes</v>
      </c>
      <c r="AD553" s="1" t="str">
        <f>IF(AND(Table13[[#This Row],[Average score]]&gt;80,Table13[[#This Row],[Total rank]]&gt;7.5),"Yes","No")</f>
        <v>Yes</v>
      </c>
      <c r="AE553" s="1" t="s">
        <v>6221</v>
      </c>
      <c r="AF553" s="8">
        <v>46023</v>
      </c>
      <c r="AG553" s="1">
        <v>1</v>
      </c>
      <c r="AH553" s="27">
        <v>234000</v>
      </c>
      <c r="AI553" s="30">
        <v>0</v>
      </c>
      <c r="AJ553" s="30">
        <v>0</v>
      </c>
      <c r="AK553" s="30">
        <f>Table13[[#This Row],[Year 1]]</f>
        <v>234000</v>
      </c>
      <c r="AL553" s="30">
        <f>Table13[[#This Row],[Year 2]]</f>
        <v>0</v>
      </c>
      <c r="AM553" s="30">
        <f>Table13[[#This Row],[Year 3]]</f>
        <v>0</v>
      </c>
      <c r="AN553" s="1">
        <v>3</v>
      </c>
    </row>
    <row r="554" spans="1:40" hidden="1" x14ac:dyDescent="0.25">
      <c r="A554" s="1" t="s">
        <v>48</v>
      </c>
      <c r="B554" s="1" t="s">
        <v>2499</v>
      </c>
      <c r="C554" s="1" t="s">
        <v>50</v>
      </c>
      <c r="D554" s="1" t="s">
        <v>3447</v>
      </c>
      <c r="E554" s="1" t="s">
        <v>3448</v>
      </c>
      <c r="F554" s="22" t="s">
        <v>3</v>
      </c>
      <c r="G554" s="1" t="s">
        <v>6085</v>
      </c>
      <c r="H554" s="1" t="s">
        <v>7</v>
      </c>
      <c r="I554" s="1" t="s">
        <v>20</v>
      </c>
      <c r="J554" s="1" t="s">
        <v>26</v>
      </c>
      <c r="K554" s="1" t="s">
        <v>9</v>
      </c>
      <c r="L554" s="1" t="s">
        <v>78</v>
      </c>
      <c r="M554" s="11" t="s">
        <v>188</v>
      </c>
      <c r="N554" s="1" t="s">
        <v>6037</v>
      </c>
      <c r="O554" s="1" t="s">
        <v>16</v>
      </c>
      <c r="P554" s="1" t="s">
        <v>60</v>
      </c>
      <c r="Q554" s="1" t="s">
        <v>4016</v>
      </c>
      <c r="R554" s="1" t="s">
        <v>4901</v>
      </c>
      <c r="S554" s="1" t="s">
        <v>6109</v>
      </c>
      <c r="T554" s="1" t="s">
        <v>6110</v>
      </c>
      <c r="U554" s="1" t="s">
        <v>6125</v>
      </c>
      <c r="V554" s="1" t="s">
        <v>6202</v>
      </c>
      <c r="W554" s="27">
        <v>63.888888888888886</v>
      </c>
      <c r="X554" s="27">
        <v>91.666666666666657</v>
      </c>
      <c r="Y554" s="33">
        <f>AVERAGE(Table13[[#This Row],[Score 1]],Table13[[#This Row],[Score 2]])</f>
        <v>77.777777777777771</v>
      </c>
      <c r="Z554" s="1">
        <v>3</v>
      </c>
      <c r="AA554" s="1">
        <v>3</v>
      </c>
      <c r="AB554" s="22">
        <f>Table13[[#This Row],[Rank 1]]+Table13[[#This Row],[Rank 2]]</f>
        <v>6</v>
      </c>
      <c r="AC554" s="1" t="str">
        <f>IF(AND(Table13[[#This Row],[Average score]]&gt;75,Table13[[#This Row],[Total rank]]&gt;6.5),"Yes","No")</f>
        <v>No</v>
      </c>
      <c r="AD554" s="1" t="str">
        <f>IF(AND(Table13[[#This Row],[Average score]]&gt;80,Table13[[#This Row],[Total rank]]&gt;7.5),"Yes","No")</f>
        <v>No</v>
      </c>
      <c r="AF554" s="8">
        <v>46041</v>
      </c>
      <c r="AG554" s="1">
        <v>2</v>
      </c>
      <c r="AH554" s="27">
        <v>154498</v>
      </c>
      <c r="AI554" s="27">
        <v>523000</v>
      </c>
      <c r="AJ554" s="30">
        <v>0</v>
      </c>
      <c r="AK554" s="30">
        <f>Table13[[#This Row],[Year 1]]</f>
        <v>154498</v>
      </c>
      <c r="AL554" s="30">
        <f>Table13[[#This Row],[Year 2]]</f>
        <v>523000</v>
      </c>
      <c r="AM554" s="30">
        <f>Table13[[#This Row],[Year 3]]</f>
        <v>0</v>
      </c>
      <c r="AN554" s="1">
        <v>4</v>
      </c>
    </row>
    <row r="555" spans="1:40" hidden="1" x14ac:dyDescent="0.25">
      <c r="A555" s="1" t="s">
        <v>48</v>
      </c>
      <c r="B555" s="1" t="s">
        <v>2500</v>
      </c>
      <c r="C555" s="1" t="s">
        <v>50</v>
      </c>
      <c r="D555" s="1" t="s">
        <v>3449</v>
      </c>
      <c r="E555" s="1" t="s">
        <v>3450</v>
      </c>
      <c r="F555" s="22" t="s">
        <v>3</v>
      </c>
      <c r="G555" s="1" t="s">
        <v>6085</v>
      </c>
      <c r="H555" s="1" t="s">
        <v>5</v>
      </c>
      <c r="I555" s="1" t="s">
        <v>24</v>
      </c>
      <c r="J555" s="1" t="s">
        <v>26</v>
      </c>
      <c r="K555" s="1" t="s">
        <v>9</v>
      </c>
      <c r="L555" s="1" t="s">
        <v>78</v>
      </c>
      <c r="M555" s="11" t="s">
        <v>188</v>
      </c>
      <c r="N555" s="1" t="s">
        <v>6037</v>
      </c>
      <c r="O555" s="1" t="s">
        <v>13</v>
      </c>
      <c r="P555" s="1" t="s">
        <v>126</v>
      </c>
      <c r="Q555" s="1" t="s">
        <v>5380</v>
      </c>
      <c r="R555" s="1" t="s">
        <v>4481</v>
      </c>
      <c r="S555" s="1" t="s">
        <v>6063</v>
      </c>
      <c r="T555" s="1" t="s">
        <v>6076</v>
      </c>
      <c r="U555" s="1" t="s">
        <v>6100</v>
      </c>
      <c r="V555" s="1" t="s">
        <v>6195</v>
      </c>
      <c r="W555" s="27">
        <v>82.142857142857139</v>
      </c>
      <c r="X555" s="27">
        <v>85.714285714285708</v>
      </c>
      <c r="Y555" s="33">
        <f>AVERAGE(Table13[[#This Row],[Score 1]],Table13[[#This Row],[Score 2]])</f>
        <v>83.928571428571416</v>
      </c>
      <c r="Z555" s="1">
        <v>4</v>
      </c>
      <c r="AA555" s="1">
        <v>5</v>
      </c>
      <c r="AB555" s="22">
        <f>Table13[[#This Row],[Rank 1]]+Table13[[#This Row],[Rank 2]]</f>
        <v>9</v>
      </c>
      <c r="AC555" s="1" t="str">
        <f>IF(AND(Table13[[#This Row],[Average score]]&gt;75,Table13[[#This Row],[Total rank]]&gt;6.5),"Yes","No")</f>
        <v>Yes</v>
      </c>
      <c r="AD555" s="1" t="str">
        <f>IF(AND(Table13[[#This Row],[Average score]]&gt;80,Table13[[#This Row],[Total rank]]&gt;7.5),"Yes","No")</f>
        <v>Yes</v>
      </c>
      <c r="AF555" s="8">
        <v>46055</v>
      </c>
      <c r="AG555" s="1">
        <v>3</v>
      </c>
      <c r="AH555" s="27">
        <v>249328</v>
      </c>
      <c r="AI555" s="27">
        <v>243381</v>
      </c>
      <c r="AJ555" s="27">
        <v>256946</v>
      </c>
      <c r="AK555" s="27">
        <f>Table13[[#This Row],[Year 1]]</f>
        <v>249328</v>
      </c>
      <c r="AL555" s="27">
        <f>Table13[[#This Row],[Year 2]]</f>
        <v>243381</v>
      </c>
      <c r="AM555" s="27">
        <f>Table13[[#This Row],[Year 3]]</f>
        <v>256946</v>
      </c>
      <c r="AN555" s="1">
        <v>3</v>
      </c>
    </row>
    <row r="556" spans="1:40" hidden="1" x14ac:dyDescent="0.25">
      <c r="A556" s="1" t="s">
        <v>48</v>
      </c>
      <c r="B556" s="25" t="s">
        <v>2408</v>
      </c>
      <c r="C556" s="1" t="s">
        <v>50</v>
      </c>
      <c r="D556" s="1" t="s">
        <v>3266</v>
      </c>
      <c r="E556" s="7" t="s">
        <v>3267</v>
      </c>
      <c r="F556" s="22" t="s">
        <v>3</v>
      </c>
      <c r="G556" s="1" t="s">
        <v>6085</v>
      </c>
      <c r="H556" s="1" t="s">
        <v>6</v>
      </c>
      <c r="I556" s="1" t="s">
        <v>24</v>
      </c>
      <c r="J556" s="1" t="s">
        <v>26</v>
      </c>
      <c r="K556" s="1" t="s">
        <v>9</v>
      </c>
      <c r="L556" s="1" t="s">
        <v>78</v>
      </c>
      <c r="M556" s="11" t="s">
        <v>188</v>
      </c>
      <c r="N556" s="1" t="s">
        <v>6037</v>
      </c>
      <c r="O556" s="1" t="s">
        <v>12</v>
      </c>
      <c r="P556" s="1" t="s">
        <v>60</v>
      </c>
      <c r="Q556" s="1" t="s">
        <v>5859</v>
      </c>
      <c r="R556" s="1" t="s">
        <v>4695</v>
      </c>
      <c r="S556" s="1" t="s">
        <v>6155</v>
      </c>
      <c r="T556" s="1" t="s">
        <v>6154</v>
      </c>
      <c r="U556" s="1" t="s">
        <v>6164</v>
      </c>
      <c r="V556" s="1" t="s">
        <v>6167</v>
      </c>
      <c r="W556" s="27">
        <v>89.285714285714292</v>
      </c>
      <c r="X556" s="27">
        <v>57.142857142857139</v>
      </c>
      <c r="Y556" s="33">
        <f>AVERAGE(Table13[[#This Row],[Score 1]],Table13[[#This Row],[Score 2]])</f>
        <v>73.214285714285722</v>
      </c>
      <c r="Z556" s="1">
        <v>5</v>
      </c>
      <c r="AA556" s="1">
        <v>3</v>
      </c>
      <c r="AB556" s="22">
        <f>Table13[[#This Row],[Rank 1]]+Table13[[#This Row],[Rank 2]]</f>
        <v>8</v>
      </c>
      <c r="AC556" s="1" t="str">
        <f>IF(AND(Table13[[#This Row],[Average score]]&gt;75,Table13[[#This Row],[Total rank]]&gt;6.5),"Yes","No")</f>
        <v>No</v>
      </c>
      <c r="AD556" s="1" t="str">
        <f>IF(AND(Table13[[#This Row],[Average score]]&gt;80,Table13[[#This Row],[Total rank]]&gt;7.5),"Yes","No")</f>
        <v>No</v>
      </c>
      <c r="AF556" s="8">
        <v>46027</v>
      </c>
      <c r="AG556" s="1">
        <v>2</v>
      </c>
      <c r="AH556" s="27">
        <v>127000</v>
      </c>
      <c r="AI556" s="27">
        <v>133350</v>
      </c>
      <c r="AJ556" s="30">
        <v>0</v>
      </c>
      <c r="AK556" s="30">
        <f>Table13[[#This Row],[Year 1]]</f>
        <v>127000</v>
      </c>
      <c r="AL556" s="30">
        <f>Table13[[#This Row],[Year 2]]</f>
        <v>133350</v>
      </c>
      <c r="AM556" s="30">
        <f>Table13[[#This Row],[Year 3]]</f>
        <v>0</v>
      </c>
      <c r="AN556" s="1">
        <v>3</v>
      </c>
    </row>
    <row r="557" spans="1:40" hidden="1" x14ac:dyDescent="0.25">
      <c r="A557" s="1" t="s">
        <v>48</v>
      </c>
      <c r="B557" s="1" t="s">
        <v>2502</v>
      </c>
      <c r="C557" s="1" t="s">
        <v>50</v>
      </c>
      <c r="D557" s="1" t="s">
        <v>3453</v>
      </c>
      <c r="E557" s="1" t="s">
        <v>3454</v>
      </c>
      <c r="F557" s="22" t="s">
        <v>3</v>
      </c>
      <c r="G557" s="1" t="s">
        <v>6085</v>
      </c>
      <c r="H557" s="1" t="s">
        <v>5</v>
      </c>
      <c r="I557" s="1" t="s">
        <v>24</v>
      </c>
      <c r="J557" s="1" t="s">
        <v>25</v>
      </c>
      <c r="K557" s="1" t="s">
        <v>9</v>
      </c>
      <c r="L557" s="1" t="s">
        <v>78</v>
      </c>
      <c r="M557" s="11" t="s">
        <v>188</v>
      </c>
      <c r="N557" s="1" t="s">
        <v>6037</v>
      </c>
      <c r="O557" s="1" t="s">
        <v>10</v>
      </c>
      <c r="P557" s="1" t="s">
        <v>79</v>
      </c>
      <c r="Q557" s="17" t="s">
        <v>5931</v>
      </c>
      <c r="R557" s="1" t="s">
        <v>4908</v>
      </c>
      <c r="S557" s="1" t="s">
        <v>6043</v>
      </c>
      <c r="T557" s="1" t="s">
        <v>6044</v>
      </c>
      <c r="U557" s="1" t="s">
        <v>6091</v>
      </c>
      <c r="V557" s="1" t="s">
        <v>6175</v>
      </c>
      <c r="W557" s="27">
        <v>92.857142857142861</v>
      </c>
      <c r="X557" s="27">
        <v>85.714285714285708</v>
      </c>
      <c r="Y557" s="33">
        <f>AVERAGE(Table13[[#This Row],[Score 1]],Table13[[#This Row],[Score 2]])</f>
        <v>89.285714285714278</v>
      </c>
      <c r="Z557" s="1">
        <v>5</v>
      </c>
      <c r="AA557" s="1">
        <v>4</v>
      </c>
      <c r="AB557" s="22">
        <f>Table13[[#This Row],[Rank 1]]+Table13[[#This Row],[Rank 2]]</f>
        <v>9</v>
      </c>
      <c r="AC557" s="1" t="str">
        <f>IF(AND(Table13[[#This Row],[Average score]]&gt;75,Table13[[#This Row],[Total rank]]&gt;6.5),"Yes","No")</f>
        <v>Yes</v>
      </c>
      <c r="AD557" s="1" t="str">
        <f>IF(AND(Table13[[#This Row],[Average score]]&gt;80,Table13[[#This Row],[Total rank]]&gt;7.5),"Yes","No")</f>
        <v>Yes</v>
      </c>
      <c r="AF557" s="8">
        <v>46040</v>
      </c>
      <c r="AG557" s="1">
        <v>3</v>
      </c>
      <c r="AH557" s="27">
        <v>68100</v>
      </c>
      <c r="AI557" s="27">
        <v>200600</v>
      </c>
      <c r="AJ557" s="27">
        <v>215100</v>
      </c>
      <c r="AK557" s="27">
        <f>Table13[[#This Row],[Year 1]]</f>
        <v>68100</v>
      </c>
      <c r="AL557" s="27">
        <f>Table13[[#This Row],[Year 2]]</f>
        <v>200600</v>
      </c>
      <c r="AM557" s="27">
        <f>Table13[[#This Row],[Year 3]]</f>
        <v>215100</v>
      </c>
      <c r="AN557" s="1">
        <v>3</v>
      </c>
    </row>
    <row r="558" spans="1:40" hidden="1" x14ac:dyDescent="0.25">
      <c r="A558" s="1" t="s">
        <v>48</v>
      </c>
      <c r="B558" s="1" t="s">
        <v>2503</v>
      </c>
      <c r="C558" s="1" t="s">
        <v>50</v>
      </c>
      <c r="D558" s="1" t="s">
        <v>3455</v>
      </c>
      <c r="E558" s="1" t="s">
        <v>3456</v>
      </c>
      <c r="F558" s="1" t="s">
        <v>3</v>
      </c>
      <c r="G558" s="1" t="s">
        <v>6085</v>
      </c>
      <c r="H558" s="1" t="s">
        <v>6</v>
      </c>
      <c r="I558" s="1" t="s">
        <v>21</v>
      </c>
      <c r="J558" s="1" t="s">
        <v>26</v>
      </c>
      <c r="K558" s="1" t="s">
        <v>9</v>
      </c>
      <c r="L558" s="1" t="s">
        <v>78</v>
      </c>
      <c r="M558" s="11" t="s">
        <v>188</v>
      </c>
      <c r="N558" s="1" t="s">
        <v>6037</v>
      </c>
      <c r="O558" s="1" t="s">
        <v>14</v>
      </c>
      <c r="P558" s="1" t="s">
        <v>107</v>
      </c>
      <c r="Q558" s="1" t="s">
        <v>5659</v>
      </c>
      <c r="R558" s="1" t="s">
        <v>4912</v>
      </c>
      <c r="S558" s="1" t="s">
        <v>6141</v>
      </c>
      <c r="T558" s="1" t="s">
        <v>6135</v>
      </c>
      <c r="U558" s="1" t="s">
        <v>6165</v>
      </c>
      <c r="V558" s="1" t="s">
        <v>6201</v>
      </c>
      <c r="W558" s="27">
        <v>92.857142857142861</v>
      </c>
      <c r="X558" s="27">
        <v>64.285714285714292</v>
      </c>
      <c r="Y558" s="33">
        <f>AVERAGE(Table13[[#This Row],[Score 1]],Table13[[#This Row],[Score 2]])</f>
        <v>78.571428571428584</v>
      </c>
      <c r="Z558" s="1">
        <v>5</v>
      </c>
      <c r="AA558" s="1">
        <v>2</v>
      </c>
      <c r="AB558" s="22">
        <f>Table13[[#This Row],[Rank 1]]+Table13[[#This Row],[Rank 2]]</f>
        <v>7</v>
      </c>
      <c r="AC558" s="1" t="str">
        <f>IF(AND(Table13[[#This Row],[Average score]]&gt;75,Table13[[#This Row],[Total rank]]&gt;6.5),"Yes","No")</f>
        <v>Yes</v>
      </c>
      <c r="AD558" s="1" t="str">
        <f>IF(AND(Table13[[#This Row],[Average score]]&gt;80,Table13[[#This Row],[Total rank]]&gt;7.5),"Yes","No")</f>
        <v>No</v>
      </c>
      <c r="AF558" s="8">
        <v>45691</v>
      </c>
      <c r="AG558" s="1">
        <v>2</v>
      </c>
      <c r="AH558" s="27">
        <v>180000</v>
      </c>
      <c r="AI558" s="27">
        <v>160000</v>
      </c>
      <c r="AJ558" s="30">
        <v>0</v>
      </c>
      <c r="AK558" s="30">
        <f>Table13[[#This Row],[Year 1]]</f>
        <v>180000</v>
      </c>
      <c r="AL558" s="30">
        <f>Table13[[#This Row],[Year 2]]</f>
        <v>160000</v>
      </c>
      <c r="AM558" s="30">
        <f>Table13[[#This Row],[Year 3]]</f>
        <v>0</v>
      </c>
      <c r="AN558" s="1">
        <v>3</v>
      </c>
    </row>
    <row r="559" spans="1:40" hidden="1" x14ac:dyDescent="0.25">
      <c r="A559" s="1" t="s">
        <v>48</v>
      </c>
      <c r="B559" s="1" t="s">
        <v>2504</v>
      </c>
      <c r="C559" s="1" t="s">
        <v>50</v>
      </c>
      <c r="D559" s="1" t="s">
        <v>3457</v>
      </c>
      <c r="E559" s="1" t="s">
        <v>3458</v>
      </c>
      <c r="F559" s="22" t="s">
        <v>3</v>
      </c>
      <c r="G559" s="1" t="s">
        <v>6085</v>
      </c>
      <c r="H559" s="1" t="s">
        <v>5</v>
      </c>
      <c r="I559" s="1" t="s">
        <v>20</v>
      </c>
      <c r="J559" s="1" t="s">
        <v>25</v>
      </c>
      <c r="K559" s="1" t="s">
        <v>9</v>
      </c>
      <c r="L559" s="1" t="s">
        <v>78</v>
      </c>
      <c r="M559" s="11" t="s">
        <v>188</v>
      </c>
      <c r="N559" s="1" t="s">
        <v>6037</v>
      </c>
      <c r="O559" s="1" t="s">
        <v>12</v>
      </c>
      <c r="P559" s="1" t="s">
        <v>247</v>
      </c>
      <c r="Q559" s="1" t="s">
        <v>5932</v>
      </c>
      <c r="R559" s="1" t="s">
        <v>4913</v>
      </c>
      <c r="S559" s="1" t="s">
        <v>6155</v>
      </c>
      <c r="T559" s="1" t="s">
        <v>6154</v>
      </c>
      <c r="U559" s="1" t="s">
        <v>6164</v>
      </c>
      <c r="V559" s="1" t="s">
        <v>6167</v>
      </c>
      <c r="W559" s="27">
        <v>75</v>
      </c>
      <c r="X559" s="27">
        <v>64.285714285714292</v>
      </c>
      <c r="Y559" s="33">
        <f>AVERAGE(Table13[[#This Row],[Score 1]],Table13[[#This Row],[Score 2]])</f>
        <v>69.642857142857139</v>
      </c>
      <c r="Z559" s="1">
        <v>3</v>
      </c>
      <c r="AA559" s="1">
        <v>2</v>
      </c>
      <c r="AB559" s="22">
        <f>Table13[[#This Row],[Rank 1]]+Table13[[#This Row],[Rank 2]]</f>
        <v>5</v>
      </c>
      <c r="AC559" s="1" t="str">
        <f>IF(AND(Table13[[#This Row],[Average score]]&gt;75,Table13[[#This Row],[Total rank]]&gt;6.5),"Yes","No")</f>
        <v>No</v>
      </c>
      <c r="AD559" s="1" t="str">
        <f>IF(AND(Table13[[#This Row],[Average score]]&gt;80,Table13[[#This Row],[Total rank]]&gt;7.5),"Yes","No")</f>
        <v>No</v>
      </c>
      <c r="AF559" s="8">
        <v>44743</v>
      </c>
      <c r="AG559" s="1">
        <v>1</v>
      </c>
      <c r="AH559" s="27">
        <v>106000</v>
      </c>
      <c r="AI559" s="30">
        <v>0</v>
      </c>
      <c r="AJ559" s="30">
        <v>0</v>
      </c>
      <c r="AK559" s="30">
        <f>Table13[[#This Row],[Year 1]]</f>
        <v>106000</v>
      </c>
      <c r="AL559" s="30">
        <f>Table13[[#This Row],[Year 2]]</f>
        <v>0</v>
      </c>
      <c r="AM559" s="30">
        <f>Table13[[#This Row],[Year 3]]</f>
        <v>0</v>
      </c>
      <c r="AN559" s="1">
        <v>3</v>
      </c>
    </row>
    <row r="560" spans="1:40" hidden="1" x14ac:dyDescent="0.25">
      <c r="A560" s="1" t="s">
        <v>48</v>
      </c>
      <c r="B560" s="1" t="s">
        <v>2506</v>
      </c>
      <c r="C560" s="1" t="s">
        <v>50</v>
      </c>
      <c r="D560" s="1" t="s">
        <v>3461</v>
      </c>
      <c r="E560" s="1" t="s">
        <v>3462</v>
      </c>
      <c r="F560" s="22" t="s">
        <v>3</v>
      </c>
      <c r="G560" s="1" t="s">
        <v>6085</v>
      </c>
      <c r="H560" s="1" t="s">
        <v>5</v>
      </c>
      <c r="I560" s="1" t="s">
        <v>24</v>
      </c>
      <c r="J560" s="1" t="s">
        <v>25</v>
      </c>
      <c r="K560" s="1" t="s">
        <v>9</v>
      </c>
      <c r="L560" s="1" t="s">
        <v>78</v>
      </c>
      <c r="M560" s="11" t="s">
        <v>188</v>
      </c>
      <c r="N560" s="1" t="s">
        <v>6037</v>
      </c>
      <c r="O560" s="1" t="s">
        <v>14</v>
      </c>
      <c r="P560" s="1" t="s">
        <v>247</v>
      </c>
      <c r="Q560" s="1" t="s">
        <v>5933</v>
      </c>
      <c r="R560" s="1" t="s">
        <v>4915</v>
      </c>
      <c r="S560" s="1" t="s">
        <v>6144</v>
      </c>
      <c r="T560" s="1" t="s">
        <v>6143</v>
      </c>
      <c r="U560" s="1" t="s">
        <v>6161</v>
      </c>
      <c r="V560" s="1" t="s">
        <v>6183</v>
      </c>
      <c r="W560" s="27">
        <v>75</v>
      </c>
      <c r="X560" s="27">
        <v>92.857142857142861</v>
      </c>
      <c r="Y560" s="33">
        <f>AVERAGE(Table13[[#This Row],[Score 1]],Table13[[#This Row],[Score 2]])</f>
        <v>83.928571428571431</v>
      </c>
      <c r="Z560" s="1">
        <v>4</v>
      </c>
      <c r="AA560" s="1">
        <v>5</v>
      </c>
      <c r="AB560" s="22">
        <f>Table13[[#This Row],[Rank 1]]+Table13[[#This Row],[Rank 2]]</f>
        <v>9</v>
      </c>
      <c r="AC560" s="1" t="str">
        <f>IF(AND(Table13[[#This Row],[Average score]]&gt;75,Table13[[#This Row],[Total rank]]&gt;6.5),"Yes","No")</f>
        <v>Yes</v>
      </c>
      <c r="AD560" s="1" t="str">
        <f>IF(AND(Table13[[#This Row],[Average score]]&gt;80,Table13[[#This Row],[Total rank]]&gt;7.5),"Yes","No")</f>
        <v>Yes</v>
      </c>
      <c r="AF560" s="8">
        <v>44713</v>
      </c>
      <c r="AG560" s="1">
        <v>1</v>
      </c>
      <c r="AH560" s="27">
        <v>246000</v>
      </c>
      <c r="AI560" s="30">
        <v>0</v>
      </c>
      <c r="AJ560" s="30">
        <v>0</v>
      </c>
      <c r="AK560" s="30">
        <f>Table13[[#This Row],[Year 1]]</f>
        <v>246000</v>
      </c>
      <c r="AL560" s="30">
        <f>Table13[[#This Row],[Year 2]]</f>
        <v>0</v>
      </c>
      <c r="AM560" s="30">
        <f>Table13[[#This Row],[Year 3]]</f>
        <v>0</v>
      </c>
      <c r="AN560" s="1">
        <v>4</v>
      </c>
    </row>
    <row r="561" spans="1:40" hidden="1" x14ac:dyDescent="0.25">
      <c r="A561" s="1" t="s">
        <v>48</v>
      </c>
      <c r="B561" s="1" t="s">
        <v>2507</v>
      </c>
      <c r="C561" s="1" t="s">
        <v>50</v>
      </c>
      <c r="D561" s="1" t="s">
        <v>3463</v>
      </c>
      <c r="E561" s="1" t="s">
        <v>3464</v>
      </c>
      <c r="F561" s="22" t="s">
        <v>3</v>
      </c>
      <c r="G561" s="1" t="s">
        <v>6085</v>
      </c>
      <c r="H561" s="1" t="s">
        <v>6</v>
      </c>
      <c r="I561" s="1" t="s">
        <v>22</v>
      </c>
      <c r="J561" s="1" t="s">
        <v>25</v>
      </c>
      <c r="K561" s="1" t="s">
        <v>9</v>
      </c>
      <c r="L561" s="1" t="s">
        <v>78</v>
      </c>
      <c r="M561" s="11" t="s">
        <v>188</v>
      </c>
      <c r="N561" s="1" t="s">
        <v>6037</v>
      </c>
      <c r="O561" s="1" t="s">
        <v>16</v>
      </c>
      <c r="P561" s="1" t="s">
        <v>1456</v>
      </c>
      <c r="Q561" s="1" t="s">
        <v>5807</v>
      </c>
      <c r="R561" s="1" t="s">
        <v>4917</v>
      </c>
      <c r="S561" s="1" t="s">
        <v>6111</v>
      </c>
      <c r="T561" s="1" t="s">
        <v>6112</v>
      </c>
      <c r="U561" s="1" t="s">
        <v>6127</v>
      </c>
      <c r="V561" s="1" t="s">
        <v>6179</v>
      </c>
      <c r="W561" s="27">
        <v>75</v>
      </c>
      <c r="X561" s="27">
        <v>82.142857142857139</v>
      </c>
      <c r="Y561" s="33">
        <f>AVERAGE(Table13[[#This Row],[Score 1]],Table13[[#This Row],[Score 2]])</f>
        <v>78.571428571428569</v>
      </c>
      <c r="Z561" s="1">
        <v>3</v>
      </c>
      <c r="AA561" s="1">
        <v>3</v>
      </c>
      <c r="AB561" s="22">
        <f>Table13[[#This Row],[Rank 1]]+Table13[[#This Row],[Rank 2]]</f>
        <v>6</v>
      </c>
      <c r="AC561" s="1" t="str">
        <f>IF(AND(Table13[[#This Row],[Average score]]&gt;75,Table13[[#This Row],[Total rank]]&gt;6.5),"Yes","No")</f>
        <v>No</v>
      </c>
      <c r="AD561" s="1" t="str">
        <f>IF(AND(Table13[[#This Row],[Average score]]&gt;80,Table13[[#This Row],[Total rank]]&gt;7.5),"Yes","No")</f>
        <v>No</v>
      </c>
      <c r="AF561" s="8">
        <v>46008</v>
      </c>
      <c r="AG561" s="1">
        <v>1</v>
      </c>
      <c r="AH561" s="27">
        <v>84000</v>
      </c>
      <c r="AI561" s="30">
        <v>0</v>
      </c>
      <c r="AJ561" s="30">
        <v>0</v>
      </c>
      <c r="AK561" s="30">
        <f>Table13[[#This Row],[Year 1]]</f>
        <v>84000</v>
      </c>
      <c r="AL561" s="30">
        <f>Table13[[#This Row],[Year 2]]</f>
        <v>0</v>
      </c>
      <c r="AM561" s="30">
        <f>Table13[[#This Row],[Year 3]]</f>
        <v>0</v>
      </c>
      <c r="AN561" s="1">
        <v>4</v>
      </c>
    </row>
    <row r="562" spans="1:40" hidden="1" x14ac:dyDescent="0.25">
      <c r="A562" s="1" t="s">
        <v>48</v>
      </c>
      <c r="B562" s="1" t="s">
        <v>2509</v>
      </c>
      <c r="C562" s="1" t="s">
        <v>50</v>
      </c>
      <c r="D562" s="1" t="s">
        <v>3467</v>
      </c>
      <c r="E562" s="1" t="s">
        <v>3468</v>
      </c>
      <c r="F562" s="22" t="s">
        <v>3</v>
      </c>
      <c r="G562" s="1" t="s">
        <v>6085</v>
      </c>
      <c r="H562" s="1" t="s">
        <v>6</v>
      </c>
      <c r="I562" s="1" t="s">
        <v>20</v>
      </c>
      <c r="J562" s="1" t="s">
        <v>25</v>
      </c>
      <c r="K562" s="1" t="s">
        <v>9</v>
      </c>
      <c r="L562" s="1" t="s">
        <v>78</v>
      </c>
      <c r="M562" s="11" t="s">
        <v>188</v>
      </c>
      <c r="N562" s="1" t="s">
        <v>6037</v>
      </c>
      <c r="O562" s="1" t="s">
        <v>13</v>
      </c>
      <c r="P562" s="1" t="s">
        <v>247</v>
      </c>
      <c r="Q562" s="1" t="s">
        <v>5935</v>
      </c>
      <c r="R562" s="1" t="s">
        <v>4920</v>
      </c>
      <c r="S562" s="1" t="s">
        <v>6063</v>
      </c>
      <c r="T562" s="1" t="s">
        <v>6076</v>
      </c>
      <c r="U562" s="1" t="s">
        <v>6100</v>
      </c>
      <c r="V562" s="1" t="s">
        <v>6195</v>
      </c>
      <c r="W562" s="27">
        <v>60.714285714285708</v>
      </c>
      <c r="X562" s="27">
        <v>71.428571428571431</v>
      </c>
      <c r="Y562" s="33">
        <f>AVERAGE(Table13[[#This Row],[Score 1]],Table13[[#This Row],[Score 2]])</f>
        <v>66.071428571428569</v>
      </c>
      <c r="Z562" s="1">
        <v>2</v>
      </c>
      <c r="AA562" s="1">
        <v>4</v>
      </c>
      <c r="AB562" s="22">
        <f>Table13[[#This Row],[Rank 1]]+Table13[[#This Row],[Rank 2]]</f>
        <v>6</v>
      </c>
      <c r="AC562" s="1" t="str">
        <f>IF(AND(Table13[[#This Row],[Average score]]&gt;75,Table13[[#This Row],[Total rank]]&gt;6.5),"Yes","No")</f>
        <v>No</v>
      </c>
      <c r="AD562" s="1" t="str">
        <f>IF(AND(Table13[[#This Row],[Average score]]&gt;80,Table13[[#This Row],[Total rank]]&gt;7.5),"Yes","No")</f>
        <v>No</v>
      </c>
      <c r="AF562" s="8">
        <v>46034</v>
      </c>
      <c r="AG562" s="1">
        <v>1</v>
      </c>
      <c r="AH562" s="27">
        <v>140000</v>
      </c>
      <c r="AI562" s="30">
        <v>0</v>
      </c>
      <c r="AJ562" s="30">
        <v>0</v>
      </c>
      <c r="AK562" s="30">
        <f>Table13[[#This Row],[Year 1]]</f>
        <v>140000</v>
      </c>
      <c r="AL562" s="30">
        <f>Table13[[#This Row],[Year 2]]</f>
        <v>0</v>
      </c>
      <c r="AM562" s="30">
        <f>Table13[[#This Row],[Year 3]]</f>
        <v>0</v>
      </c>
      <c r="AN562" s="1">
        <v>3</v>
      </c>
    </row>
    <row r="563" spans="1:40" x14ac:dyDescent="0.25">
      <c r="A563" s="1" t="s">
        <v>48</v>
      </c>
      <c r="B563" s="1" t="s">
        <v>2510</v>
      </c>
      <c r="C563" s="1" t="s">
        <v>50</v>
      </c>
      <c r="D563" s="1" t="s">
        <v>3469</v>
      </c>
      <c r="E563" s="1" t="s">
        <v>3470</v>
      </c>
      <c r="F563" s="22" t="s">
        <v>3</v>
      </c>
      <c r="G563" s="1" t="s">
        <v>6085</v>
      </c>
      <c r="H563" s="1" t="s">
        <v>7</v>
      </c>
      <c r="I563" s="1" t="s">
        <v>20</v>
      </c>
      <c r="J563" s="1" t="s">
        <v>26</v>
      </c>
      <c r="K563" s="1" t="s">
        <v>9</v>
      </c>
      <c r="L563" s="1" t="s">
        <v>78</v>
      </c>
      <c r="M563" s="11" t="s">
        <v>188</v>
      </c>
      <c r="N563" s="1" t="s">
        <v>6037</v>
      </c>
      <c r="O563" s="1" t="s">
        <v>16</v>
      </c>
      <c r="P563" s="1" t="s">
        <v>126</v>
      </c>
      <c r="Q563" s="1" t="s">
        <v>5936</v>
      </c>
      <c r="R563" s="1" t="s">
        <v>4921</v>
      </c>
      <c r="S563" s="1" t="s">
        <v>6123</v>
      </c>
      <c r="T563" s="1" t="s">
        <v>6124</v>
      </c>
      <c r="U563" s="1" t="s">
        <v>6132</v>
      </c>
      <c r="V563" s="1" t="s">
        <v>6202</v>
      </c>
      <c r="W563" s="27">
        <v>94.444444444444443</v>
      </c>
      <c r="X563" s="27">
        <v>88.888888888888886</v>
      </c>
      <c r="Y563" s="33">
        <f>AVERAGE(Table13[[#This Row],[Score 1]],Table13[[#This Row],[Score 2]])</f>
        <v>91.666666666666657</v>
      </c>
      <c r="Z563" s="1">
        <v>5</v>
      </c>
      <c r="AA563" s="1">
        <v>4</v>
      </c>
      <c r="AB563" s="22">
        <f>Table13[[#This Row],[Rank 1]]+Table13[[#This Row],[Rank 2]]</f>
        <v>9</v>
      </c>
      <c r="AC563" s="1" t="str">
        <f>IF(AND(Table13[[#This Row],[Average score]]&gt;75,Table13[[#This Row],[Total rank]]&gt;6.5),"Yes","No")</f>
        <v>Yes</v>
      </c>
      <c r="AD563" s="1" t="str">
        <f>IF(AND(Table13[[#This Row],[Average score]]&gt;80,Table13[[#This Row],[Total rank]]&gt;7.5),"Yes","No")</f>
        <v>Yes</v>
      </c>
      <c r="AE563" s="1" t="s">
        <v>6221</v>
      </c>
      <c r="AF563" s="8">
        <v>46023</v>
      </c>
      <c r="AG563" s="1">
        <v>2</v>
      </c>
      <c r="AH563" s="27">
        <v>400000</v>
      </c>
      <c r="AI563" s="27">
        <v>320000</v>
      </c>
      <c r="AJ563" s="30">
        <v>0</v>
      </c>
      <c r="AK563" s="30">
        <f>Table13[[#This Row],[Year 1]]</f>
        <v>400000</v>
      </c>
      <c r="AL563" s="30">
        <f>Table13[[#This Row],[Year 2]]</f>
        <v>320000</v>
      </c>
      <c r="AM563" s="30">
        <f>Table13[[#This Row],[Year 3]]</f>
        <v>0</v>
      </c>
      <c r="AN563" s="1">
        <v>3</v>
      </c>
    </row>
    <row r="564" spans="1:40" hidden="1" x14ac:dyDescent="0.25">
      <c r="A564" s="1" t="s">
        <v>48</v>
      </c>
      <c r="B564" s="2" t="s">
        <v>2512</v>
      </c>
      <c r="C564" s="1" t="s">
        <v>50</v>
      </c>
      <c r="D564" s="1" t="s">
        <v>3473</v>
      </c>
      <c r="E564" s="1" t="s">
        <v>3474</v>
      </c>
      <c r="F564" s="22" t="s">
        <v>3</v>
      </c>
      <c r="G564" s="1" t="s">
        <v>6085</v>
      </c>
      <c r="H564" s="1" t="s">
        <v>5</v>
      </c>
      <c r="I564" s="1" t="s">
        <v>20</v>
      </c>
      <c r="J564" s="1" t="s">
        <v>25</v>
      </c>
      <c r="K564" s="1" t="s">
        <v>9</v>
      </c>
      <c r="L564" s="1" t="s">
        <v>78</v>
      </c>
      <c r="M564" s="11" t="s">
        <v>188</v>
      </c>
      <c r="N564" s="1" t="s">
        <v>6037</v>
      </c>
      <c r="O564" s="1" t="s">
        <v>18</v>
      </c>
      <c r="P564" s="1" t="s">
        <v>126</v>
      </c>
      <c r="Q564" s="1" t="s">
        <v>5938</v>
      </c>
      <c r="R564" s="20" t="s">
        <v>4924</v>
      </c>
      <c r="S564" s="1" t="s">
        <v>6059</v>
      </c>
      <c r="T564" s="1" t="s">
        <v>6060</v>
      </c>
      <c r="U564" s="1" t="s">
        <v>6096</v>
      </c>
      <c r="V564" s="1" t="s">
        <v>6214</v>
      </c>
      <c r="W564" s="27">
        <v>64.285714285714292</v>
      </c>
      <c r="X564" s="29">
        <f>Table13[[#This Row],[Score 1]]</f>
        <v>64.285714285714292</v>
      </c>
      <c r="Y564" s="33">
        <f>AVERAGE(Table13[[#This Row],[Score 1]],Table13[[#This Row],[Score 2]])</f>
        <v>64.285714285714292</v>
      </c>
      <c r="Z564" s="1">
        <v>3</v>
      </c>
      <c r="AA564" s="2">
        <f>Table13[[#This Row],[Rank 1]]</f>
        <v>3</v>
      </c>
      <c r="AB564" s="22">
        <f>Table13[[#This Row],[Rank 1]]+Table13[[#This Row],[Rank 2]]</f>
        <v>6</v>
      </c>
      <c r="AC564" s="1" t="str">
        <f>IF(AND(Table13[[#This Row],[Average score]]&gt;75,Table13[[#This Row],[Total rank]]&gt;6.5),"Yes","No")</f>
        <v>No</v>
      </c>
      <c r="AD564" s="1" t="str">
        <f>IF(AND(Table13[[#This Row],[Average score]]&gt;80,Table13[[#This Row],[Total rank]]&gt;7.5),"Yes","No")</f>
        <v>No</v>
      </c>
      <c r="AF564" s="8">
        <v>44585</v>
      </c>
      <c r="AG564" s="1">
        <v>1</v>
      </c>
      <c r="AH564" s="27">
        <v>246000</v>
      </c>
      <c r="AI564" s="30">
        <v>0</v>
      </c>
      <c r="AJ564" s="30">
        <v>0</v>
      </c>
      <c r="AK564" s="30">
        <f>Table13[[#This Row],[Year 1]]</f>
        <v>246000</v>
      </c>
      <c r="AL564" s="30">
        <f>Table13[[#This Row],[Year 2]]</f>
        <v>0</v>
      </c>
      <c r="AM564" s="30">
        <f>Table13[[#This Row],[Year 3]]</f>
        <v>0</v>
      </c>
      <c r="AN564" s="1">
        <v>3</v>
      </c>
    </row>
    <row r="565" spans="1:40" x14ac:dyDescent="0.25">
      <c r="A565" s="1" t="s">
        <v>48</v>
      </c>
      <c r="B565" s="1" t="s">
        <v>2513</v>
      </c>
      <c r="C565" s="1" t="s">
        <v>50</v>
      </c>
      <c r="D565" s="1" t="s">
        <v>3475</v>
      </c>
      <c r="E565" s="1" t="s">
        <v>3476</v>
      </c>
      <c r="F565" s="22" t="s">
        <v>3</v>
      </c>
      <c r="G565" s="1" t="s">
        <v>6085</v>
      </c>
      <c r="H565" s="1" t="s">
        <v>5</v>
      </c>
      <c r="I565" s="1" t="s">
        <v>20</v>
      </c>
      <c r="J565" s="1" t="s">
        <v>26</v>
      </c>
      <c r="K565" s="1" t="s">
        <v>9</v>
      </c>
      <c r="L565" s="1" t="s">
        <v>78</v>
      </c>
      <c r="M565" s="11" t="s">
        <v>188</v>
      </c>
      <c r="N565" s="1" t="s">
        <v>6037</v>
      </c>
      <c r="O565" s="1" t="s">
        <v>13</v>
      </c>
      <c r="P565" s="1" t="s">
        <v>126</v>
      </c>
      <c r="Q565" s="1" t="s">
        <v>5939</v>
      </c>
      <c r="R565" s="1" t="s">
        <v>4925</v>
      </c>
      <c r="S565" s="1" t="s">
        <v>6078</v>
      </c>
      <c r="T565" s="1" t="s">
        <v>6077</v>
      </c>
      <c r="U565" s="1" t="s">
        <v>6090</v>
      </c>
      <c r="V565" s="1" t="s">
        <v>6174</v>
      </c>
      <c r="W565" s="27">
        <v>92.857142857142861</v>
      </c>
      <c r="X565" s="27">
        <v>100</v>
      </c>
      <c r="Y565" s="33">
        <f>AVERAGE(Table13[[#This Row],[Score 1]],Table13[[#This Row],[Score 2]])</f>
        <v>96.428571428571431</v>
      </c>
      <c r="Z565" s="1">
        <v>5</v>
      </c>
      <c r="AA565" s="1">
        <v>5</v>
      </c>
      <c r="AB565" s="22">
        <f>Table13[[#This Row],[Rank 1]]+Table13[[#This Row],[Rank 2]]</f>
        <v>10</v>
      </c>
      <c r="AC565" s="1" t="str">
        <f>IF(AND(Table13[[#This Row],[Average score]]&gt;75,Table13[[#This Row],[Total rank]]&gt;6.5),"Yes","No")</f>
        <v>Yes</v>
      </c>
      <c r="AD565" s="1" t="str">
        <f>IF(AND(Table13[[#This Row],[Average score]]&gt;80,Table13[[#This Row],[Total rank]]&gt;7.5),"Yes","No")</f>
        <v>Yes</v>
      </c>
      <c r="AE565" s="1" t="s">
        <v>6221</v>
      </c>
      <c r="AF565" s="8">
        <v>46037</v>
      </c>
      <c r="AG565" s="1">
        <v>3</v>
      </c>
      <c r="AH565" s="27">
        <v>21000</v>
      </c>
      <c r="AI565" s="27">
        <v>151000</v>
      </c>
      <c r="AJ565" s="27">
        <v>151000</v>
      </c>
      <c r="AK565" s="27">
        <f>Table13[[#This Row],[Year 1]]</f>
        <v>21000</v>
      </c>
      <c r="AL565" s="27">
        <f>Table13[[#This Row],[Year 2]]</f>
        <v>151000</v>
      </c>
      <c r="AM565" s="27">
        <f>Table13[[#This Row],[Year 3]]</f>
        <v>151000</v>
      </c>
      <c r="AN565" s="1">
        <v>4</v>
      </c>
    </row>
    <row r="566" spans="1:40" hidden="1" x14ac:dyDescent="0.25">
      <c r="A566" s="1" t="s">
        <v>48</v>
      </c>
      <c r="B566" s="1" t="s">
        <v>2514</v>
      </c>
      <c r="C566" s="1" t="s">
        <v>50</v>
      </c>
      <c r="D566" s="1" t="s">
        <v>3477</v>
      </c>
      <c r="E566" s="1" t="s">
        <v>3478</v>
      </c>
      <c r="F566" s="22" t="s">
        <v>3</v>
      </c>
      <c r="G566" s="1" t="s">
        <v>6085</v>
      </c>
      <c r="H566" s="1" t="s">
        <v>6</v>
      </c>
      <c r="I566" s="1" t="s">
        <v>20</v>
      </c>
      <c r="J566" s="1" t="s">
        <v>26</v>
      </c>
      <c r="K566" s="1" t="s">
        <v>9</v>
      </c>
      <c r="L566" s="1" t="s">
        <v>78</v>
      </c>
      <c r="M566" s="11" t="s">
        <v>188</v>
      </c>
      <c r="N566" s="1" t="s">
        <v>6037</v>
      </c>
      <c r="O566" s="1" t="s">
        <v>14</v>
      </c>
      <c r="P566" s="1" t="s">
        <v>247</v>
      </c>
      <c r="Q566" s="1" t="s">
        <v>5940</v>
      </c>
      <c r="R566" s="1" t="s">
        <v>4927</v>
      </c>
      <c r="S566" s="1" t="s">
        <v>6144</v>
      </c>
      <c r="T566" s="1" t="s">
        <v>6143</v>
      </c>
      <c r="U566" s="1" t="s">
        <v>6161</v>
      </c>
      <c r="V566" s="1" t="s">
        <v>6183</v>
      </c>
      <c r="W566" s="27">
        <v>67.857142857142861</v>
      </c>
      <c r="X566" s="27">
        <v>92.857142857142861</v>
      </c>
      <c r="Y566" s="33">
        <f>AVERAGE(Table13[[#This Row],[Score 1]],Table13[[#This Row],[Score 2]])</f>
        <v>80.357142857142861</v>
      </c>
      <c r="Z566" s="1">
        <v>3</v>
      </c>
      <c r="AA566" s="1">
        <v>5</v>
      </c>
      <c r="AB566" s="22">
        <f>Table13[[#This Row],[Rank 1]]+Table13[[#This Row],[Rank 2]]</f>
        <v>8</v>
      </c>
      <c r="AC566" s="1" t="str">
        <f>IF(AND(Table13[[#This Row],[Average score]]&gt;75,Table13[[#This Row],[Total rank]]&gt;6.5),"Yes","No")</f>
        <v>Yes</v>
      </c>
      <c r="AD566" s="1" t="str">
        <f>IF(AND(Table13[[#This Row],[Average score]]&gt;80,Table13[[#This Row],[Total rank]]&gt;7.5),"Yes","No")</f>
        <v>Yes</v>
      </c>
      <c r="AF566" s="8">
        <v>45708</v>
      </c>
      <c r="AG566" s="1">
        <v>1</v>
      </c>
      <c r="AH566" s="27">
        <v>192093</v>
      </c>
      <c r="AI566" s="30">
        <v>0</v>
      </c>
      <c r="AJ566" s="30">
        <v>0</v>
      </c>
      <c r="AK566" s="30">
        <f>Table13[[#This Row],[Year 1]]</f>
        <v>192093</v>
      </c>
      <c r="AL566" s="30">
        <f>Table13[[#This Row],[Year 2]]</f>
        <v>0</v>
      </c>
      <c r="AM566" s="30">
        <f>Table13[[#This Row],[Year 3]]</f>
        <v>0</v>
      </c>
      <c r="AN566" s="1">
        <v>3</v>
      </c>
    </row>
    <row r="567" spans="1:40" hidden="1" x14ac:dyDescent="0.25">
      <c r="A567" s="1" t="s">
        <v>48</v>
      </c>
      <c r="B567" s="1" t="s">
        <v>2515</v>
      </c>
      <c r="C567" s="1" t="s">
        <v>50</v>
      </c>
      <c r="D567" s="1" t="s">
        <v>3479</v>
      </c>
      <c r="E567" s="1" t="s">
        <v>3480</v>
      </c>
      <c r="F567" s="22" t="s">
        <v>3</v>
      </c>
      <c r="G567" s="1" t="s">
        <v>6085</v>
      </c>
      <c r="H567" s="1" t="s">
        <v>6</v>
      </c>
      <c r="I567" s="1" t="s">
        <v>20</v>
      </c>
      <c r="J567" s="1" t="s">
        <v>25</v>
      </c>
      <c r="K567" s="1" t="s">
        <v>9</v>
      </c>
      <c r="L567" s="1" t="s">
        <v>78</v>
      </c>
      <c r="M567" s="11" t="s">
        <v>188</v>
      </c>
      <c r="N567" s="1" t="s">
        <v>6037</v>
      </c>
      <c r="O567" s="1" t="s">
        <v>19</v>
      </c>
      <c r="P567" s="1" t="s">
        <v>801</v>
      </c>
      <c r="Q567" s="1" t="s">
        <v>5941</v>
      </c>
      <c r="R567" s="1" t="s">
        <v>4929</v>
      </c>
      <c r="S567" s="1" t="s">
        <v>6137</v>
      </c>
      <c r="T567" s="1" t="s">
        <v>6138</v>
      </c>
      <c r="U567" s="1" t="s">
        <v>6160</v>
      </c>
      <c r="V567" s="1" t="s">
        <v>6203</v>
      </c>
      <c r="W567" s="27">
        <v>67.857142857142861</v>
      </c>
      <c r="X567" s="27">
        <v>64.285714285714292</v>
      </c>
      <c r="Y567" s="33">
        <f>AVERAGE(Table13[[#This Row],[Score 1]],Table13[[#This Row],[Score 2]])</f>
        <v>66.071428571428584</v>
      </c>
      <c r="Z567" s="1">
        <v>2</v>
      </c>
      <c r="AA567" s="1">
        <v>2</v>
      </c>
      <c r="AB567" s="22">
        <f>Table13[[#This Row],[Rank 1]]+Table13[[#This Row],[Rank 2]]</f>
        <v>4</v>
      </c>
      <c r="AC567" s="1" t="str">
        <f>IF(AND(Table13[[#This Row],[Average score]]&gt;75,Table13[[#This Row],[Total rank]]&gt;6.5),"Yes","No")</f>
        <v>No</v>
      </c>
      <c r="AD567" s="1" t="str">
        <f>IF(AND(Table13[[#This Row],[Average score]]&gt;80,Table13[[#This Row],[Total rank]]&gt;7.5),"Yes","No")</f>
        <v>No</v>
      </c>
      <c r="AF567" s="8">
        <v>46054</v>
      </c>
      <c r="AG567" s="1">
        <v>1</v>
      </c>
      <c r="AH567" s="27">
        <v>150000</v>
      </c>
      <c r="AI567" s="30">
        <v>0</v>
      </c>
      <c r="AJ567" s="30">
        <v>0</v>
      </c>
      <c r="AK567" s="30">
        <f>Table13[[#This Row],[Year 1]]</f>
        <v>150000</v>
      </c>
      <c r="AL567" s="30">
        <f>Table13[[#This Row],[Year 2]]</f>
        <v>0</v>
      </c>
      <c r="AM567" s="30">
        <f>Table13[[#This Row],[Year 3]]</f>
        <v>0</v>
      </c>
      <c r="AN567" s="1">
        <v>3</v>
      </c>
    </row>
    <row r="568" spans="1:40" hidden="1" x14ac:dyDescent="0.25">
      <c r="A568" s="1" t="s">
        <v>48</v>
      </c>
      <c r="B568" s="1" t="s">
        <v>2516</v>
      </c>
      <c r="C568" s="1" t="s">
        <v>50</v>
      </c>
      <c r="D568" s="1" t="s">
        <v>3481</v>
      </c>
      <c r="E568" s="1" t="s">
        <v>3482</v>
      </c>
      <c r="F568" s="22" t="s">
        <v>3</v>
      </c>
      <c r="G568" s="1" t="s">
        <v>6085</v>
      </c>
      <c r="H568" s="1" t="s">
        <v>6</v>
      </c>
      <c r="I568" s="1" t="s">
        <v>20</v>
      </c>
      <c r="J568" s="1" t="s">
        <v>25</v>
      </c>
      <c r="K568" s="1" t="s">
        <v>9</v>
      </c>
      <c r="L568" s="1" t="s">
        <v>78</v>
      </c>
      <c r="M568" s="11" t="s">
        <v>188</v>
      </c>
      <c r="N568" s="1" t="s">
        <v>6037</v>
      </c>
      <c r="O568" s="1" t="s">
        <v>14</v>
      </c>
      <c r="P568" s="1" t="s">
        <v>247</v>
      </c>
      <c r="Q568" s="1" t="s">
        <v>5942</v>
      </c>
      <c r="R568" s="1" t="s">
        <v>4930</v>
      </c>
      <c r="S568" s="1" t="s">
        <v>6144</v>
      </c>
      <c r="T568" s="1" t="s">
        <v>6143</v>
      </c>
      <c r="U568" s="1" t="s">
        <v>6161</v>
      </c>
      <c r="V568" s="1" t="s">
        <v>6183</v>
      </c>
      <c r="W568" s="27">
        <v>75</v>
      </c>
      <c r="X568" s="27">
        <v>75</v>
      </c>
      <c r="Y568" s="33">
        <f>AVERAGE(Table13[[#This Row],[Score 1]],Table13[[#This Row],[Score 2]])</f>
        <v>75</v>
      </c>
      <c r="Z568" s="1">
        <v>3</v>
      </c>
      <c r="AA568" s="1">
        <v>3</v>
      </c>
      <c r="AB568" s="22">
        <f>Table13[[#This Row],[Rank 1]]+Table13[[#This Row],[Rank 2]]</f>
        <v>6</v>
      </c>
      <c r="AC568" s="1" t="str">
        <f>IF(AND(Table13[[#This Row],[Average score]]&gt;75,Table13[[#This Row],[Total rank]]&gt;6.5),"Yes","No")</f>
        <v>No</v>
      </c>
      <c r="AD568" s="1" t="str">
        <f>IF(AND(Table13[[#This Row],[Average score]]&gt;80,Table13[[#This Row],[Total rank]]&gt;7.5),"Yes","No")</f>
        <v>No</v>
      </c>
      <c r="AF568" s="8">
        <v>46023</v>
      </c>
      <c r="AG568" s="1">
        <v>2</v>
      </c>
      <c r="AH568" s="27">
        <v>77712.149999999994</v>
      </c>
      <c r="AI568" s="27">
        <v>42288</v>
      </c>
      <c r="AJ568" s="30">
        <v>0</v>
      </c>
      <c r="AK568" s="30">
        <f>Table13[[#This Row],[Year 1]]</f>
        <v>77712.149999999994</v>
      </c>
      <c r="AL568" s="30">
        <f>Table13[[#This Row],[Year 2]]</f>
        <v>42288</v>
      </c>
      <c r="AM568" s="30">
        <f>Table13[[#This Row],[Year 3]]</f>
        <v>0</v>
      </c>
      <c r="AN568" s="1">
        <v>3</v>
      </c>
    </row>
    <row r="569" spans="1:40" hidden="1" x14ac:dyDescent="0.25">
      <c r="A569" s="1" t="s">
        <v>48</v>
      </c>
      <c r="B569" s="1" t="s">
        <v>2517</v>
      </c>
      <c r="C569" s="1" t="s">
        <v>50</v>
      </c>
      <c r="D569" s="1" t="s">
        <v>3483</v>
      </c>
      <c r="E569" s="1" t="s">
        <v>3484</v>
      </c>
      <c r="F569" s="22" t="s">
        <v>3</v>
      </c>
      <c r="G569" s="1" t="s">
        <v>6085</v>
      </c>
      <c r="H569" s="1" t="s">
        <v>5</v>
      </c>
      <c r="I569" s="1" t="s">
        <v>20</v>
      </c>
      <c r="J569" s="1" t="s">
        <v>25</v>
      </c>
      <c r="K569" s="1" t="s">
        <v>9</v>
      </c>
      <c r="L569" s="1" t="s">
        <v>78</v>
      </c>
      <c r="M569" s="11" t="s">
        <v>188</v>
      </c>
      <c r="N569" s="1" t="s">
        <v>6037</v>
      </c>
      <c r="O569" s="1" t="s">
        <v>16</v>
      </c>
      <c r="P569" s="1" t="s">
        <v>247</v>
      </c>
      <c r="Q569" s="1" t="s">
        <v>5943</v>
      </c>
      <c r="R569" s="1" t="s">
        <v>4933</v>
      </c>
      <c r="S569" s="1" t="s">
        <v>6117</v>
      </c>
      <c r="T569" s="1" t="s">
        <v>6118</v>
      </c>
      <c r="U569" s="1" t="s">
        <v>6126</v>
      </c>
      <c r="V569" s="1" t="s">
        <v>6177</v>
      </c>
      <c r="W569" s="27">
        <v>60.714285714285708</v>
      </c>
      <c r="X569" s="27">
        <v>78.571428571428569</v>
      </c>
      <c r="Y569" s="33">
        <f>AVERAGE(Table13[[#This Row],[Score 1]],Table13[[#This Row],[Score 2]])</f>
        <v>69.642857142857139</v>
      </c>
      <c r="Z569" s="1">
        <v>3</v>
      </c>
      <c r="AA569" s="1">
        <v>4</v>
      </c>
      <c r="AB569" s="22">
        <f>Table13[[#This Row],[Rank 1]]+Table13[[#This Row],[Rank 2]]</f>
        <v>7</v>
      </c>
      <c r="AC569" s="1" t="str">
        <f>IF(AND(Table13[[#This Row],[Average score]]&gt;75,Table13[[#This Row],[Total rank]]&gt;6.5),"Yes","No")</f>
        <v>No</v>
      </c>
      <c r="AD569" s="1" t="str">
        <f>IF(AND(Table13[[#This Row],[Average score]]&gt;80,Table13[[#This Row],[Total rank]]&gt;7.5),"Yes","No")</f>
        <v>No</v>
      </c>
      <c r="AF569" s="8">
        <v>45687</v>
      </c>
      <c r="AG569" s="1">
        <v>3</v>
      </c>
      <c r="AH569" s="27">
        <v>62746</v>
      </c>
      <c r="AI569" s="27">
        <v>152746</v>
      </c>
      <c r="AJ569" s="27">
        <v>62746</v>
      </c>
      <c r="AK569" s="27">
        <f>Table13[[#This Row],[Year 1]]</f>
        <v>62746</v>
      </c>
      <c r="AL569" s="27">
        <f>Table13[[#This Row],[Year 2]]</f>
        <v>152746</v>
      </c>
      <c r="AM569" s="27">
        <f>Table13[[#This Row],[Year 3]]</f>
        <v>62746</v>
      </c>
      <c r="AN569" s="1">
        <v>2</v>
      </c>
    </row>
    <row r="570" spans="1:40" hidden="1" x14ac:dyDescent="0.25">
      <c r="A570" s="1" t="s">
        <v>48</v>
      </c>
      <c r="B570" s="10" t="s">
        <v>2519</v>
      </c>
      <c r="C570" s="1" t="s">
        <v>50</v>
      </c>
      <c r="D570" s="1" t="s">
        <v>3487</v>
      </c>
      <c r="E570" s="1" t="s">
        <v>3488</v>
      </c>
      <c r="F570" s="22" t="s">
        <v>3</v>
      </c>
      <c r="G570" s="1" t="s">
        <v>6085</v>
      </c>
      <c r="H570" s="1" t="s">
        <v>5</v>
      </c>
      <c r="I570" s="1" t="s">
        <v>24</v>
      </c>
      <c r="J570" s="1" t="s">
        <v>26</v>
      </c>
      <c r="K570" s="1" t="s">
        <v>9</v>
      </c>
      <c r="L570" s="1" t="s">
        <v>78</v>
      </c>
      <c r="M570" s="11" t="s">
        <v>188</v>
      </c>
      <c r="N570" s="1" t="s">
        <v>6037</v>
      </c>
      <c r="O570" s="1" t="s">
        <v>16</v>
      </c>
      <c r="P570" s="1" t="s">
        <v>267</v>
      </c>
      <c r="Q570" s="1" t="s">
        <v>5</v>
      </c>
      <c r="R570" s="1" t="s">
        <v>4938</v>
      </c>
      <c r="S570" s="1" t="s">
        <v>6113</v>
      </c>
      <c r="T570" s="1" t="s">
        <v>6114</v>
      </c>
      <c r="U570" s="2" t="s">
        <v>6128</v>
      </c>
      <c r="V570" s="1" t="s">
        <v>6182</v>
      </c>
      <c r="W570" s="29">
        <f>Table13[[#This Row],[Score 2]]</f>
        <v>75</v>
      </c>
      <c r="X570" s="27">
        <v>75</v>
      </c>
      <c r="Y570" s="33">
        <f>AVERAGE(Table13[[#This Row],[Score 1]],Table13[[#This Row],[Score 2]])</f>
        <v>75</v>
      </c>
      <c r="Z570" s="2">
        <f>Table13[[#This Row],[Rank 2]]</f>
        <v>3</v>
      </c>
      <c r="AA570" s="1">
        <v>3</v>
      </c>
      <c r="AB570" s="22">
        <f>Table13[[#This Row],[Rank 1]]+Table13[[#This Row],[Rank 2]]</f>
        <v>6</v>
      </c>
      <c r="AC570" s="1" t="str">
        <f>IF(AND(Table13[[#This Row],[Average score]]&gt;75,Table13[[#This Row],[Total rank]]&gt;6.5),"Yes","No")</f>
        <v>No</v>
      </c>
      <c r="AD570" s="1" t="str">
        <f>IF(AND(Table13[[#This Row],[Average score]]&gt;80,Table13[[#This Row],[Total rank]]&gt;7.5),"Yes","No")</f>
        <v>No</v>
      </c>
      <c r="AF570" s="8">
        <v>46054</v>
      </c>
      <c r="AG570" s="1">
        <v>3</v>
      </c>
      <c r="AH570" s="27">
        <v>245000</v>
      </c>
      <c r="AI570" s="27">
        <v>260500</v>
      </c>
      <c r="AJ570" s="27">
        <v>268500</v>
      </c>
      <c r="AK570" s="27">
        <f>Table13[[#This Row],[Year 1]]</f>
        <v>245000</v>
      </c>
      <c r="AL570" s="27">
        <f>Table13[[#This Row],[Year 2]]</f>
        <v>260500</v>
      </c>
      <c r="AM570" s="27">
        <f>Table13[[#This Row],[Year 3]]</f>
        <v>268500</v>
      </c>
      <c r="AN570" s="1">
        <v>3</v>
      </c>
    </row>
    <row r="571" spans="1:40" hidden="1" x14ac:dyDescent="0.25">
      <c r="A571" s="1" t="s">
        <v>48</v>
      </c>
      <c r="B571" s="1" t="s">
        <v>2520</v>
      </c>
      <c r="C571" s="1" t="s">
        <v>50</v>
      </c>
      <c r="D571" s="1" t="s">
        <v>3489</v>
      </c>
      <c r="E571" s="1" t="s">
        <v>3490</v>
      </c>
      <c r="F571" s="22" t="s">
        <v>3</v>
      </c>
      <c r="G571" s="1" t="s">
        <v>6085</v>
      </c>
      <c r="H571" s="1" t="s">
        <v>6</v>
      </c>
      <c r="I571" s="1" t="s">
        <v>20</v>
      </c>
      <c r="J571" s="1" t="s">
        <v>26</v>
      </c>
      <c r="K571" s="1" t="s">
        <v>9</v>
      </c>
      <c r="L571" s="1" t="s">
        <v>78</v>
      </c>
      <c r="M571" s="11" t="s">
        <v>188</v>
      </c>
      <c r="N571" s="1" t="s">
        <v>6037</v>
      </c>
      <c r="O571" s="1" t="s">
        <v>13</v>
      </c>
      <c r="P571" s="1" t="s">
        <v>247</v>
      </c>
      <c r="Q571" s="1" t="s">
        <v>5945</v>
      </c>
      <c r="R571" s="1" t="s">
        <v>4941</v>
      </c>
      <c r="S571" s="1" t="s">
        <v>6078</v>
      </c>
      <c r="T571" s="1" t="s">
        <v>6077</v>
      </c>
      <c r="U571" s="1" t="s">
        <v>6090</v>
      </c>
      <c r="V571" s="1" t="s">
        <v>6174</v>
      </c>
      <c r="W571" s="27">
        <v>78.571428571428569</v>
      </c>
      <c r="X571" s="27">
        <v>71.428571428571431</v>
      </c>
      <c r="Y571" s="33">
        <f>AVERAGE(Table13[[#This Row],[Score 1]],Table13[[#This Row],[Score 2]])</f>
        <v>75</v>
      </c>
      <c r="Z571" s="1">
        <v>4</v>
      </c>
      <c r="AA571" s="1">
        <v>4</v>
      </c>
      <c r="AB571" s="22">
        <f>Table13[[#This Row],[Rank 1]]+Table13[[#This Row],[Rank 2]]</f>
        <v>8</v>
      </c>
      <c r="AC571" s="1" t="str">
        <f>IF(AND(Table13[[#This Row],[Average score]]&gt;75,Table13[[#This Row],[Total rank]]&gt;6.5),"Yes","No")</f>
        <v>No</v>
      </c>
      <c r="AD571" s="1" t="str">
        <f>IF(AND(Table13[[#This Row],[Average score]]&gt;80,Table13[[#This Row],[Total rank]]&gt;7.5),"Yes","No")</f>
        <v>No</v>
      </c>
      <c r="AF571" s="8">
        <v>45693</v>
      </c>
      <c r="AG571" s="1">
        <v>1</v>
      </c>
      <c r="AH571" s="27">
        <v>190149.6</v>
      </c>
      <c r="AI571" s="30">
        <v>0</v>
      </c>
      <c r="AJ571" s="30">
        <v>0</v>
      </c>
      <c r="AK571" s="30">
        <f>Table13[[#This Row],[Year 1]]</f>
        <v>190149.6</v>
      </c>
      <c r="AL571" s="30">
        <f>Table13[[#This Row],[Year 2]]</f>
        <v>0</v>
      </c>
      <c r="AM571" s="30">
        <f>Table13[[#This Row],[Year 3]]</f>
        <v>0</v>
      </c>
      <c r="AN571" s="1">
        <v>3</v>
      </c>
    </row>
    <row r="572" spans="1:40" hidden="1" x14ac:dyDescent="0.25">
      <c r="A572" s="1" t="s">
        <v>48</v>
      </c>
      <c r="B572" s="1" t="s">
        <v>2521</v>
      </c>
      <c r="C572" s="1" t="s">
        <v>50</v>
      </c>
      <c r="D572" s="1" t="s">
        <v>3491</v>
      </c>
      <c r="E572" s="1" t="s">
        <v>3492</v>
      </c>
      <c r="F572" s="22" t="s">
        <v>3</v>
      </c>
      <c r="G572" s="1" t="s">
        <v>6085</v>
      </c>
      <c r="H572" s="1" t="s">
        <v>5</v>
      </c>
      <c r="I572" s="1" t="s">
        <v>24</v>
      </c>
      <c r="J572" s="1" t="s">
        <v>25</v>
      </c>
      <c r="K572" s="1" t="s">
        <v>9</v>
      </c>
      <c r="L572" s="1" t="s">
        <v>78</v>
      </c>
      <c r="M572" s="11" t="s">
        <v>188</v>
      </c>
      <c r="N572" s="1" t="s">
        <v>6037</v>
      </c>
      <c r="O572" s="1" t="s">
        <v>13</v>
      </c>
      <c r="P572" s="1" t="s">
        <v>199</v>
      </c>
      <c r="Q572" s="1" t="s">
        <v>5946</v>
      </c>
      <c r="R572" s="1" t="s">
        <v>4943</v>
      </c>
      <c r="S572" s="1" t="s">
        <v>6063</v>
      </c>
      <c r="T572" s="1" t="s">
        <v>6076</v>
      </c>
      <c r="U572" s="1" t="s">
        <v>6100</v>
      </c>
      <c r="V572" s="1" t="s">
        <v>6195</v>
      </c>
      <c r="W572" s="27">
        <v>64.285714285714292</v>
      </c>
      <c r="X572" s="27">
        <v>92.857142857142861</v>
      </c>
      <c r="Y572" s="33">
        <f>AVERAGE(Table13[[#This Row],[Score 1]],Table13[[#This Row],[Score 2]])</f>
        <v>78.571428571428584</v>
      </c>
      <c r="Z572" s="1">
        <v>2</v>
      </c>
      <c r="AA572" s="1">
        <v>5</v>
      </c>
      <c r="AB572" s="22">
        <f>Table13[[#This Row],[Rank 1]]+Table13[[#This Row],[Rank 2]]</f>
        <v>7</v>
      </c>
      <c r="AC572" s="1" t="str">
        <f>IF(AND(Table13[[#This Row],[Average score]]&gt;75,Table13[[#This Row],[Total rank]]&gt;6.5),"Yes","No")</f>
        <v>Yes</v>
      </c>
      <c r="AD572" s="1" t="str">
        <f>IF(AND(Table13[[#This Row],[Average score]]&gt;80,Table13[[#This Row],[Total rank]]&gt;7.5),"Yes","No")</f>
        <v>No</v>
      </c>
      <c r="AF572" s="8">
        <v>45658</v>
      </c>
      <c r="AG572" s="1">
        <v>2</v>
      </c>
      <c r="AH572" s="27">
        <v>159754.5</v>
      </c>
      <c r="AI572" s="27">
        <v>165961.25</v>
      </c>
      <c r="AJ572" s="30">
        <v>0</v>
      </c>
      <c r="AK572" s="30">
        <f>Table13[[#This Row],[Year 1]]</f>
        <v>159754.5</v>
      </c>
      <c r="AL572" s="30">
        <f>Table13[[#This Row],[Year 2]]</f>
        <v>165961.25</v>
      </c>
      <c r="AM572" s="30">
        <f>Table13[[#This Row],[Year 3]]</f>
        <v>0</v>
      </c>
      <c r="AN572" s="1">
        <v>3</v>
      </c>
    </row>
    <row r="573" spans="1:40" hidden="1" x14ac:dyDescent="0.25">
      <c r="A573" s="1" t="s">
        <v>48</v>
      </c>
      <c r="B573" s="1" t="s">
        <v>2522</v>
      </c>
      <c r="C573" s="1" t="s">
        <v>50</v>
      </c>
      <c r="D573" s="1" t="s">
        <v>3493</v>
      </c>
      <c r="E573" s="1" t="s">
        <v>3494</v>
      </c>
      <c r="F573" s="22" t="s">
        <v>3</v>
      </c>
      <c r="G573" s="1" t="s">
        <v>6085</v>
      </c>
      <c r="H573" s="1" t="s">
        <v>5</v>
      </c>
      <c r="I573" s="1" t="s">
        <v>20</v>
      </c>
      <c r="J573" s="1" t="s">
        <v>26</v>
      </c>
      <c r="K573" s="1" t="s">
        <v>9</v>
      </c>
      <c r="L573" s="1" t="s">
        <v>78</v>
      </c>
      <c r="M573" s="11" t="s">
        <v>188</v>
      </c>
      <c r="N573" s="1" t="s">
        <v>6037</v>
      </c>
      <c r="O573" s="1" t="s">
        <v>13</v>
      </c>
      <c r="P573" s="1" t="s">
        <v>126</v>
      </c>
      <c r="Q573" s="1" t="s">
        <v>5384</v>
      </c>
      <c r="R573" s="1" t="s">
        <v>4946</v>
      </c>
      <c r="S573" s="1" t="s">
        <v>6064</v>
      </c>
      <c r="T573" s="1" t="s">
        <v>6065</v>
      </c>
      <c r="U573" s="1" t="s">
        <v>6102</v>
      </c>
      <c r="V573" s="1" t="s">
        <v>6197</v>
      </c>
      <c r="W573" s="27">
        <v>67.857142857142861</v>
      </c>
      <c r="X573" s="27">
        <v>75</v>
      </c>
      <c r="Y573" s="33">
        <f>AVERAGE(Table13[[#This Row],[Score 1]],Table13[[#This Row],[Score 2]])</f>
        <v>71.428571428571431</v>
      </c>
      <c r="Z573" s="1">
        <v>3</v>
      </c>
      <c r="AA573" s="1">
        <v>3</v>
      </c>
      <c r="AB573" s="22">
        <f>Table13[[#This Row],[Rank 1]]+Table13[[#This Row],[Rank 2]]</f>
        <v>6</v>
      </c>
      <c r="AC573" s="1" t="str">
        <f>IF(AND(Table13[[#This Row],[Average score]]&gt;75,Table13[[#This Row],[Total rank]]&gt;6.5),"Yes","No")</f>
        <v>No</v>
      </c>
      <c r="AD573" s="1" t="str">
        <f>IF(AND(Table13[[#This Row],[Average score]]&gt;80,Table13[[#This Row],[Total rank]]&gt;7.5),"Yes","No")</f>
        <v>No</v>
      </c>
      <c r="AF573" s="8">
        <v>46034</v>
      </c>
      <c r="AG573" s="1">
        <v>3</v>
      </c>
      <c r="AH573" s="27">
        <v>282170</v>
      </c>
      <c r="AI573" s="27">
        <v>287170</v>
      </c>
      <c r="AJ573" s="27">
        <v>297170</v>
      </c>
      <c r="AK573" s="27">
        <f>Table13[[#This Row],[Year 1]]</f>
        <v>282170</v>
      </c>
      <c r="AL573" s="27">
        <f>Table13[[#This Row],[Year 2]]</f>
        <v>287170</v>
      </c>
      <c r="AM573" s="27">
        <f>Table13[[#This Row],[Year 3]]</f>
        <v>297170</v>
      </c>
      <c r="AN573" s="1">
        <v>3</v>
      </c>
    </row>
    <row r="574" spans="1:40" hidden="1" x14ac:dyDescent="0.25">
      <c r="A574" s="1" t="s">
        <v>48</v>
      </c>
      <c r="B574" s="1" t="s">
        <v>2523</v>
      </c>
      <c r="C574" s="1" t="s">
        <v>50</v>
      </c>
      <c r="D574" s="1" t="s">
        <v>3495</v>
      </c>
      <c r="E574" s="1" t="s">
        <v>3496</v>
      </c>
      <c r="F574" s="22" t="s">
        <v>3</v>
      </c>
      <c r="G574" s="1" t="s">
        <v>6085</v>
      </c>
      <c r="H574" s="1" t="s">
        <v>7</v>
      </c>
      <c r="I574" s="1" t="s">
        <v>20</v>
      </c>
      <c r="J574" s="1" t="s">
        <v>26</v>
      </c>
      <c r="K574" s="1" t="s">
        <v>9</v>
      </c>
      <c r="L574" s="1" t="s">
        <v>78</v>
      </c>
      <c r="M574" s="11" t="s">
        <v>188</v>
      </c>
      <c r="N574" s="1" t="s">
        <v>6037</v>
      </c>
      <c r="O574" s="1" t="s">
        <v>16</v>
      </c>
      <c r="P574" s="1" t="s">
        <v>60</v>
      </c>
      <c r="Q574" s="1" t="s">
        <v>4016</v>
      </c>
      <c r="R574" s="1" t="s">
        <v>4950</v>
      </c>
      <c r="S574" s="1" t="s">
        <v>6109</v>
      </c>
      <c r="T574" s="1" t="s">
        <v>6110</v>
      </c>
      <c r="U574" s="1" t="s">
        <v>6125</v>
      </c>
      <c r="V574" s="1" t="s">
        <v>6202</v>
      </c>
      <c r="W574" s="27">
        <v>58.333333333333336</v>
      </c>
      <c r="X574" s="27">
        <v>69.444444444444443</v>
      </c>
      <c r="Y574" s="33">
        <f>AVERAGE(Table13[[#This Row],[Score 1]],Table13[[#This Row],[Score 2]])</f>
        <v>63.888888888888886</v>
      </c>
      <c r="Z574" s="1">
        <v>3</v>
      </c>
      <c r="AA574" s="1">
        <v>3</v>
      </c>
      <c r="AB574" s="22">
        <f>Table13[[#This Row],[Rank 1]]+Table13[[#This Row],[Rank 2]]</f>
        <v>6</v>
      </c>
      <c r="AC574" s="1" t="str">
        <f>IF(AND(Table13[[#This Row],[Average score]]&gt;75,Table13[[#This Row],[Total rank]]&gt;6.5),"Yes","No")</f>
        <v>No</v>
      </c>
      <c r="AD574" s="1" t="str">
        <f>IF(AND(Table13[[#This Row],[Average score]]&gt;80,Table13[[#This Row],[Total rank]]&gt;7.5),"Yes","No")</f>
        <v>No</v>
      </c>
      <c r="AF574" s="8">
        <v>46037</v>
      </c>
      <c r="AG574" s="1">
        <v>2</v>
      </c>
      <c r="AH574" s="27">
        <v>434000</v>
      </c>
      <c r="AI574" s="27">
        <v>463200</v>
      </c>
      <c r="AJ574" s="27">
        <v>443520</v>
      </c>
      <c r="AK574" s="27">
        <f>Table13[[#This Row],[Year 1]]</f>
        <v>434000</v>
      </c>
      <c r="AL574" s="27">
        <f>Table13[[#This Row],[Year 2]]</f>
        <v>463200</v>
      </c>
      <c r="AM574" s="27">
        <f>Table13[[#This Row],[Year 3]]</f>
        <v>443520</v>
      </c>
      <c r="AN574" s="1">
        <v>3</v>
      </c>
    </row>
    <row r="575" spans="1:40" hidden="1" x14ac:dyDescent="0.25">
      <c r="A575" s="1" t="s">
        <v>48</v>
      </c>
      <c r="B575" s="1" t="s">
        <v>2525</v>
      </c>
      <c r="C575" s="1" t="s">
        <v>50</v>
      </c>
      <c r="D575" s="1" t="s">
        <v>3499</v>
      </c>
      <c r="E575" s="1" t="s">
        <v>3500</v>
      </c>
      <c r="F575" s="22" t="s">
        <v>3</v>
      </c>
      <c r="G575" s="1" t="s">
        <v>6085</v>
      </c>
      <c r="H575" s="1" t="s">
        <v>6</v>
      </c>
      <c r="I575" s="1" t="s">
        <v>20</v>
      </c>
      <c r="J575" s="1" t="s">
        <v>26</v>
      </c>
      <c r="K575" s="1" t="s">
        <v>9</v>
      </c>
      <c r="L575" s="1" t="s">
        <v>78</v>
      </c>
      <c r="M575" s="11" t="s">
        <v>188</v>
      </c>
      <c r="N575" s="1" t="s">
        <v>6037</v>
      </c>
      <c r="O575" s="1" t="s">
        <v>13</v>
      </c>
      <c r="P575" s="1" t="s">
        <v>126</v>
      </c>
      <c r="Q575" s="1" t="s">
        <v>5948</v>
      </c>
      <c r="R575" s="1" t="s">
        <v>4956</v>
      </c>
      <c r="S575" s="1" t="s">
        <v>6063</v>
      </c>
      <c r="T575" s="1" t="s">
        <v>6076</v>
      </c>
      <c r="U575" s="1" t="s">
        <v>6100</v>
      </c>
      <c r="V575" s="1" t="s">
        <v>6195</v>
      </c>
      <c r="W575" s="27">
        <v>71.428571428571431</v>
      </c>
      <c r="X575" s="27">
        <v>75</v>
      </c>
      <c r="Y575" s="33">
        <f>AVERAGE(Table13[[#This Row],[Score 1]],Table13[[#This Row],[Score 2]])</f>
        <v>73.214285714285722</v>
      </c>
      <c r="Z575" s="1">
        <v>3</v>
      </c>
      <c r="AA575" s="1">
        <v>4</v>
      </c>
      <c r="AB575" s="22">
        <f>Table13[[#This Row],[Rank 1]]+Table13[[#This Row],[Rank 2]]</f>
        <v>7</v>
      </c>
      <c r="AC575" s="1" t="str">
        <f>IF(AND(Table13[[#This Row],[Average score]]&gt;75,Table13[[#This Row],[Total rank]]&gt;6.5),"Yes","No")</f>
        <v>No</v>
      </c>
      <c r="AD575" s="1" t="str">
        <f>IF(AND(Table13[[#This Row],[Average score]]&gt;80,Table13[[#This Row],[Total rank]]&gt;7.5),"Yes","No")</f>
        <v>No</v>
      </c>
      <c r="AF575" s="8">
        <v>46052</v>
      </c>
      <c r="AG575" s="1">
        <v>2</v>
      </c>
      <c r="AH575" s="27">
        <v>231400</v>
      </c>
      <c r="AI575" s="27">
        <v>231400</v>
      </c>
      <c r="AJ575" s="30">
        <v>0</v>
      </c>
      <c r="AK575" s="30">
        <f>Table13[[#This Row],[Year 1]]</f>
        <v>231400</v>
      </c>
      <c r="AL575" s="30">
        <f>Table13[[#This Row],[Year 2]]</f>
        <v>231400</v>
      </c>
      <c r="AM575" s="30">
        <f>Table13[[#This Row],[Year 3]]</f>
        <v>0</v>
      </c>
      <c r="AN575" s="1">
        <v>3</v>
      </c>
    </row>
    <row r="576" spans="1:40" hidden="1" x14ac:dyDescent="0.25">
      <c r="A576" s="1" t="s">
        <v>48</v>
      </c>
      <c r="B576" s="2" t="s">
        <v>2527</v>
      </c>
      <c r="C576" s="1" t="s">
        <v>50</v>
      </c>
      <c r="D576" s="1" t="s">
        <v>3503</v>
      </c>
      <c r="E576" s="1" t="s">
        <v>3504</v>
      </c>
      <c r="F576" s="22" t="s">
        <v>3</v>
      </c>
      <c r="G576" s="1" t="s">
        <v>6085</v>
      </c>
      <c r="H576" s="1" t="s">
        <v>6</v>
      </c>
      <c r="I576" s="1" t="s">
        <v>20</v>
      </c>
      <c r="J576" s="1" t="s">
        <v>26</v>
      </c>
      <c r="K576" s="1" t="s">
        <v>9</v>
      </c>
      <c r="L576" s="1" t="s">
        <v>78</v>
      </c>
      <c r="M576" s="11" t="s">
        <v>188</v>
      </c>
      <c r="N576" s="1" t="s">
        <v>6037</v>
      </c>
      <c r="O576" s="1" t="s">
        <v>18</v>
      </c>
      <c r="P576" s="1" t="s">
        <v>126</v>
      </c>
      <c r="Q576" s="1" t="s">
        <v>5367</v>
      </c>
      <c r="R576" s="20" t="s">
        <v>4961</v>
      </c>
      <c r="S576" s="1" t="s">
        <v>6059</v>
      </c>
      <c r="T576" s="1" t="s">
        <v>6060</v>
      </c>
      <c r="U576" s="1" t="s">
        <v>6096</v>
      </c>
      <c r="V576" s="1" t="s">
        <v>6214</v>
      </c>
      <c r="W576" s="27">
        <v>75</v>
      </c>
      <c r="X576" s="29">
        <f>Table13[[#This Row],[Score 1]]</f>
        <v>75</v>
      </c>
      <c r="Y576" s="33">
        <f>AVERAGE(Table13[[#This Row],[Score 1]],Table13[[#This Row],[Score 2]])</f>
        <v>75</v>
      </c>
      <c r="Z576" s="1">
        <v>4</v>
      </c>
      <c r="AA576" s="2">
        <f>Table13[[#This Row],[Rank 1]]</f>
        <v>4</v>
      </c>
      <c r="AB576" s="22">
        <f>Table13[[#This Row],[Rank 1]]+Table13[[#This Row],[Rank 2]]</f>
        <v>8</v>
      </c>
      <c r="AC576" s="1" t="str">
        <f>IF(AND(Table13[[#This Row],[Average score]]&gt;75,Table13[[#This Row],[Total rank]]&gt;6.5),"Yes","No")</f>
        <v>No</v>
      </c>
      <c r="AD576" s="1" t="str">
        <f>IF(AND(Table13[[#This Row],[Average score]]&gt;80,Table13[[#This Row],[Total rank]]&gt;7.5),"Yes","No")</f>
        <v>No</v>
      </c>
      <c r="AF576" s="8">
        <v>46069</v>
      </c>
      <c r="AG576" s="1">
        <v>1</v>
      </c>
      <c r="AH576" s="27">
        <v>183000</v>
      </c>
      <c r="AI576" s="30">
        <v>0</v>
      </c>
      <c r="AJ576" s="30">
        <v>0</v>
      </c>
      <c r="AK576" s="30">
        <f>Table13[[#This Row],[Year 1]]</f>
        <v>183000</v>
      </c>
      <c r="AL576" s="30">
        <f>Table13[[#This Row],[Year 2]]</f>
        <v>0</v>
      </c>
      <c r="AM576" s="30">
        <f>Table13[[#This Row],[Year 3]]</f>
        <v>0</v>
      </c>
      <c r="AN576" s="1">
        <v>3</v>
      </c>
    </row>
    <row r="577" spans="1:40" hidden="1" x14ac:dyDescent="0.25">
      <c r="A577" s="1" t="s">
        <v>48</v>
      </c>
      <c r="B577" s="1" t="s">
        <v>2528</v>
      </c>
      <c r="C577" s="1" t="s">
        <v>50</v>
      </c>
      <c r="D577" s="1" t="s">
        <v>3505</v>
      </c>
      <c r="E577" s="1" t="s">
        <v>3506</v>
      </c>
      <c r="F577" s="22" t="s">
        <v>3</v>
      </c>
      <c r="G577" s="1" t="s">
        <v>6085</v>
      </c>
      <c r="H577" s="1" t="s">
        <v>1383</v>
      </c>
      <c r="I577" s="1" t="s">
        <v>21</v>
      </c>
      <c r="J577" s="1" t="s">
        <v>25</v>
      </c>
      <c r="K577" s="1" t="s">
        <v>8</v>
      </c>
      <c r="L577" s="1" t="s">
        <v>78</v>
      </c>
      <c r="M577" s="11" t="s">
        <v>188</v>
      </c>
      <c r="N577" s="1" t="s">
        <v>6037</v>
      </c>
      <c r="O577" s="1" t="s">
        <v>13</v>
      </c>
      <c r="P577" s="1" t="s">
        <v>4962</v>
      </c>
      <c r="Q577" s="1" t="s">
        <v>5950</v>
      </c>
      <c r="R577" s="1" t="s">
        <v>4963</v>
      </c>
      <c r="S577" s="1" t="s">
        <v>6064</v>
      </c>
      <c r="T577" s="1" t="s">
        <v>6065</v>
      </c>
      <c r="U577" s="1" t="s">
        <v>6102</v>
      </c>
      <c r="V577" s="1" t="s">
        <v>6197</v>
      </c>
      <c r="W577" s="27">
        <v>72.5</v>
      </c>
      <c r="X577" s="27">
        <v>62.5</v>
      </c>
      <c r="Y577" s="33">
        <f>AVERAGE(Table13[[#This Row],[Score 1]],Table13[[#This Row],[Score 2]])</f>
        <v>67.5</v>
      </c>
      <c r="Z577" s="1">
        <v>4</v>
      </c>
      <c r="AA577" s="1">
        <v>3</v>
      </c>
      <c r="AB577" s="22">
        <f>Table13[[#This Row],[Rank 1]]+Table13[[#This Row],[Rank 2]]</f>
        <v>7</v>
      </c>
      <c r="AC577" s="1" t="str">
        <f>IF(AND(Table13[[#This Row],[Average score]]&gt;75,Table13[[#This Row],[Total rank]]&gt;6.5),"Yes","No")</f>
        <v>No</v>
      </c>
      <c r="AD577" s="1" t="str">
        <f>IF(AND(Table13[[#This Row],[Average score]]&gt;80,Table13[[#This Row],[Total rank]]&gt;7.5),"Yes","No")</f>
        <v>No</v>
      </c>
      <c r="AF577" s="8">
        <v>46082</v>
      </c>
      <c r="AG577" s="1">
        <v>1</v>
      </c>
      <c r="AH577" s="27">
        <v>126713.85</v>
      </c>
      <c r="AI577" s="30">
        <v>0</v>
      </c>
      <c r="AJ577" s="30">
        <v>0</v>
      </c>
      <c r="AK577" s="30">
        <f>Table13[[#This Row],[Year 1]]</f>
        <v>126713.85</v>
      </c>
      <c r="AL577" s="30">
        <f>Table13[[#This Row],[Year 2]]</f>
        <v>0</v>
      </c>
      <c r="AM577" s="30">
        <f>Table13[[#This Row],[Year 3]]</f>
        <v>0</v>
      </c>
      <c r="AN577" s="1">
        <v>3</v>
      </c>
    </row>
    <row r="578" spans="1:40" hidden="1" x14ac:dyDescent="0.25">
      <c r="A578" s="1" t="s">
        <v>48</v>
      </c>
      <c r="B578" s="1" t="s">
        <v>2529</v>
      </c>
      <c r="C578" s="1" t="s">
        <v>50</v>
      </c>
      <c r="D578" s="1" t="s">
        <v>3507</v>
      </c>
      <c r="E578" s="1" t="s">
        <v>3508</v>
      </c>
      <c r="F578" s="22" t="s">
        <v>3</v>
      </c>
      <c r="G578" s="1" t="s">
        <v>6085</v>
      </c>
      <c r="H578" s="1" t="s">
        <v>6</v>
      </c>
      <c r="I578" s="1" t="s">
        <v>24</v>
      </c>
      <c r="J578" s="1" t="s">
        <v>25</v>
      </c>
      <c r="K578" s="1" t="s">
        <v>9</v>
      </c>
      <c r="L578" s="1" t="s">
        <v>78</v>
      </c>
      <c r="M578" s="11" t="s">
        <v>188</v>
      </c>
      <c r="N578" s="1" t="s">
        <v>6037</v>
      </c>
      <c r="O578" s="1" t="s">
        <v>13</v>
      </c>
      <c r="P578" s="1" t="s">
        <v>60</v>
      </c>
      <c r="Q578" s="1" t="s">
        <v>734</v>
      </c>
      <c r="R578" s="1" t="s">
        <v>4965</v>
      </c>
      <c r="S578" s="1" t="s">
        <v>6063</v>
      </c>
      <c r="T578" s="1" t="s">
        <v>6076</v>
      </c>
      <c r="U578" s="1" t="s">
        <v>6100</v>
      </c>
      <c r="V578" s="1" t="s">
        <v>6195</v>
      </c>
      <c r="W578" s="27">
        <v>53.571428571428569</v>
      </c>
      <c r="X578" s="27">
        <v>71.428571428571431</v>
      </c>
      <c r="Y578" s="33">
        <f>AVERAGE(Table13[[#This Row],[Score 1]],Table13[[#This Row],[Score 2]])</f>
        <v>62.5</v>
      </c>
      <c r="Z578" s="1">
        <v>2</v>
      </c>
      <c r="AA578" s="1">
        <v>3</v>
      </c>
      <c r="AB578" s="22">
        <f>Table13[[#This Row],[Rank 1]]+Table13[[#This Row],[Rank 2]]</f>
        <v>5</v>
      </c>
      <c r="AC578" s="1" t="str">
        <f>IF(AND(Table13[[#This Row],[Average score]]&gt;75,Table13[[#This Row],[Total rank]]&gt;6.5),"Yes","No")</f>
        <v>No</v>
      </c>
      <c r="AD578" s="1" t="str">
        <f>IF(AND(Table13[[#This Row],[Average score]]&gt;80,Table13[[#This Row],[Total rank]]&gt;7.5),"Yes","No")</f>
        <v>No</v>
      </c>
      <c r="AF578" s="8">
        <v>46023</v>
      </c>
      <c r="AG578" s="1">
        <v>2</v>
      </c>
      <c r="AH578" s="27">
        <v>373000</v>
      </c>
      <c r="AI578" s="27">
        <v>373000</v>
      </c>
      <c r="AJ578" s="30">
        <v>0</v>
      </c>
      <c r="AK578" s="30">
        <f>Table13[[#This Row],[Year 1]]</f>
        <v>373000</v>
      </c>
      <c r="AL578" s="30">
        <f>Table13[[#This Row],[Year 2]]</f>
        <v>373000</v>
      </c>
      <c r="AM578" s="30">
        <f>Table13[[#This Row],[Year 3]]</f>
        <v>0</v>
      </c>
      <c r="AN578" s="1">
        <v>3</v>
      </c>
    </row>
    <row r="579" spans="1:40" hidden="1" x14ac:dyDescent="0.25">
      <c r="A579" s="1" t="s">
        <v>48</v>
      </c>
      <c r="B579" s="1" t="s">
        <v>2530</v>
      </c>
      <c r="C579" s="1" t="s">
        <v>50</v>
      </c>
      <c r="D579" s="1" t="s">
        <v>3509</v>
      </c>
      <c r="E579" s="1" t="s">
        <v>3510</v>
      </c>
      <c r="F579" s="22" t="s">
        <v>3</v>
      </c>
      <c r="G579" s="1" t="s">
        <v>6085</v>
      </c>
      <c r="H579" s="1" t="s">
        <v>5</v>
      </c>
      <c r="I579" s="1" t="s">
        <v>24</v>
      </c>
      <c r="J579" s="1" t="s">
        <v>25</v>
      </c>
      <c r="K579" s="1" t="s">
        <v>9</v>
      </c>
      <c r="L579" s="1" t="s">
        <v>78</v>
      </c>
      <c r="M579" s="11" t="s">
        <v>188</v>
      </c>
      <c r="N579" s="1" t="s">
        <v>6037</v>
      </c>
      <c r="O579" s="1" t="s">
        <v>16</v>
      </c>
      <c r="P579" s="1" t="s">
        <v>247</v>
      </c>
      <c r="Q579" s="1" t="s">
        <v>5951</v>
      </c>
      <c r="R579" s="1" t="s">
        <v>4967</v>
      </c>
      <c r="S579" s="1" t="s">
        <v>6111</v>
      </c>
      <c r="T579" s="1" t="s">
        <v>6112</v>
      </c>
      <c r="U579" s="1" t="s">
        <v>6127</v>
      </c>
      <c r="V579" s="1" t="s">
        <v>6179</v>
      </c>
      <c r="W579" s="27">
        <v>85.714285714285708</v>
      </c>
      <c r="X579" s="27">
        <v>89.285714285714292</v>
      </c>
      <c r="Y579" s="33">
        <f>AVERAGE(Table13[[#This Row],[Score 1]],Table13[[#This Row],[Score 2]])</f>
        <v>87.5</v>
      </c>
      <c r="Z579" s="1">
        <v>4</v>
      </c>
      <c r="AA579" s="1">
        <v>5</v>
      </c>
      <c r="AB579" s="22">
        <f>Table13[[#This Row],[Rank 1]]+Table13[[#This Row],[Rank 2]]</f>
        <v>9</v>
      </c>
      <c r="AC579" s="1" t="str">
        <f>IF(AND(Table13[[#This Row],[Average score]]&gt;75,Table13[[#This Row],[Total rank]]&gt;6.5),"Yes","No")</f>
        <v>Yes</v>
      </c>
      <c r="AD579" s="1" t="str">
        <f>IF(AND(Table13[[#This Row],[Average score]]&gt;80,Table13[[#This Row],[Total rank]]&gt;7.5),"Yes","No")</f>
        <v>Yes</v>
      </c>
      <c r="AF579" s="8">
        <v>46027</v>
      </c>
      <c r="AG579" s="1">
        <v>3</v>
      </c>
      <c r="AH579" s="27">
        <v>195525</v>
      </c>
      <c r="AI579" s="27">
        <v>207094</v>
      </c>
      <c r="AJ579" s="27">
        <v>207014</v>
      </c>
      <c r="AK579" s="27">
        <f>Table13[[#This Row],[Year 1]]</f>
        <v>195525</v>
      </c>
      <c r="AL579" s="27">
        <f>Table13[[#This Row],[Year 2]]</f>
        <v>207094</v>
      </c>
      <c r="AM579" s="27">
        <f>Table13[[#This Row],[Year 3]]</f>
        <v>207014</v>
      </c>
      <c r="AN579" s="1">
        <v>3</v>
      </c>
    </row>
    <row r="580" spans="1:40" hidden="1" x14ac:dyDescent="0.25">
      <c r="A580" s="1" t="s">
        <v>48</v>
      </c>
      <c r="B580" s="10" t="s">
        <v>2531</v>
      </c>
      <c r="C580" s="1" t="s">
        <v>50</v>
      </c>
      <c r="D580" s="1" t="s">
        <v>3511</v>
      </c>
      <c r="E580" s="1" t="s">
        <v>3512</v>
      </c>
      <c r="F580" s="22" t="s">
        <v>3</v>
      </c>
      <c r="G580" s="1" t="s">
        <v>6085</v>
      </c>
      <c r="H580" s="1" t="s">
        <v>6</v>
      </c>
      <c r="I580" s="1" t="s">
        <v>24</v>
      </c>
      <c r="J580" s="1" t="s">
        <v>25</v>
      </c>
      <c r="K580" s="1" t="s">
        <v>9</v>
      </c>
      <c r="L580" s="1" t="s">
        <v>78</v>
      </c>
      <c r="M580" s="11" t="s">
        <v>188</v>
      </c>
      <c r="N580" s="1" t="s">
        <v>6037</v>
      </c>
      <c r="O580" s="1" t="s">
        <v>13</v>
      </c>
      <c r="P580" s="1" t="s">
        <v>126</v>
      </c>
      <c r="Q580" s="1" t="s">
        <v>5952</v>
      </c>
      <c r="R580" s="1" t="s">
        <v>4971</v>
      </c>
      <c r="S580" s="1" t="s">
        <v>6079</v>
      </c>
      <c r="T580" s="1" t="s">
        <v>6080</v>
      </c>
      <c r="U580" s="1" t="s">
        <v>6089</v>
      </c>
      <c r="V580" s="1" t="s">
        <v>6172</v>
      </c>
      <c r="W580" s="27">
        <v>82.142857142857139</v>
      </c>
      <c r="X580" s="27">
        <v>92.857142857142861</v>
      </c>
      <c r="Y580" s="33">
        <f>AVERAGE(Table13[[#This Row],[Score 1]],Table13[[#This Row],[Score 2]])</f>
        <v>87.5</v>
      </c>
      <c r="Z580" s="1">
        <v>3</v>
      </c>
      <c r="AA580" s="1">
        <v>4</v>
      </c>
      <c r="AB580" s="22">
        <f>Table13[[#This Row],[Rank 1]]+Table13[[#This Row],[Rank 2]]</f>
        <v>7</v>
      </c>
      <c r="AC580" s="1" t="str">
        <f>IF(AND(Table13[[#This Row],[Average score]]&gt;75,Table13[[#This Row],[Total rank]]&gt;6.5),"Yes","No")</f>
        <v>Yes</v>
      </c>
      <c r="AD580" s="1" t="str">
        <f>IF(AND(Table13[[#This Row],[Average score]]&gt;80,Table13[[#This Row],[Total rank]]&gt;7.5),"Yes","No")</f>
        <v>No</v>
      </c>
      <c r="AF580" s="8">
        <v>45705</v>
      </c>
      <c r="AG580" s="1">
        <v>1</v>
      </c>
      <c r="AH580" s="27">
        <v>83000</v>
      </c>
      <c r="AI580" s="30">
        <v>0</v>
      </c>
      <c r="AJ580" s="30">
        <v>0</v>
      </c>
      <c r="AK580" s="30">
        <f>Table13[[#This Row],[Year 1]]</f>
        <v>83000</v>
      </c>
      <c r="AL580" s="30">
        <f>Table13[[#This Row],[Year 2]]</f>
        <v>0</v>
      </c>
      <c r="AM580" s="30">
        <f>Table13[[#This Row],[Year 3]]</f>
        <v>0</v>
      </c>
      <c r="AN580" s="1">
        <v>3</v>
      </c>
    </row>
    <row r="581" spans="1:40" hidden="1" x14ac:dyDescent="0.25">
      <c r="A581" s="1" t="s">
        <v>48</v>
      </c>
      <c r="B581" s="1" t="s">
        <v>2532</v>
      </c>
      <c r="C581" s="1" t="s">
        <v>50</v>
      </c>
      <c r="D581" s="1" t="s">
        <v>3513</v>
      </c>
      <c r="E581" s="1" t="s">
        <v>3514</v>
      </c>
      <c r="F581" s="22" t="s">
        <v>3</v>
      </c>
      <c r="G581" s="1" t="s">
        <v>6085</v>
      </c>
      <c r="H581" s="1" t="s">
        <v>6</v>
      </c>
      <c r="I581" s="1" t="s">
        <v>24</v>
      </c>
      <c r="J581" s="1" t="s">
        <v>25</v>
      </c>
      <c r="K581" s="1" t="s">
        <v>9</v>
      </c>
      <c r="L581" s="1" t="s">
        <v>78</v>
      </c>
      <c r="M581" s="11" t="s">
        <v>188</v>
      </c>
      <c r="N581" s="1" t="s">
        <v>6037</v>
      </c>
      <c r="O581" s="1" t="s">
        <v>14</v>
      </c>
      <c r="P581" s="1" t="s">
        <v>126</v>
      </c>
      <c r="Q581" s="1" t="s">
        <v>5953</v>
      </c>
      <c r="R581" s="1" t="s">
        <v>4973</v>
      </c>
      <c r="S581" s="1" t="s">
        <v>6141</v>
      </c>
      <c r="T581" s="11" t="s">
        <v>6213</v>
      </c>
      <c r="U581" s="1" t="s">
        <v>6165</v>
      </c>
      <c r="V581" s="1" t="s">
        <v>6203</v>
      </c>
      <c r="W581" s="27">
        <v>92.857142857142861</v>
      </c>
      <c r="X581" s="27">
        <v>100</v>
      </c>
      <c r="Y581" s="33">
        <f>AVERAGE(Table13[[#This Row],[Score 1]],Table13[[#This Row],[Score 2]])</f>
        <v>96.428571428571431</v>
      </c>
      <c r="Z581" s="1">
        <v>4</v>
      </c>
      <c r="AA581" s="1">
        <v>5</v>
      </c>
      <c r="AB581" s="22">
        <f>Table13[[#This Row],[Rank 1]]+Table13[[#This Row],[Rank 2]]</f>
        <v>9</v>
      </c>
      <c r="AC581" s="1" t="str">
        <f>IF(AND(Table13[[#This Row],[Average score]]&gt;75,Table13[[#This Row],[Total rank]]&gt;6.5),"Yes","No")</f>
        <v>Yes</v>
      </c>
      <c r="AD581" s="1" t="str">
        <f>IF(AND(Table13[[#This Row],[Average score]]&gt;80,Table13[[#This Row],[Total rank]]&gt;7.5),"Yes","No")</f>
        <v>Yes</v>
      </c>
      <c r="AF581" s="8">
        <v>46069</v>
      </c>
      <c r="AG581" s="1">
        <v>2</v>
      </c>
      <c r="AH581" s="27">
        <v>145700</v>
      </c>
      <c r="AI581" s="27">
        <v>153174</v>
      </c>
      <c r="AJ581" s="30">
        <v>0</v>
      </c>
      <c r="AK581" s="30">
        <f>Table13[[#This Row],[Year 1]]</f>
        <v>145700</v>
      </c>
      <c r="AL581" s="30">
        <f>Table13[[#This Row],[Year 2]]</f>
        <v>153174</v>
      </c>
      <c r="AM581" s="30">
        <f>Table13[[#This Row],[Year 3]]</f>
        <v>0</v>
      </c>
      <c r="AN581" s="1">
        <v>3</v>
      </c>
    </row>
    <row r="582" spans="1:40" hidden="1" x14ac:dyDescent="0.25">
      <c r="A582" s="1" t="s">
        <v>48</v>
      </c>
      <c r="B582" s="1" t="s">
        <v>2533</v>
      </c>
      <c r="C582" s="1" t="s">
        <v>50</v>
      </c>
      <c r="D582" s="1" t="s">
        <v>3515</v>
      </c>
      <c r="E582" s="1" t="s">
        <v>3516</v>
      </c>
      <c r="F582" s="22" t="s">
        <v>3</v>
      </c>
      <c r="G582" s="1" t="s">
        <v>6085</v>
      </c>
      <c r="H582" s="1" t="s">
        <v>7</v>
      </c>
      <c r="I582" s="1" t="s">
        <v>20</v>
      </c>
      <c r="J582" s="1" t="s">
        <v>26</v>
      </c>
      <c r="K582" s="1" t="s">
        <v>9</v>
      </c>
      <c r="L582" s="1" t="s">
        <v>78</v>
      </c>
      <c r="M582" s="11" t="s">
        <v>188</v>
      </c>
      <c r="N582" s="1" t="s">
        <v>6037</v>
      </c>
      <c r="O582" s="1" t="s">
        <v>19</v>
      </c>
      <c r="P582" s="1" t="s">
        <v>162</v>
      </c>
      <c r="Q582" s="1" t="s">
        <v>5546</v>
      </c>
      <c r="R582" s="1" t="s">
        <v>4976</v>
      </c>
      <c r="S582" s="1" t="s">
        <v>6144</v>
      </c>
      <c r="T582" s="1" t="s">
        <v>6143</v>
      </c>
      <c r="U582" s="1" t="s">
        <v>6161</v>
      </c>
      <c r="V582" s="1" t="s">
        <v>6183</v>
      </c>
      <c r="W582" s="27">
        <v>66.666666666666657</v>
      </c>
      <c r="X582" s="27">
        <v>77.777777777777786</v>
      </c>
      <c r="Y582" s="33">
        <f>AVERAGE(Table13[[#This Row],[Score 1]],Table13[[#This Row],[Score 2]])</f>
        <v>72.222222222222229</v>
      </c>
      <c r="Z582" s="1">
        <v>3</v>
      </c>
      <c r="AA582" s="1">
        <v>4</v>
      </c>
      <c r="AB582" s="22">
        <f>Table13[[#This Row],[Rank 1]]+Table13[[#This Row],[Rank 2]]</f>
        <v>7</v>
      </c>
      <c r="AC582" s="1" t="str">
        <f>IF(AND(Table13[[#This Row],[Average score]]&gt;75,Table13[[#This Row],[Total rank]]&gt;6.5),"Yes","No")</f>
        <v>No</v>
      </c>
      <c r="AD582" s="1" t="str">
        <f>IF(AND(Table13[[#This Row],[Average score]]&gt;80,Table13[[#This Row],[Total rank]]&gt;7.5),"Yes","No")</f>
        <v>No</v>
      </c>
      <c r="AF582" s="8">
        <v>46027</v>
      </c>
      <c r="AG582" s="1">
        <v>2</v>
      </c>
      <c r="AH582" s="27">
        <v>432000</v>
      </c>
      <c r="AI582" s="27">
        <v>466000</v>
      </c>
      <c r="AJ582" s="30">
        <v>0</v>
      </c>
      <c r="AK582" s="30">
        <f>Table13[[#This Row],[Year 1]]</f>
        <v>432000</v>
      </c>
      <c r="AL582" s="30">
        <f>Table13[[#This Row],[Year 2]]</f>
        <v>466000</v>
      </c>
      <c r="AM582" s="30">
        <f>Table13[[#This Row],[Year 3]]</f>
        <v>0</v>
      </c>
      <c r="AN582" s="1">
        <v>3</v>
      </c>
    </row>
    <row r="583" spans="1:40" hidden="1" x14ac:dyDescent="0.25">
      <c r="A583" s="1" t="s">
        <v>48</v>
      </c>
      <c r="B583" s="1" t="s">
        <v>2535</v>
      </c>
      <c r="C583" s="1" t="s">
        <v>50</v>
      </c>
      <c r="D583" s="1" t="s">
        <v>3519</v>
      </c>
      <c r="E583" s="1" t="s">
        <v>3520</v>
      </c>
      <c r="F583" s="22" t="s">
        <v>3</v>
      </c>
      <c r="G583" s="1" t="s">
        <v>6085</v>
      </c>
      <c r="H583" s="1" t="s">
        <v>5</v>
      </c>
      <c r="I583" s="1" t="s">
        <v>20</v>
      </c>
      <c r="J583" s="1" t="s">
        <v>26</v>
      </c>
      <c r="K583" s="1" t="s">
        <v>9</v>
      </c>
      <c r="L583" s="1" t="s">
        <v>78</v>
      </c>
      <c r="M583" s="11" t="s">
        <v>188</v>
      </c>
      <c r="N583" s="1" t="s">
        <v>6037</v>
      </c>
      <c r="O583" s="1" t="s">
        <v>10</v>
      </c>
      <c r="P583" s="1" t="s">
        <v>126</v>
      </c>
      <c r="Q583" s="17" t="s">
        <v>5955</v>
      </c>
      <c r="R583" s="1" t="s">
        <v>4980</v>
      </c>
      <c r="S583" s="1" t="s">
        <v>6043</v>
      </c>
      <c r="T583" s="1" t="s">
        <v>6044</v>
      </c>
      <c r="U583" s="1" t="s">
        <v>6091</v>
      </c>
      <c r="V583" s="1" t="s">
        <v>6175</v>
      </c>
      <c r="W583" s="27">
        <v>53.571428571428569</v>
      </c>
      <c r="X583" s="27">
        <v>57.142857142857139</v>
      </c>
      <c r="Y583" s="33">
        <f>AVERAGE(Table13[[#This Row],[Score 1]],Table13[[#This Row],[Score 2]])</f>
        <v>55.357142857142854</v>
      </c>
      <c r="Z583" s="1">
        <v>2</v>
      </c>
      <c r="AA583" s="1">
        <v>3</v>
      </c>
      <c r="AB583" s="22">
        <f>Table13[[#This Row],[Rank 1]]+Table13[[#This Row],[Rank 2]]</f>
        <v>5</v>
      </c>
      <c r="AC583" s="1" t="str">
        <f>IF(AND(Table13[[#This Row],[Average score]]&gt;75,Table13[[#This Row],[Total rank]]&gt;6.5),"Yes","No")</f>
        <v>No</v>
      </c>
      <c r="AD583" s="1" t="str">
        <f>IF(AND(Table13[[#This Row],[Average score]]&gt;80,Table13[[#This Row],[Total rank]]&gt;7.5),"Yes","No")</f>
        <v>No</v>
      </c>
      <c r="AF583" s="8">
        <v>46062</v>
      </c>
      <c r="AG583" s="1">
        <v>3</v>
      </c>
      <c r="AH583" s="27">
        <v>205000</v>
      </c>
      <c r="AI583" s="27">
        <v>205000</v>
      </c>
      <c r="AJ583" s="27">
        <v>205000</v>
      </c>
      <c r="AK583" s="27">
        <f>Table13[[#This Row],[Year 1]]</f>
        <v>205000</v>
      </c>
      <c r="AL583" s="27">
        <f>Table13[[#This Row],[Year 2]]</f>
        <v>205000</v>
      </c>
      <c r="AM583" s="27">
        <f>Table13[[#This Row],[Year 3]]</f>
        <v>205000</v>
      </c>
      <c r="AN583" s="1">
        <v>2</v>
      </c>
    </row>
    <row r="584" spans="1:40" hidden="1" x14ac:dyDescent="0.25">
      <c r="A584" s="1" t="s">
        <v>48</v>
      </c>
      <c r="B584" s="10" t="s">
        <v>2536</v>
      </c>
      <c r="C584" s="1" t="s">
        <v>50</v>
      </c>
      <c r="D584" s="1" t="s">
        <v>3521</v>
      </c>
      <c r="E584" s="1" t="s">
        <v>3522</v>
      </c>
      <c r="F584" s="22" t="s">
        <v>3</v>
      </c>
      <c r="G584" s="1" t="s">
        <v>6085</v>
      </c>
      <c r="H584" s="1" t="s">
        <v>6</v>
      </c>
      <c r="I584" s="1" t="s">
        <v>20</v>
      </c>
      <c r="J584" s="1" t="s">
        <v>25</v>
      </c>
      <c r="K584" s="1" t="s">
        <v>9</v>
      </c>
      <c r="L584" s="1" t="s">
        <v>78</v>
      </c>
      <c r="M584" s="11" t="s">
        <v>188</v>
      </c>
      <c r="N584" s="1" t="s">
        <v>6037</v>
      </c>
      <c r="O584" s="1" t="s">
        <v>13</v>
      </c>
      <c r="P584" s="1" t="s">
        <v>247</v>
      </c>
      <c r="Q584" s="1" t="s">
        <v>5956</v>
      </c>
      <c r="R584" s="1" t="s">
        <v>4982</v>
      </c>
      <c r="S584" s="1" t="s">
        <v>6079</v>
      </c>
      <c r="T584" s="1" t="s">
        <v>6080</v>
      </c>
      <c r="U584" s="1" t="s">
        <v>6089</v>
      </c>
      <c r="V584" s="1" t="s">
        <v>6172</v>
      </c>
      <c r="W584" s="27">
        <v>96.428571428571431</v>
      </c>
      <c r="X584" s="27">
        <v>92.857142857142861</v>
      </c>
      <c r="Y584" s="33">
        <f>AVERAGE(Table13[[#This Row],[Score 1]],Table13[[#This Row],[Score 2]])</f>
        <v>94.642857142857139</v>
      </c>
      <c r="Z584" s="1">
        <v>4</v>
      </c>
      <c r="AA584" s="1">
        <v>4</v>
      </c>
      <c r="AB584" s="22">
        <f>Table13[[#This Row],[Rank 1]]+Table13[[#This Row],[Rank 2]]</f>
        <v>8</v>
      </c>
      <c r="AC584" s="1" t="str">
        <f>IF(AND(Table13[[#This Row],[Average score]]&gt;75,Table13[[#This Row],[Total rank]]&gt;6.5),"Yes","No")</f>
        <v>Yes</v>
      </c>
      <c r="AD584" s="1" t="str">
        <f>IF(AND(Table13[[#This Row],[Average score]]&gt;80,Table13[[#This Row],[Total rank]]&gt;7.5),"Yes","No")</f>
        <v>Yes</v>
      </c>
      <c r="AF584" s="8">
        <v>46034</v>
      </c>
      <c r="AG584" s="1">
        <v>2</v>
      </c>
      <c r="AH584" s="27">
        <v>231000</v>
      </c>
      <c r="AI584" s="27">
        <v>148000</v>
      </c>
      <c r="AJ584" s="30">
        <v>0</v>
      </c>
      <c r="AK584" s="30">
        <f>Table13[[#This Row],[Year 1]]</f>
        <v>231000</v>
      </c>
      <c r="AL584" s="30">
        <f>Table13[[#This Row],[Year 2]]</f>
        <v>148000</v>
      </c>
      <c r="AM584" s="30">
        <f>Table13[[#This Row],[Year 3]]</f>
        <v>0</v>
      </c>
      <c r="AN584" s="1">
        <v>3</v>
      </c>
    </row>
    <row r="585" spans="1:40" hidden="1" x14ac:dyDescent="0.25">
      <c r="A585" s="1" t="s">
        <v>48</v>
      </c>
      <c r="B585" s="1" t="s">
        <v>2537</v>
      </c>
      <c r="C585" s="1" t="s">
        <v>50</v>
      </c>
      <c r="D585" s="1" t="s">
        <v>3523</v>
      </c>
      <c r="E585" s="1" t="s">
        <v>3524</v>
      </c>
      <c r="F585" s="22" t="s">
        <v>3</v>
      </c>
      <c r="G585" s="1" t="s">
        <v>6085</v>
      </c>
      <c r="H585" s="1" t="s">
        <v>6</v>
      </c>
      <c r="I585" s="1" t="s">
        <v>20</v>
      </c>
      <c r="J585" s="1" t="s">
        <v>25</v>
      </c>
      <c r="K585" s="1" t="s">
        <v>9</v>
      </c>
      <c r="L585" s="1" t="s">
        <v>78</v>
      </c>
      <c r="M585" s="11" t="s">
        <v>188</v>
      </c>
      <c r="N585" s="1" t="s">
        <v>6037</v>
      </c>
      <c r="O585" s="1" t="s">
        <v>15</v>
      </c>
      <c r="P585" s="1" t="s">
        <v>4984</v>
      </c>
      <c r="Q585" s="1" t="s">
        <v>5957</v>
      </c>
      <c r="R585" s="1" t="s">
        <v>4985</v>
      </c>
      <c r="S585" s="1" t="s">
        <v>6057</v>
      </c>
      <c r="T585" s="1" t="s">
        <v>6058</v>
      </c>
      <c r="U585" s="1" t="s">
        <v>6095</v>
      </c>
      <c r="V585" s="1" t="s">
        <v>6186</v>
      </c>
      <c r="W585" s="27">
        <v>53.571428571428569</v>
      </c>
      <c r="X585" s="27">
        <v>42.857142857142854</v>
      </c>
      <c r="Y585" s="33">
        <f>AVERAGE(Table13[[#This Row],[Score 1]],Table13[[#This Row],[Score 2]])</f>
        <v>48.214285714285708</v>
      </c>
      <c r="Z585" s="1">
        <v>2</v>
      </c>
      <c r="AA585" s="1">
        <v>1</v>
      </c>
      <c r="AB585" s="22">
        <f>Table13[[#This Row],[Rank 1]]+Table13[[#This Row],[Rank 2]]</f>
        <v>3</v>
      </c>
      <c r="AC585" s="1" t="str">
        <f>IF(AND(Table13[[#This Row],[Average score]]&gt;75,Table13[[#This Row],[Total rank]]&gt;6.5),"Yes","No")</f>
        <v>No</v>
      </c>
      <c r="AD585" s="1" t="str">
        <f>IF(AND(Table13[[#This Row],[Average score]]&gt;80,Table13[[#This Row],[Total rank]]&gt;7.5),"Yes","No")</f>
        <v>No</v>
      </c>
      <c r="AF585" s="8">
        <v>45880</v>
      </c>
      <c r="AG585" s="1">
        <v>1</v>
      </c>
      <c r="AH585" s="27">
        <v>122490</v>
      </c>
      <c r="AI585" s="30">
        <v>0</v>
      </c>
      <c r="AJ585" s="30">
        <v>0</v>
      </c>
      <c r="AK585" s="30">
        <f>Table13[[#This Row],[Year 1]]</f>
        <v>122490</v>
      </c>
      <c r="AL585" s="30">
        <f>Table13[[#This Row],[Year 2]]</f>
        <v>0</v>
      </c>
      <c r="AM585" s="30">
        <f>Table13[[#This Row],[Year 3]]</f>
        <v>0</v>
      </c>
      <c r="AN585" s="1">
        <v>3</v>
      </c>
    </row>
    <row r="586" spans="1:40" hidden="1" x14ac:dyDescent="0.25">
      <c r="A586" s="1" t="s">
        <v>48</v>
      </c>
      <c r="B586" s="2" t="s">
        <v>2538</v>
      </c>
      <c r="C586" s="1" t="s">
        <v>50</v>
      </c>
      <c r="D586" s="1" t="s">
        <v>3525</v>
      </c>
      <c r="E586" s="1" t="s">
        <v>3526</v>
      </c>
      <c r="F586" s="22" t="s">
        <v>3</v>
      </c>
      <c r="G586" s="1" t="s">
        <v>6085</v>
      </c>
      <c r="H586" s="1" t="s">
        <v>5</v>
      </c>
      <c r="I586" s="1" t="s">
        <v>20</v>
      </c>
      <c r="J586" s="1" t="s">
        <v>25</v>
      </c>
      <c r="K586" s="1" t="s">
        <v>9</v>
      </c>
      <c r="L586" s="1" t="s">
        <v>78</v>
      </c>
      <c r="M586" s="11" t="s">
        <v>188</v>
      </c>
      <c r="N586" s="1" t="s">
        <v>6037</v>
      </c>
      <c r="O586" s="1" t="s">
        <v>13</v>
      </c>
      <c r="P586" s="1" t="s">
        <v>4553</v>
      </c>
      <c r="Q586" s="1" t="s">
        <v>5958</v>
      </c>
      <c r="R586" s="1" t="s">
        <v>4987</v>
      </c>
      <c r="S586" s="1" t="s">
        <v>6066</v>
      </c>
      <c r="T586" s="1" t="s">
        <v>6067</v>
      </c>
      <c r="U586" s="1" t="s">
        <v>6103</v>
      </c>
      <c r="V586" s="1" t="s">
        <v>6198</v>
      </c>
      <c r="W586" s="27">
        <v>89.285714285714292</v>
      </c>
      <c r="X586" s="29">
        <f>Table13[[#This Row],[Score 1]]</f>
        <v>89.285714285714292</v>
      </c>
      <c r="Y586" s="33">
        <f>AVERAGE(Table13[[#This Row],[Score 1]],Table13[[#This Row],[Score 2]])</f>
        <v>89.285714285714292</v>
      </c>
      <c r="Z586" s="1">
        <v>4</v>
      </c>
      <c r="AA586" s="2">
        <f>Table13[[#This Row],[Rank 1]]</f>
        <v>4</v>
      </c>
      <c r="AB586" s="22">
        <f>Table13[[#This Row],[Rank 1]]+Table13[[#This Row],[Rank 2]]</f>
        <v>8</v>
      </c>
      <c r="AC586" s="1" t="str">
        <f>IF(AND(Table13[[#This Row],[Average score]]&gt;75,Table13[[#This Row],[Total rank]]&gt;6.5),"Yes","No")</f>
        <v>Yes</v>
      </c>
      <c r="AD586" s="1" t="str">
        <f>IF(AND(Table13[[#This Row],[Average score]]&gt;80,Table13[[#This Row],[Total rank]]&gt;7.5),"Yes","No")</f>
        <v>Yes</v>
      </c>
      <c r="AF586" s="8">
        <v>46023</v>
      </c>
      <c r="AG586" s="1">
        <v>2</v>
      </c>
      <c r="AH586" s="29">
        <v>225000</v>
      </c>
      <c r="AI586" s="29">
        <v>105000</v>
      </c>
      <c r="AJ586" s="31">
        <v>0</v>
      </c>
      <c r="AK586" s="31">
        <f>Table13[[#This Row],[Year 1]]</f>
        <v>225000</v>
      </c>
      <c r="AL586" s="31">
        <f>Table13[[#This Row],[Year 2]]</f>
        <v>105000</v>
      </c>
      <c r="AM586" s="31">
        <f>Table13[[#This Row],[Year 3]]</f>
        <v>0</v>
      </c>
      <c r="AN586" s="1">
        <v>3</v>
      </c>
    </row>
    <row r="587" spans="1:40" hidden="1" x14ac:dyDescent="0.25">
      <c r="A587" s="1" t="s">
        <v>48</v>
      </c>
      <c r="B587" s="1" t="s">
        <v>2540</v>
      </c>
      <c r="C587" s="1" t="s">
        <v>50</v>
      </c>
      <c r="D587" s="1" t="s">
        <v>3529</v>
      </c>
      <c r="E587" s="1" t="s">
        <v>3530</v>
      </c>
      <c r="F587" s="22" t="s">
        <v>3</v>
      </c>
      <c r="G587" s="1" t="s">
        <v>6085</v>
      </c>
      <c r="H587" s="1" t="s">
        <v>5</v>
      </c>
      <c r="I587" s="1" t="s">
        <v>20</v>
      </c>
      <c r="J587" s="1" t="s">
        <v>25</v>
      </c>
      <c r="K587" s="1" t="s">
        <v>9</v>
      </c>
      <c r="L587" s="1" t="s">
        <v>78</v>
      </c>
      <c r="M587" s="11" t="s">
        <v>188</v>
      </c>
      <c r="N587" s="1" t="s">
        <v>6037</v>
      </c>
      <c r="O587" s="1" t="s">
        <v>19</v>
      </c>
      <c r="P587" s="1" t="s">
        <v>66</v>
      </c>
      <c r="Q587" s="1" t="s">
        <v>5606</v>
      </c>
      <c r="R587" s="1" t="s">
        <v>4992</v>
      </c>
      <c r="S587" s="1" t="s">
        <v>6137</v>
      </c>
      <c r="T587" s="1" t="s">
        <v>6138</v>
      </c>
      <c r="U587" s="1" t="s">
        <v>6160</v>
      </c>
      <c r="V587" s="1" t="s">
        <v>6203</v>
      </c>
      <c r="W587" s="27">
        <v>96.428571428571431</v>
      </c>
      <c r="X587" s="27">
        <v>82.142857142857139</v>
      </c>
      <c r="Y587" s="33">
        <f>AVERAGE(Table13[[#This Row],[Score 1]],Table13[[#This Row],[Score 2]])</f>
        <v>89.285714285714278</v>
      </c>
      <c r="Z587" s="1">
        <v>5</v>
      </c>
      <c r="AA587" s="1">
        <v>4</v>
      </c>
      <c r="AB587" s="22">
        <f>Table13[[#This Row],[Rank 1]]+Table13[[#This Row],[Rank 2]]</f>
        <v>9</v>
      </c>
      <c r="AC587" s="1" t="str">
        <f>IF(AND(Table13[[#This Row],[Average score]]&gt;75,Table13[[#This Row],[Total rank]]&gt;6.5),"Yes","No")</f>
        <v>Yes</v>
      </c>
      <c r="AD587" s="1" t="str">
        <f>IF(AND(Table13[[#This Row],[Average score]]&gt;80,Table13[[#This Row],[Total rank]]&gt;7.5),"Yes","No")</f>
        <v>Yes</v>
      </c>
      <c r="AF587" s="8">
        <v>46023</v>
      </c>
      <c r="AG587" s="1">
        <v>3</v>
      </c>
      <c r="AH587" s="27">
        <v>240000</v>
      </c>
      <c r="AI587" s="27">
        <v>550000</v>
      </c>
      <c r="AJ587" s="27">
        <v>330000</v>
      </c>
      <c r="AK587" s="27">
        <f>Table13[[#This Row],[Year 1]]</f>
        <v>240000</v>
      </c>
      <c r="AL587" s="30">
        <v>350000</v>
      </c>
      <c r="AM587" s="27">
        <f>Table13[[#This Row],[Year 3]]</f>
        <v>330000</v>
      </c>
      <c r="AN587" s="1">
        <v>2</v>
      </c>
    </row>
    <row r="588" spans="1:40" hidden="1" x14ac:dyDescent="0.25">
      <c r="A588" s="1" t="s">
        <v>48</v>
      </c>
      <c r="B588" s="1" t="s">
        <v>2541</v>
      </c>
      <c r="C588" s="1" t="s">
        <v>50</v>
      </c>
      <c r="D588" s="1" t="s">
        <v>3531</v>
      </c>
      <c r="E588" s="1" t="s">
        <v>3532</v>
      </c>
      <c r="F588" s="22" t="s">
        <v>3</v>
      </c>
      <c r="G588" s="1" t="s">
        <v>6085</v>
      </c>
      <c r="H588" s="1" t="s">
        <v>5</v>
      </c>
      <c r="I588" s="1" t="s">
        <v>20</v>
      </c>
      <c r="J588" s="1" t="s">
        <v>25</v>
      </c>
      <c r="K588" s="1" t="s">
        <v>9</v>
      </c>
      <c r="L588" s="1" t="s">
        <v>78</v>
      </c>
      <c r="M588" s="11" t="s">
        <v>188</v>
      </c>
      <c r="N588" s="1" t="s">
        <v>6037</v>
      </c>
      <c r="O588" s="1" t="s">
        <v>16</v>
      </c>
      <c r="P588" s="1" t="s">
        <v>267</v>
      </c>
      <c r="Q588" s="1" t="s">
        <v>5</v>
      </c>
      <c r="R588" s="1" t="s">
        <v>4995</v>
      </c>
      <c r="S588" s="1" t="s">
        <v>6123</v>
      </c>
      <c r="T588" s="1" t="s">
        <v>6124</v>
      </c>
      <c r="U588" s="1" t="s">
        <v>6132</v>
      </c>
      <c r="V588" s="1" t="s">
        <v>6202</v>
      </c>
      <c r="W588" s="27">
        <v>71.428571428571431</v>
      </c>
      <c r="X588" s="27">
        <v>78.571428571428569</v>
      </c>
      <c r="Y588" s="33">
        <f>AVERAGE(Table13[[#This Row],[Score 1]],Table13[[#This Row],[Score 2]])</f>
        <v>75</v>
      </c>
      <c r="Z588" s="1">
        <v>4</v>
      </c>
      <c r="AA588" s="1">
        <v>2</v>
      </c>
      <c r="AB588" s="22">
        <f>Table13[[#This Row],[Rank 1]]+Table13[[#This Row],[Rank 2]]</f>
        <v>6</v>
      </c>
      <c r="AC588" s="1" t="str">
        <f>IF(AND(Table13[[#This Row],[Average score]]&gt;75,Table13[[#This Row],[Total rank]]&gt;6.5),"Yes","No")</f>
        <v>No</v>
      </c>
      <c r="AD588" s="1" t="str">
        <f>IF(AND(Table13[[#This Row],[Average score]]&gt;80,Table13[[#This Row],[Total rank]]&gt;7.5),"Yes","No")</f>
        <v>No</v>
      </c>
      <c r="AF588" s="8">
        <v>46027</v>
      </c>
      <c r="AG588" s="1">
        <v>3</v>
      </c>
      <c r="AH588" s="27">
        <v>175112</v>
      </c>
      <c r="AI588" s="27">
        <v>137623.20000000001</v>
      </c>
      <c r="AJ588" s="27">
        <v>106385.52</v>
      </c>
      <c r="AK588" s="27">
        <f>Table13[[#This Row],[Year 1]]</f>
        <v>175112</v>
      </c>
      <c r="AL588" s="27">
        <f>Table13[[#This Row],[Year 2]]</f>
        <v>137623.20000000001</v>
      </c>
      <c r="AM588" s="27">
        <f>Table13[[#This Row],[Year 3]]</f>
        <v>106385.52</v>
      </c>
      <c r="AN588" s="1">
        <v>3</v>
      </c>
    </row>
    <row r="589" spans="1:40" hidden="1" x14ac:dyDescent="0.25">
      <c r="A589" s="1" t="s">
        <v>48</v>
      </c>
      <c r="B589" s="1" t="s">
        <v>2542</v>
      </c>
      <c r="C589" s="1" t="s">
        <v>50</v>
      </c>
      <c r="D589" s="1" t="s">
        <v>3533</v>
      </c>
      <c r="E589" s="1" t="s">
        <v>3534</v>
      </c>
      <c r="F589" s="22" t="s">
        <v>3</v>
      </c>
      <c r="G589" s="1" t="s">
        <v>6085</v>
      </c>
      <c r="H589" s="1" t="s">
        <v>5</v>
      </c>
      <c r="I589" s="1" t="s">
        <v>23</v>
      </c>
      <c r="J589" s="1" t="s">
        <v>26</v>
      </c>
      <c r="K589" s="1" t="s">
        <v>9</v>
      </c>
      <c r="L589" s="1" t="s">
        <v>78</v>
      </c>
      <c r="M589" s="11" t="s">
        <v>2089</v>
      </c>
      <c r="N589" s="1" t="s">
        <v>6037</v>
      </c>
      <c r="O589" s="1" t="s">
        <v>16</v>
      </c>
      <c r="P589" s="1" t="s">
        <v>1456</v>
      </c>
      <c r="Q589" s="1" t="s">
        <v>5959</v>
      </c>
      <c r="R589" s="1" t="s">
        <v>4999</v>
      </c>
      <c r="S589" s="1" t="s">
        <v>6111</v>
      </c>
      <c r="T589" s="1" t="s">
        <v>6112</v>
      </c>
      <c r="U589" s="1" t="s">
        <v>6127</v>
      </c>
      <c r="V589" s="1" t="s">
        <v>6179</v>
      </c>
      <c r="W589" s="27">
        <v>82.142857142857139</v>
      </c>
      <c r="X589" s="27">
        <v>96.428571428571431</v>
      </c>
      <c r="Y589" s="33">
        <f>AVERAGE(Table13[[#This Row],[Score 1]],Table13[[#This Row],[Score 2]])</f>
        <v>89.285714285714278</v>
      </c>
      <c r="Z589" s="1">
        <v>4</v>
      </c>
      <c r="AA589" s="1">
        <v>5</v>
      </c>
      <c r="AB589" s="22">
        <f>Table13[[#This Row],[Rank 1]]+Table13[[#This Row],[Rank 2]]</f>
        <v>9</v>
      </c>
      <c r="AC589" s="1" t="str">
        <f>IF(AND(Table13[[#This Row],[Average score]]&gt;75,Table13[[#This Row],[Total rank]]&gt;6.5),"Yes","No")</f>
        <v>Yes</v>
      </c>
      <c r="AD589" s="1" t="str">
        <f>IF(AND(Table13[[#This Row],[Average score]]&gt;80,Table13[[#This Row],[Total rank]]&gt;7.5),"Yes","No")</f>
        <v>Yes</v>
      </c>
      <c r="AF589" s="8">
        <v>46023</v>
      </c>
      <c r="AG589" s="1">
        <v>3</v>
      </c>
      <c r="AH589" s="27">
        <v>100000</v>
      </c>
      <c r="AI589" s="27">
        <v>100000</v>
      </c>
      <c r="AJ589" s="27">
        <v>100000</v>
      </c>
      <c r="AK589" s="27">
        <f>Table13[[#This Row],[Year 1]]</f>
        <v>100000</v>
      </c>
      <c r="AL589" s="27">
        <f>Table13[[#This Row],[Year 2]]</f>
        <v>100000</v>
      </c>
      <c r="AM589" s="27">
        <f>Table13[[#This Row],[Year 3]]</f>
        <v>100000</v>
      </c>
      <c r="AN589" s="1">
        <v>3</v>
      </c>
    </row>
    <row r="590" spans="1:40" hidden="1" x14ac:dyDescent="0.25">
      <c r="A590" s="1" t="s">
        <v>48</v>
      </c>
      <c r="B590" s="1" t="s">
        <v>2543</v>
      </c>
      <c r="C590" s="1" t="s">
        <v>50</v>
      </c>
      <c r="D590" s="1" t="s">
        <v>3535</v>
      </c>
      <c r="E590" s="1" t="s">
        <v>3536</v>
      </c>
      <c r="F590" s="22" t="s">
        <v>3</v>
      </c>
      <c r="G590" s="1" t="s">
        <v>6085</v>
      </c>
      <c r="H590" s="1" t="s">
        <v>6</v>
      </c>
      <c r="I590" s="1" t="s">
        <v>24</v>
      </c>
      <c r="J590" s="1" t="s">
        <v>25</v>
      </c>
      <c r="K590" s="1" t="s">
        <v>9</v>
      </c>
      <c r="L590" s="1" t="s">
        <v>78</v>
      </c>
      <c r="M590" s="11" t="s">
        <v>188</v>
      </c>
      <c r="N590" s="1" t="s">
        <v>6037</v>
      </c>
      <c r="O590" s="1" t="s">
        <v>18</v>
      </c>
      <c r="P590" s="1" t="s">
        <v>60</v>
      </c>
      <c r="Q590" s="1" t="s">
        <v>5960</v>
      </c>
      <c r="R590" s="18" t="s">
        <v>5000</v>
      </c>
      <c r="S590" s="1" t="s">
        <v>6061</v>
      </c>
      <c r="T590" s="1" t="s">
        <v>6062</v>
      </c>
      <c r="U590" s="1" t="s">
        <v>6101</v>
      </c>
      <c r="V590" s="1" t="s">
        <v>6196</v>
      </c>
      <c r="W590" s="27">
        <v>97.222222222222214</v>
      </c>
      <c r="X590" s="27">
        <v>77.777777777777786</v>
      </c>
      <c r="Y590" s="33">
        <f>AVERAGE(Table13[[#This Row],[Score 1]],Table13[[#This Row],[Score 2]])</f>
        <v>87.5</v>
      </c>
      <c r="Z590" s="1">
        <v>5</v>
      </c>
      <c r="AA590" s="1">
        <v>4</v>
      </c>
      <c r="AB590" s="22">
        <f>Table13[[#This Row],[Rank 1]]+Table13[[#This Row],[Rank 2]]</f>
        <v>9</v>
      </c>
      <c r="AC590" s="1" t="str">
        <f>IF(AND(Table13[[#This Row],[Average score]]&gt;75,Table13[[#This Row],[Total rank]]&gt;6.5),"Yes","No")</f>
        <v>Yes</v>
      </c>
      <c r="AD590" s="1" t="str">
        <f>IF(AND(Table13[[#This Row],[Average score]]&gt;80,Table13[[#This Row],[Total rank]]&gt;7.5),"Yes","No")</f>
        <v>Yes</v>
      </c>
      <c r="AE590" s="1" t="s">
        <v>6223</v>
      </c>
      <c r="AF590" s="8">
        <v>46062</v>
      </c>
      <c r="AG590" s="1">
        <v>1</v>
      </c>
      <c r="AH590" s="27">
        <v>197518</v>
      </c>
      <c r="AI590" s="30">
        <v>0</v>
      </c>
      <c r="AJ590" s="30">
        <v>0</v>
      </c>
      <c r="AK590" s="30">
        <f>Table13[[#This Row],[Year 1]]</f>
        <v>197518</v>
      </c>
      <c r="AL590" s="30">
        <f>Table13[[#This Row],[Year 2]]</f>
        <v>0</v>
      </c>
      <c r="AM590" s="30">
        <f>Table13[[#This Row],[Year 3]]</f>
        <v>0</v>
      </c>
      <c r="AN590" s="1">
        <v>3</v>
      </c>
    </row>
    <row r="591" spans="1:40" hidden="1" x14ac:dyDescent="0.25">
      <c r="A591" s="1" t="s">
        <v>48</v>
      </c>
      <c r="B591" s="1" t="s">
        <v>2546</v>
      </c>
      <c r="C591" s="1" t="s">
        <v>50</v>
      </c>
      <c r="D591" s="1" t="s">
        <v>3541</v>
      </c>
      <c r="E591" s="1" t="s">
        <v>3542</v>
      </c>
      <c r="F591" s="22" t="s">
        <v>3</v>
      </c>
      <c r="G591" s="1" t="s">
        <v>6085</v>
      </c>
      <c r="H591" s="1" t="s">
        <v>5</v>
      </c>
      <c r="I591" s="1" t="s">
        <v>20</v>
      </c>
      <c r="J591" s="1" t="s">
        <v>26</v>
      </c>
      <c r="K591" s="1" t="s">
        <v>9</v>
      </c>
      <c r="L591" s="1" t="s">
        <v>78</v>
      </c>
      <c r="M591" s="11" t="s">
        <v>188</v>
      </c>
      <c r="N591" s="1" t="s">
        <v>6037</v>
      </c>
      <c r="O591" s="1" t="s">
        <v>16</v>
      </c>
      <c r="P591" s="1" t="s">
        <v>924</v>
      </c>
      <c r="Q591" s="1" t="s">
        <v>5963</v>
      </c>
      <c r="R591" s="1" t="s">
        <v>5008</v>
      </c>
      <c r="S591" s="1" t="s">
        <v>6111</v>
      </c>
      <c r="T591" s="1" t="s">
        <v>6112</v>
      </c>
      <c r="U591" s="1" t="s">
        <v>6127</v>
      </c>
      <c r="V591" s="1" t="s">
        <v>6179</v>
      </c>
      <c r="W591" s="27">
        <v>71.428571428571431</v>
      </c>
      <c r="X591" s="27">
        <v>75</v>
      </c>
      <c r="Y591" s="33">
        <f>AVERAGE(Table13[[#This Row],[Score 1]],Table13[[#This Row],[Score 2]])</f>
        <v>73.214285714285722</v>
      </c>
      <c r="Z591" s="1">
        <v>3</v>
      </c>
      <c r="AA591" s="1">
        <v>3</v>
      </c>
      <c r="AB591" s="22">
        <f>Table13[[#This Row],[Rank 1]]+Table13[[#This Row],[Rank 2]]</f>
        <v>6</v>
      </c>
      <c r="AC591" s="1" t="str">
        <f>IF(AND(Table13[[#This Row],[Average score]]&gt;75,Table13[[#This Row],[Total rank]]&gt;6.5),"Yes","No")</f>
        <v>No</v>
      </c>
      <c r="AD591" s="1" t="str">
        <f>IF(AND(Table13[[#This Row],[Average score]]&gt;80,Table13[[#This Row],[Total rank]]&gt;7.5),"Yes","No")</f>
        <v>No</v>
      </c>
      <c r="AF591" s="8">
        <v>46023</v>
      </c>
      <c r="AG591" s="1">
        <v>1</v>
      </c>
      <c r="AH591" s="27">
        <v>82090</v>
      </c>
      <c r="AI591" s="30">
        <v>0</v>
      </c>
      <c r="AJ591" s="30">
        <v>0</v>
      </c>
      <c r="AK591" s="30">
        <f>Table13[[#This Row],[Year 1]]</f>
        <v>82090</v>
      </c>
      <c r="AL591" s="30">
        <f>Table13[[#This Row],[Year 2]]</f>
        <v>0</v>
      </c>
      <c r="AM591" s="30">
        <f>Table13[[#This Row],[Year 3]]</f>
        <v>0</v>
      </c>
      <c r="AN591" s="1">
        <v>3</v>
      </c>
    </row>
    <row r="592" spans="1:40" hidden="1" x14ac:dyDescent="0.25">
      <c r="A592" s="1" t="s">
        <v>48</v>
      </c>
      <c r="B592" s="2" t="s">
        <v>2547</v>
      </c>
      <c r="C592" s="1" t="s">
        <v>50</v>
      </c>
      <c r="D592" s="1" t="s">
        <v>3543</v>
      </c>
      <c r="E592" s="1" t="s">
        <v>3544</v>
      </c>
      <c r="F592" s="22" t="s">
        <v>3</v>
      </c>
      <c r="G592" s="1" t="s">
        <v>6085</v>
      </c>
      <c r="H592" s="1" t="s">
        <v>6</v>
      </c>
      <c r="I592" s="1" t="s">
        <v>20</v>
      </c>
      <c r="J592" s="1" t="s">
        <v>26</v>
      </c>
      <c r="K592" s="1" t="s">
        <v>9</v>
      </c>
      <c r="L592" s="1" t="s">
        <v>78</v>
      </c>
      <c r="M592" s="11" t="s">
        <v>188</v>
      </c>
      <c r="N592" s="1" t="s">
        <v>6037</v>
      </c>
      <c r="O592" s="1" t="s">
        <v>19</v>
      </c>
      <c r="P592" s="1" t="s">
        <v>60</v>
      </c>
      <c r="Q592" s="1" t="s">
        <v>5964</v>
      </c>
      <c r="R592" s="1" t="s">
        <v>5010</v>
      </c>
      <c r="S592" s="1" t="s">
        <v>6141</v>
      </c>
      <c r="T592" s="11" t="s">
        <v>6136</v>
      </c>
      <c r="U592" s="1" t="s">
        <v>6165</v>
      </c>
      <c r="V592" s="1" t="s">
        <v>6163</v>
      </c>
      <c r="W592" s="27">
        <v>67.857142857142861</v>
      </c>
      <c r="X592" s="27">
        <v>71.428571428571431</v>
      </c>
      <c r="Y592" s="33">
        <f>AVERAGE(Table13[[#This Row],[Score 1]],Table13[[#This Row],[Score 2]])</f>
        <v>69.642857142857139</v>
      </c>
      <c r="Z592" s="1">
        <v>3</v>
      </c>
      <c r="AA592" s="1">
        <v>2</v>
      </c>
      <c r="AB592" s="22">
        <f>Table13[[#This Row],[Rank 1]]+Table13[[#This Row],[Rank 2]]</f>
        <v>5</v>
      </c>
      <c r="AC592" s="1" t="str">
        <f>IF(AND(Table13[[#This Row],[Average score]]&gt;75,Table13[[#This Row],[Total rank]]&gt;6.5),"Yes","No")</f>
        <v>No</v>
      </c>
      <c r="AD592" s="1" t="str">
        <f>IF(AND(Table13[[#This Row],[Average score]]&gt;80,Table13[[#This Row],[Total rank]]&gt;7.5),"Yes","No")</f>
        <v>No</v>
      </c>
      <c r="AF592" s="8">
        <v>46067</v>
      </c>
      <c r="AG592" s="1">
        <v>2</v>
      </c>
      <c r="AH592" s="27">
        <v>150000</v>
      </c>
      <c r="AI592" s="27">
        <v>150000</v>
      </c>
      <c r="AJ592" s="30">
        <v>0</v>
      </c>
      <c r="AK592" s="30">
        <f>Table13[[#This Row],[Year 1]]</f>
        <v>150000</v>
      </c>
      <c r="AL592" s="30">
        <f>Table13[[#This Row],[Year 2]]</f>
        <v>150000</v>
      </c>
      <c r="AM592" s="30">
        <f>Table13[[#This Row],[Year 3]]</f>
        <v>0</v>
      </c>
      <c r="AN592" s="1">
        <v>2</v>
      </c>
    </row>
    <row r="593" spans="1:40" hidden="1" x14ac:dyDescent="0.25">
      <c r="A593" s="1" t="s">
        <v>48</v>
      </c>
      <c r="B593" s="1" t="s">
        <v>2548</v>
      </c>
      <c r="C593" s="1" t="s">
        <v>50</v>
      </c>
      <c r="D593" s="1" t="s">
        <v>3545</v>
      </c>
      <c r="E593" s="1" t="s">
        <v>3546</v>
      </c>
      <c r="F593" s="22" t="s">
        <v>3</v>
      </c>
      <c r="G593" s="1" t="s">
        <v>6085</v>
      </c>
      <c r="H593" s="1" t="s">
        <v>5</v>
      </c>
      <c r="I593" s="1" t="s">
        <v>20</v>
      </c>
      <c r="J593" s="1" t="s">
        <v>26</v>
      </c>
      <c r="K593" s="1" t="s">
        <v>9</v>
      </c>
      <c r="L593" s="1" t="s">
        <v>78</v>
      </c>
      <c r="M593" s="11" t="s">
        <v>188</v>
      </c>
      <c r="N593" s="1" t="s">
        <v>6037</v>
      </c>
      <c r="O593" s="1" t="s">
        <v>14</v>
      </c>
      <c r="P593" s="1" t="s">
        <v>66</v>
      </c>
      <c r="Q593" s="1" t="s">
        <v>5965</v>
      </c>
      <c r="R593" s="1" t="s">
        <v>5011</v>
      </c>
      <c r="S593" s="1" t="s">
        <v>6141</v>
      </c>
      <c r="T593" s="11" t="s">
        <v>6144</v>
      </c>
      <c r="U593" s="1" t="s">
        <v>6161</v>
      </c>
      <c r="V593" s="1" t="s">
        <v>6165</v>
      </c>
      <c r="W593" s="27">
        <v>67.857142857142861</v>
      </c>
      <c r="X593" s="27">
        <v>75</v>
      </c>
      <c r="Y593" s="33">
        <f>AVERAGE(Table13[[#This Row],[Score 1]],Table13[[#This Row],[Score 2]])</f>
        <v>71.428571428571431</v>
      </c>
      <c r="Z593" s="1">
        <v>3</v>
      </c>
      <c r="AA593" s="1">
        <v>4</v>
      </c>
      <c r="AB593" s="22">
        <f>Table13[[#This Row],[Rank 1]]+Table13[[#This Row],[Rank 2]]</f>
        <v>7</v>
      </c>
      <c r="AC593" s="1" t="str">
        <f>IF(AND(Table13[[#This Row],[Average score]]&gt;75,Table13[[#This Row],[Total rank]]&gt;6.5),"Yes","No")</f>
        <v>No</v>
      </c>
      <c r="AD593" s="1" t="str">
        <f>IF(AND(Table13[[#This Row],[Average score]]&gt;80,Table13[[#This Row],[Total rank]]&gt;7.5),"Yes","No")</f>
        <v>No</v>
      </c>
      <c r="AF593" s="8">
        <v>46054</v>
      </c>
      <c r="AG593" s="1">
        <v>3</v>
      </c>
      <c r="AH593" s="27">
        <v>198000</v>
      </c>
      <c r="AI593" s="27">
        <v>215000</v>
      </c>
      <c r="AJ593" s="27">
        <v>250000</v>
      </c>
      <c r="AK593" s="27">
        <f>Table13[[#This Row],[Year 1]]</f>
        <v>198000</v>
      </c>
      <c r="AL593" s="27">
        <f>Table13[[#This Row],[Year 2]]</f>
        <v>215000</v>
      </c>
      <c r="AM593" s="27">
        <f>Table13[[#This Row],[Year 3]]</f>
        <v>250000</v>
      </c>
      <c r="AN593" s="1">
        <v>2</v>
      </c>
    </row>
    <row r="594" spans="1:40" hidden="1" x14ac:dyDescent="0.25">
      <c r="A594" s="1" t="s">
        <v>48</v>
      </c>
      <c r="B594" s="1" t="s">
        <v>2549</v>
      </c>
      <c r="C594" s="1" t="s">
        <v>50</v>
      </c>
      <c r="D594" s="1" t="s">
        <v>3547</v>
      </c>
      <c r="E594" s="1" t="s">
        <v>3548</v>
      </c>
      <c r="F594" s="22" t="s">
        <v>3</v>
      </c>
      <c r="G594" s="1" t="s">
        <v>6085</v>
      </c>
      <c r="H594" s="1" t="s">
        <v>5</v>
      </c>
      <c r="I594" s="1" t="s">
        <v>20</v>
      </c>
      <c r="J594" s="1" t="s">
        <v>25</v>
      </c>
      <c r="K594" s="1" t="s">
        <v>9</v>
      </c>
      <c r="L594" s="1" t="s">
        <v>78</v>
      </c>
      <c r="M594" s="11" t="s">
        <v>188</v>
      </c>
      <c r="N594" s="1" t="s">
        <v>6037</v>
      </c>
      <c r="O594" s="1" t="s">
        <v>14</v>
      </c>
      <c r="P594" s="1" t="s">
        <v>126</v>
      </c>
      <c r="Q594" s="1" t="s">
        <v>5360</v>
      </c>
      <c r="R594" s="1" t="s">
        <v>5013</v>
      </c>
      <c r="S594" s="1" t="s">
        <v>6144</v>
      </c>
      <c r="T594" s="1" t="s">
        <v>6143</v>
      </c>
      <c r="U594" s="1" t="s">
        <v>6161</v>
      </c>
      <c r="V594" s="1" t="s">
        <v>6183</v>
      </c>
      <c r="W594" s="27">
        <v>60.714285714285708</v>
      </c>
      <c r="X594" s="27">
        <v>89.285714285714292</v>
      </c>
      <c r="Y594" s="33">
        <f>AVERAGE(Table13[[#This Row],[Score 1]],Table13[[#This Row],[Score 2]])</f>
        <v>75</v>
      </c>
      <c r="Z594" s="1">
        <v>2</v>
      </c>
      <c r="AA594" s="1">
        <v>4</v>
      </c>
      <c r="AB594" s="22">
        <f>Table13[[#This Row],[Rank 1]]+Table13[[#This Row],[Rank 2]]</f>
        <v>6</v>
      </c>
      <c r="AC594" s="1" t="str">
        <f>IF(AND(Table13[[#This Row],[Average score]]&gt;75,Table13[[#This Row],[Total rank]]&gt;6.5),"Yes","No")</f>
        <v>No</v>
      </c>
      <c r="AD594" s="1" t="str">
        <f>IF(AND(Table13[[#This Row],[Average score]]&gt;80,Table13[[#This Row],[Total rank]]&gt;7.5),"Yes","No")</f>
        <v>No</v>
      </c>
      <c r="AF594" s="8">
        <v>46048</v>
      </c>
      <c r="AG594" s="1">
        <v>3</v>
      </c>
      <c r="AH594" s="27">
        <v>171856</v>
      </c>
      <c r="AI594" s="27">
        <v>171856</v>
      </c>
      <c r="AJ594" s="27">
        <v>171856</v>
      </c>
      <c r="AK594" s="27">
        <f>Table13[[#This Row],[Year 1]]</f>
        <v>171856</v>
      </c>
      <c r="AL594" s="27">
        <f>Table13[[#This Row],[Year 2]]</f>
        <v>171856</v>
      </c>
      <c r="AM594" s="27">
        <f>Table13[[#This Row],[Year 3]]</f>
        <v>171856</v>
      </c>
      <c r="AN594" s="1">
        <v>3</v>
      </c>
    </row>
    <row r="595" spans="1:40" hidden="1" x14ac:dyDescent="0.25">
      <c r="A595" s="1" t="s">
        <v>48</v>
      </c>
      <c r="B595" s="1" t="s">
        <v>2550</v>
      </c>
      <c r="C595" s="1" t="s">
        <v>50</v>
      </c>
      <c r="D595" s="1" t="s">
        <v>3549</v>
      </c>
      <c r="E595" s="1" t="s">
        <v>3550</v>
      </c>
      <c r="F595" s="22" t="s">
        <v>3</v>
      </c>
      <c r="G595" s="1" t="s">
        <v>6085</v>
      </c>
      <c r="H595" s="1" t="s">
        <v>5</v>
      </c>
      <c r="I595" s="1" t="s">
        <v>22</v>
      </c>
      <c r="J595" s="1" t="s">
        <v>26</v>
      </c>
      <c r="K595" s="1" t="s">
        <v>9</v>
      </c>
      <c r="L595" s="1" t="s">
        <v>78</v>
      </c>
      <c r="M595" s="11" t="s">
        <v>188</v>
      </c>
      <c r="N595" s="1" t="s">
        <v>6037</v>
      </c>
      <c r="O595" s="1" t="s">
        <v>16</v>
      </c>
      <c r="P595" s="1" t="s">
        <v>247</v>
      </c>
      <c r="Q595" s="1" t="s">
        <v>5966</v>
      </c>
      <c r="R595" s="1" t="s">
        <v>5015</v>
      </c>
      <c r="S595" s="1" t="s">
        <v>6123</v>
      </c>
      <c r="T595" s="1" t="s">
        <v>6124</v>
      </c>
      <c r="U595" s="1" t="s">
        <v>6132</v>
      </c>
      <c r="V595" s="1" t="s">
        <v>6202</v>
      </c>
      <c r="W595" s="27">
        <v>78.571428571428569</v>
      </c>
      <c r="X595" s="27">
        <v>85.714285714285708</v>
      </c>
      <c r="Y595" s="33">
        <f>AVERAGE(Table13[[#This Row],[Score 1]],Table13[[#This Row],[Score 2]])</f>
        <v>82.142857142857139</v>
      </c>
      <c r="Z595" s="1">
        <v>4</v>
      </c>
      <c r="AA595" s="1">
        <v>4</v>
      </c>
      <c r="AB595" s="22">
        <f>Table13[[#This Row],[Rank 1]]+Table13[[#This Row],[Rank 2]]</f>
        <v>8</v>
      </c>
      <c r="AC595" s="1" t="str">
        <f>IF(AND(Table13[[#This Row],[Average score]]&gt;75,Table13[[#This Row],[Total rank]]&gt;6.5),"Yes","No")</f>
        <v>Yes</v>
      </c>
      <c r="AD595" s="1" t="str">
        <f>IF(AND(Table13[[#This Row],[Average score]]&gt;80,Table13[[#This Row],[Total rank]]&gt;7.5),"Yes","No")</f>
        <v>Yes</v>
      </c>
      <c r="AF595" s="8">
        <v>45758</v>
      </c>
      <c r="AG595" s="1">
        <v>2</v>
      </c>
      <c r="AH595" s="27">
        <v>128000</v>
      </c>
      <c r="AI595" s="27">
        <v>128000</v>
      </c>
      <c r="AJ595" s="30">
        <v>0</v>
      </c>
      <c r="AK595" s="30">
        <f>Table13[[#This Row],[Year 1]]</f>
        <v>128000</v>
      </c>
      <c r="AL595" s="30">
        <f>Table13[[#This Row],[Year 2]]</f>
        <v>128000</v>
      </c>
      <c r="AM595" s="30">
        <f>Table13[[#This Row],[Year 3]]</f>
        <v>0</v>
      </c>
      <c r="AN595" s="1">
        <v>3</v>
      </c>
    </row>
    <row r="596" spans="1:40" hidden="1" x14ac:dyDescent="0.25">
      <c r="A596" s="1" t="s">
        <v>48</v>
      </c>
      <c r="B596" s="1" t="s">
        <v>2551</v>
      </c>
      <c r="C596" s="1" t="s">
        <v>50</v>
      </c>
      <c r="D596" s="1" t="s">
        <v>3551</v>
      </c>
      <c r="E596" s="1" t="s">
        <v>3552</v>
      </c>
      <c r="F596" s="22" t="s">
        <v>3</v>
      </c>
      <c r="G596" s="1" t="s">
        <v>6085</v>
      </c>
      <c r="H596" s="1" t="s">
        <v>5</v>
      </c>
      <c r="I596" s="1" t="s">
        <v>24</v>
      </c>
      <c r="J596" s="1" t="s">
        <v>25</v>
      </c>
      <c r="K596" s="1" t="s">
        <v>9</v>
      </c>
      <c r="L596" s="1" t="s">
        <v>78</v>
      </c>
      <c r="M596" s="11" t="s">
        <v>188</v>
      </c>
      <c r="N596" s="1" t="s">
        <v>6037</v>
      </c>
      <c r="O596" s="1" t="s">
        <v>10</v>
      </c>
      <c r="P596" s="1" t="s">
        <v>60</v>
      </c>
      <c r="Q596" s="20" t="s">
        <v>5967</v>
      </c>
      <c r="R596" s="1" t="s">
        <v>5016</v>
      </c>
      <c r="S596" s="1" t="s">
        <v>6048</v>
      </c>
      <c r="T596" s="1" t="s">
        <v>6047</v>
      </c>
      <c r="U596" s="1" t="s">
        <v>6086</v>
      </c>
      <c r="V596" s="1" t="s">
        <v>6106</v>
      </c>
      <c r="W596" s="27">
        <v>78.571428571428569</v>
      </c>
      <c r="X596" s="27">
        <v>64.285714285714292</v>
      </c>
      <c r="Y596" s="33">
        <f>AVERAGE(Table13[[#This Row],[Score 1]],Table13[[#This Row],[Score 2]])</f>
        <v>71.428571428571431</v>
      </c>
      <c r="Z596" s="1">
        <v>4</v>
      </c>
      <c r="AA596" s="1">
        <v>3</v>
      </c>
      <c r="AB596" s="22">
        <f>Table13[[#This Row],[Rank 1]]+Table13[[#This Row],[Rank 2]]</f>
        <v>7</v>
      </c>
      <c r="AC596" s="1" t="str">
        <f>IF(AND(Table13[[#This Row],[Average score]]&gt;75,Table13[[#This Row],[Total rank]]&gt;6.5),"Yes","No")</f>
        <v>No</v>
      </c>
      <c r="AD596" s="1" t="str">
        <f>IF(AND(Table13[[#This Row],[Average score]]&gt;80,Table13[[#This Row],[Total rank]]&gt;7.5),"Yes","No")</f>
        <v>No</v>
      </c>
      <c r="AF596" s="8">
        <v>44958</v>
      </c>
      <c r="AG596" s="1">
        <v>1</v>
      </c>
      <c r="AH596" s="27">
        <v>199000</v>
      </c>
      <c r="AI596" s="30">
        <v>0</v>
      </c>
      <c r="AJ596" s="30">
        <v>0</v>
      </c>
      <c r="AK596" s="30">
        <f>Table13[[#This Row],[Year 1]]</f>
        <v>199000</v>
      </c>
      <c r="AL596" s="30">
        <f>Table13[[#This Row],[Year 2]]</f>
        <v>0</v>
      </c>
      <c r="AM596" s="30">
        <f>Table13[[#This Row],[Year 3]]</f>
        <v>0</v>
      </c>
      <c r="AN596" s="1">
        <v>3</v>
      </c>
    </row>
    <row r="597" spans="1:40" hidden="1" x14ac:dyDescent="0.25">
      <c r="A597" s="1" t="s">
        <v>48</v>
      </c>
      <c r="B597" s="1" t="s">
        <v>2552</v>
      </c>
      <c r="C597" s="1" t="s">
        <v>50</v>
      </c>
      <c r="D597" s="1" t="s">
        <v>3553</v>
      </c>
      <c r="E597" s="1" t="s">
        <v>3554</v>
      </c>
      <c r="F597" s="22" t="s">
        <v>3</v>
      </c>
      <c r="G597" s="1" t="s">
        <v>6085</v>
      </c>
      <c r="H597" s="1" t="s">
        <v>5</v>
      </c>
      <c r="I597" s="1" t="s">
        <v>21</v>
      </c>
      <c r="J597" s="1" t="s">
        <v>26</v>
      </c>
      <c r="K597" s="1" t="s">
        <v>9</v>
      </c>
      <c r="L597" s="1" t="s">
        <v>78</v>
      </c>
      <c r="M597" s="11" t="s">
        <v>188</v>
      </c>
      <c r="N597" s="1" t="s">
        <v>6037</v>
      </c>
      <c r="O597" s="1" t="s">
        <v>14</v>
      </c>
      <c r="P597" s="1" t="s">
        <v>126</v>
      </c>
      <c r="Q597" s="1" t="s">
        <v>4501</v>
      </c>
      <c r="R597" s="1" t="s">
        <v>5018</v>
      </c>
      <c r="S597" s="1" t="s">
        <v>6144</v>
      </c>
      <c r="T597" s="1" t="s">
        <v>6143</v>
      </c>
      <c r="U597" s="1" t="s">
        <v>6161</v>
      </c>
      <c r="V597" s="1" t="s">
        <v>6183</v>
      </c>
      <c r="W597" s="27">
        <v>67.857142857142861</v>
      </c>
      <c r="X597" s="27">
        <v>92.857142857142861</v>
      </c>
      <c r="Y597" s="33">
        <f>AVERAGE(Table13[[#This Row],[Score 1]],Table13[[#This Row],[Score 2]])</f>
        <v>80.357142857142861</v>
      </c>
      <c r="Z597" s="1">
        <v>3</v>
      </c>
      <c r="AA597" s="1">
        <v>5</v>
      </c>
      <c r="AB597" s="22">
        <f>Table13[[#This Row],[Rank 1]]+Table13[[#This Row],[Rank 2]]</f>
        <v>8</v>
      </c>
      <c r="AC597" s="1" t="str">
        <f>IF(AND(Table13[[#This Row],[Average score]]&gt;75,Table13[[#This Row],[Total rank]]&gt;6.5),"Yes","No")</f>
        <v>Yes</v>
      </c>
      <c r="AD597" s="1" t="str">
        <f>IF(AND(Table13[[#This Row],[Average score]]&gt;80,Table13[[#This Row],[Total rank]]&gt;7.5),"Yes","No")</f>
        <v>Yes</v>
      </c>
      <c r="AF597" s="8">
        <v>46054</v>
      </c>
      <c r="AG597" s="1">
        <v>3</v>
      </c>
      <c r="AH597" s="27">
        <v>60073</v>
      </c>
      <c r="AI597" s="27">
        <v>58570</v>
      </c>
      <c r="AJ597" s="27">
        <v>54070</v>
      </c>
      <c r="AK597" s="27">
        <f>Table13[[#This Row],[Year 1]]</f>
        <v>60073</v>
      </c>
      <c r="AL597" s="27">
        <f>Table13[[#This Row],[Year 2]]</f>
        <v>58570</v>
      </c>
      <c r="AM597" s="27">
        <f>Table13[[#This Row],[Year 3]]</f>
        <v>54070</v>
      </c>
      <c r="AN597" s="1">
        <v>3</v>
      </c>
    </row>
    <row r="598" spans="1:40" hidden="1" x14ac:dyDescent="0.25">
      <c r="A598" s="1" t="s">
        <v>48</v>
      </c>
      <c r="B598" s="1" t="s">
        <v>2554</v>
      </c>
      <c r="C598" s="1" t="s">
        <v>50</v>
      </c>
      <c r="D598" s="1" t="s">
        <v>3557</v>
      </c>
      <c r="E598" s="1" t="s">
        <v>3558</v>
      </c>
      <c r="F598" s="22" t="s">
        <v>3</v>
      </c>
      <c r="G598" s="1" t="s">
        <v>6085</v>
      </c>
      <c r="H598" s="1" t="s">
        <v>6</v>
      </c>
      <c r="I598" s="1" t="s">
        <v>24</v>
      </c>
      <c r="J598" s="1" t="s">
        <v>25</v>
      </c>
      <c r="K598" s="1" t="s">
        <v>9</v>
      </c>
      <c r="L598" s="1" t="s">
        <v>78</v>
      </c>
      <c r="M598" s="11" t="s">
        <v>188</v>
      </c>
      <c r="N598" s="1" t="s">
        <v>6037</v>
      </c>
      <c r="O598" s="1" t="s">
        <v>14</v>
      </c>
      <c r="P598" s="1" t="s">
        <v>126</v>
      </c>
      <c r="Q598" s="18" t="s">
        <v>5968</v>
      </c>
      <c r="R598" s="1" t="s">
        <v>5025</v>
      </c>
      <c r="S598" s="1" t="s">
        <v>6133</v>
      </c>
      <c r="T598" s="1" t="s">
        <v>6134</v>
      </c>
      <c r="U598" s="1" t="s">
        <v>6094</v>
      </c>
      <c r="V598" s="1" t="s">
        <v>6184</v>
      </c>
      <c r="W598" s="27">
        <v>89.285714285714292</v>
      </c>
      <c r="X598" s="27">
        <v>57.142857142857139</v>
      </c>
      <c r="Y598" s="33">
        <f>AVERAGE(Table13[[#This Row],[Score 1]],Table13[[#This Row],[Score 2]])</f>
        <v>73.214285714285722</v>
      </c>
      <c r="Z598" s="1">
        <v>5</v>
      </c>
      <c r="AA598" s="1">
        <v>3</v>
      </c>
      <c r="AB598" s="22">
        <f>Table13[[#This Row],[Rank 1]]+Table13[[#This Row],[Rank 2]]</f>
        <v>8</v>
      </c>
      <c r="AC598" s="1" t="str">
        <f>IF(AND(Table13[[#This Row],[Average score]]&gt;75,Table13[[#This Row],[Total rank]]&gt;6.5),"Yes","No")</f>
        <v>No</v>
      </c>
      <c r="AD598" s="1" t="str">
        <f>IF(AND(Table13[[#This Row],[Average score]]&gt;80,Table13[[#This Row],[Total rank]]&gt;7.5),"Yes","No")</f>
        <v>No</v>
      </c>
      <c r="AF598" s="8">
        <v>45706</v>
      </c>
      <c r="AG598" s="1">
        <v>1</v>
      </c>
      <c r="AH598" s="27">
        <v>120228</v>
      </c>
      <c r="AI598" s="30">
        <v>0</v>
      </c>
      <c r="AJ598" s="30">
        <v>0</v>
      </c>
      <c r="AK598" s="30">
        <f>Table13[[#This Row],[Year 1]]</f>
        <v>120228</v>
      </c>
      <c r="AL598" s="30">
        <f>Table13[[#This Row],[Year 2]]</f>
        <v>0</v>
      </c>
      <c r="AM598" s="30">
        <f>Table13[[#This Row],[Year 3]]</f>
        <v>0</v>
      </c>
      <c r="AN598" s="1">
        <v>3</v>
      </c>
    </row>
    <row r="599" spans="1:40" hidden="1" x14ac:dyDescent="0.25">
      <c r="A599" s="1" t="s">
        <v>48</v>
      </c>
      <c r="B599" s="10" t="s">
        <v>2555</v>
      </c>
      <c r="C599" s="1" t="s">
        <v>50</v>
      </c>
      <c r="D599" s="1" t="s">
        <v>3559</v>
      </c>
      <c r="E599" s="1" t="s">
        <v>3560</v>
      </c>
      <c r="F599" s="22" t="s">
        <v>3</v>
      </c>
      <c r="G599" s="1" t="s">
        <v>6085</v>
      </c>
      <c r="H599" s="1" t="s">
        <v>5</v>
      </c>
      <c r="I599" s="1" t="s">
        <v>24</v>
      </c>
      <c r="J599" s="1" t="s">
        <v>25</v>
      </c>
      <c r="K599" s="1" t="s">
        <v>8</v>
      </c>
      <c r="L599" s="1" t="s">
        <v>78</v>
      </c>
      <c r="M599" s="11" t="s">
        <v>188</v>
      </c>
      <c r="N599" s="1" t="s">
        <v>6037</v>
      </c>
      <c r="O599" s="1" t="s">
        <v>16</v>
      </c>
      <c r="P599" s="1" t="s">
        <v>5027</v>
      </c>
      <c r="Q599" s="1" t="s">
        <v>5969</v>
      </c>
      <c r="R599" s="1" t="s">
        <v>5028</v>
      </c>
      <c r="S599" s="1" t="s">
        <v>6113</v>
      </c>
      <c r="T599" s="1" t="s">
        <v>6114</v>
      </c>
      <c r="U599" s="2" t="s">
        <v>6128</v>
      </c>
      <c r="V599" s="1" t="s">
        <v>6182</v>
      </c>
      <c r="W599" s="29">
        <f>Table13[[#This Row],[Score 2]]</f>
        <v>93.75</v>
      </c>
      <c r="X599" s="27">
        <v>93.75</v>
      </c>
      <c r="Y599" s="33">
        <f>AVERAGE(Table13[[#This Row],[Score 1]],Table13[[#This Row],[Score 2]])</f>
        <v>93.75</v>
      </c>
      <c r="Z599" s="2">
        <f>Table13[[#This Row],[Rank 2]]</f>
        <v>5</v>
      </c>
      <c r="AA599" s="1">
        <v>5</v>
      </c>
      <c r="AB599" s="22">
        <f>Table13[[#This Row],[Rank 1]]+Table13[[#This Row],[Rank 2]]</f>
        <v>10</v>
      </c>
      <c r="AC599" s="1" t="str">
        <f>IF(AND(Table13[[#This Row],[Average score]]&gt;75,Table13[[#This Row],[Total rank]]&gt;6.5),"Yes","No")</f>
        <v>Yes</v>
      </c>
      <c r="AD599" s="1" t="str">
        <f>IF(AND(Table13[[#This Row],[Average score]]&gt;80,Table13[[#This Row],[Total rank]]&gt;7.5),"Yes","No")</f>
        <v>Yes</v>
      </c>
      <c r="AE599" s="2" t="s">
        <v>6223</v>
      </c>
      <c r="AF599" s="8">
        <v>46023</v>
      </c>
      <c r="AG599" s="1">
        <v>3</v>
      </c>
      <c r="AH599" s="27">
        <v>1209679.4006000001</v>
      </c>
      <c r="AI599" s="27">
        <v>1297721.2003547</v>
      </c>
      <c r="AJ599" s="27">
        <v>1273621.1742118141</v>
      </c>
      <c r="AK599" s="27">
        <v>750000</v>
      </c>
      <c r="AL599" s="27">
        <v>750000</v>
      </c>
      <c r="AM599" s="27">
        <v>750000</v>
      </c>
      <c r="AN599" s="1">
        <v>3</v>
      </c>
    </row>
    <row r="600" spans="1:40" hidden="1" x14ac:dyDescent="0.25">
      <c r="A600" s="1" t="s">
        <v>48</v>
      </c>
      <c r="B600" s="1" t="s">
        <v>2556</v>
      </c>
      <c r="C600" s="1" t="s">
        <v>50</v>
      </c>
      <c r="D600" s="1" t="s">
        <v>3561</v>
      </c>
      <c r="E600" s="1" t="s">
        <v>3562</v>
      </c>
      <c r="F600" s="22" t="s">
        <v>3</v>
      </c>
      <c r="G600" s="1" t="s">
        <v>6085</v>
      </c>
      <c r="H600" s="1" t="s">
        <v>6</v>
      </c>
      <c r="I600" s="1" t="s">
        <v>20</v>
      </c>
      <c r="J600" s="1" t="s">
        <v>26</v>
      </c>
      <c r="K600" s="1" t="s">
        <v>9</v>
      </c>
      <c r="L600" s="1" t="s">
        <v>78</v>
      </c>
      <c r="M600" s="11" t="s">
        <v>2089</v>
      </c>
      <c r="N600" s="1" t="s">
        <v>6037</v>
      </c>
      <c r="O600" s="1" t="s">
        <v>16</v>
      </c>
      <c r="P600" s="1" t="s">
        <v>79</v>
      </c>
      <c r="Q600" s="1" t="s">
        <v>5970</v>
      </c>
      <c r="R600" s="1" t="s">
        <v>5030</v>
      </c>
      <c r="S600" s="1" t="s">
        <v>6117</v>
      </c>
      <c r="T600" s="1" t="s">
        <v>6118</v>
      </c>
      <c r="U600" s="1" t="s">
        <v>6126</v>
      </c>
      <c r="V600" s="1" t="s">
        <v>6177</v>
      </c>
      <c r="W600" s="27">
        <v>67.857142857142861</v>
      </c>
      <c r="X600" s="27">
        <v>71.428571428571431</v>
      </c>
      <c r="Y600" s="33">
        <f>AVERAGE(Table13[[#This Row],[Score 1]],Table13[[#This Row],[Score 2]])</f>
        <v>69.642857142857139</v>
      </c>
      <c r="Z600" s="1">
        <v>3</v>
      </c>
      <c r="AA600" s="1">
        <v>3</v>
      </c>
      <c r="AB600" s="22">
        <f>Table13[[#This Row],[Rank 1]]+Table13[[#This Row],[Rank 2]]</f>
        <v>6</v>
      </c>
      <c r="AC600" s="1" t="str">
        <f>IF(AND(Table13[[#This Row],[Average score]]&gt;75,Table13[[#This Row],[Total rank]]&gt;6.5),"Yes","No")</f>
        <v>No</v>
      </c>
      <c r="AD600" s="1" t="str">
        <f>IF(AND(Table13[[#This Row],[Average score]]&gt;80,Table13[[#This Row],[Total rank]]&gt;7.5),"Yes","No")</f>
        <v>No</v>
      </c>
      <c r="AF600" s="8">
        <v>45658</v>
      </c>
      <c r="AG600" s="1">
        <v>2</v>
      </c>
      <c r="AH600" s="27">
        <v>167000</v>
      </c>
      <c r="AI600" s="27">
        <v>167000</v>
      </c>
      <c r="AJ600" s="30">
        <v>0</v>
      </c>
      <c r="AK600" s="30">
        <f>Table13[[#This Row],[Year 1]]</f>
        <v>167000</v>
      </c>
      <c r="AL600" s="30">
        <f>Table13[[#This Row],[Year 2]]</f>
        <v>167000</v>
      </c>
      <c r="AM600" s="30">
        <f>Table13[[#This Row],[Year 3]]</f>
        <v>0</v>
      </c>
      <c r="AN600" s="1">
        <v>3</v>
      </c>
    </row>
    <row r="601" spans="1:40" x14ac:dyDescent="0.25">
      <c r="A601" s="1" t="s">
        <v>48</v>
      </c>
      <c r="B601" s="1" t="s">
        <v>2557</v>
      </c>
      <c r="C601" s="1" t="s">
        <v>50</v>
      </c>
      <c r="D601" s="1" t="s">
        <v>3563</v>
      </c>
      <c r="E601" s="1" t="s">
        <v>3564</v>
      </c>
      <c r="F601" s="22" t="s">
        <v>3</v>
      </c>
      <c r="G601" s="1" t="s">
        <v>6085</v>
      </c>
      <c r="H601" s="1" t="s">
        <v>5</v>
      </c>
      <c r="I601" s="1" t="s">
        <v>24</v>
      </c>
      <c r="J601" s="1" t="s">
        <v>26</v>
      </c>
      <c r="K601" s="1" t="s">
        <v>9</v>
      </c>
      <c r="L601" s="1" t="s">
        <v>78</v>
      </c>
      <c r="M601" s="11" t="s">
        <v>188</v>
      </c>
      <c r="N601" s="1" t="s">
        <v>6037</v>
      </c>
      <c r="O601" s="1" t="s">
        <v>12</v>
      </c>
      <c r="P601" s="1" t="s">
        <v>1384</v>
      </c>
      <c r="Q601" s="1" t="s">
        <v>5380</v>
      </c>
      <c r="R601" s="1" t="s">
        <v>5031</v>
      </c>
      <c r="S601" s="1" t="s">
        <v>6155</v>
      </c>
      <c r="T601" s="1" t="s">
        <v>6154</v>
      </c>
      <c r="U601" s="1" t="s">
        <v>6164</v>
      </c>
      <c r="V601" s="1" t="s">
        <v>6167</v>
      </c>
      <c r="W601" s="27">
        <v>85.714285714285708</v>
      </c>
      <c r="X601" s="27">
        <v>82.142857142857139</v>
      </c>
      <c r="Y601" s="33">
        <f>AVERAGE(Table13[[#This Row],[Score 1]],Table13[[#This Row],[Score 2]])</f>
        <v>83.928571428571416</v>
      </c>
      <c r="Z601" s="1">
        <v>4</v>
      </c>
      <c r="AA601" s="1">
        <v>4</v>
      </c>
      <c r="AB601" s="22">
        <f>Table13[[#This Row],[Rank 1]]+Table13[[#This Row],[Rank 2]]</f>
        <v>8</v>
      </c>
      <c r="AC601" s="1" t="str">
        <f>IF(AND(Table13[[#This Row],[Average score]]&gt;75,Table13[[#This Row],[Total rank]]&gt;6.5),"Yes","No")</f>
        <v>Yes</v>
      </c>
      <c r="AD601" s="1" t="str">
        <f>IF(AND(Table13[[#This Row],[Average score]]&gt;80,Table13[[#This Row],[Total rank]]&gt;7.5),"Yes","No")</f>
        <v>Yes</v>
      </c>
      <c r="AE601" s="2" t="s">
        <v>6221</v>
      </c>
      <c r="AF601" s="8">
        <v>46037</v>
      </c>
      <c r="AG601" s="1">
        <v>2</v>
      </c>
      <c r="AH601" s="27">
        <v>275000</v>
      </c>
      <c r="AI601" s="27">
        <v>275000</v>
      </c>
      <c r="AJ601" s="30">
        <v>0</v>
      </c>
      <c r="AK601" s="30">
        <f>Table13[[#This Row],[Year 1]]</f>
        <v>275000</v>
      </c>
      <c r="AL601" s="30">
        <f>Table13[[#This Row],[Year 2]]</f>
        <v>275000</v>
      </c>
      <c r="AM601" s="30">
        <f>Table13[[#This Row],[Year 3]]</f>
        <v>0</v>
      </c>
      <c r="AN601" s="1">
        <v>3</v>
      </c>
    </row>
    <row r="602" spans="1:40" hidden="1" x14ac:dyDescent="0.25">
      <c r="A602" s="1" t="s">
        <v>48</v>
      </c>
      <c r="B602" s="1" t="s">
        <v>2558</v>
      </c>
      <c r="C602" s="1" t="s">
        <v>50</v>
      </c>
      <c r="D602" s="1" t="s">
        <v>3565</v>
      </c>
      <c r="E602" s="1" t="s">
        <v>3566</v>
      </c>
      <c r="F602" s="22" t="s">
        <v>3</v>
      </c>
      <c r="G602" s="1" t="s">
        <v>6085</v>
      </c>
      <c r="H602" s="1" t="s">
        <v>6</v>
      </c>
      <c r="I602" s="1" t="s">
        <v>24</v>
      </c>
      <c r="J602" s="1" t="s">
        <v>25</v>
      </c>
      <c r="K602" s="1" t="s">
        <v>9</v>
      </c>
      <c r="L602" s="1" t="s">
        <v>78</v>
      </c>
      <c r="M602" s="11" t="s">
        <v>188</v>
      </c>
      <c r="N602" s="1" t="s">
        <v>6037</v>
      </c>
      <c r="O602" s="1" t="s">
        <v>13</v>
      </c>
      <c r="P602" s="1" t="s">
        <v>126</v>
      </c>
      <c r="Q602" s="1" t="s">
        <v>5971</v>
      </c>
      <c r="R602" s="1" t="s">
        <v>5032</v>
      </c>
      <c r="S602" s="1" t="s">
        <v>6079</v>
      </c>
      <c r="T602" s="1" t="s">
        <v>6080</v>
      </c>
      <c r="U602" s="1" t="s">
        <v>6089</v>
      </c>
      <c r="V602" s="1" t="s">
        <v>6172</v>
      </c>
      <c r="W602" s="27">
        <v>67.857142857142861</v>
      </c>
      <c r="X602" s="27">
        <v>82.142857142857139</v>
      </c>
      <c r="Y602" s="33">
        <f>AVERAGE(Table13[[#This Row],[Score 1]],Table13[[#This Row],[Score 2]])</f>
        <v>75</v>
      </c>
      <c r="Z602" s="1">
        <v>3</v>
      </c>
      <c r="AA602" s="1">
        <v>3</v>
      </c>
      <c r="AB602" s="22">
        <f>Table13[[#This Row],[Rank 1]]+Table13[[#This Row],[Rank 2]]</f>
        <v>6</v>
      </c>
      <c r="AC602" s="1" t="str">
        <f>IF(AND(Table13[[#This Row],[Average score]]&gt;75,Table13[[#This Row],[Total rank]]&gt;6.5),"Yes","No")</f>
        <v>No</v>
      </c>
      <c r="AD602" s="1" t="str">
        <f>IF(AND(Table13[[#This Row],[Average score]]&gt;80,Table13[[#This Row],[Total rank]]&gt;7.5),"Yes","No")</f>
        <v>No</v>
      </c>
      <c r="AF602" s="8">
        <v>46023</v>
      </c>
      <c r="AG602" s="1">
        <v>1</v>
      </c>
      <c r="AH602" s="27">
        <v>258800</v>
      </c>
      <c r="AI602" s="30">
        <v>0</v>
      </c>
      <c r="AJ602" s="30">
        <v>0</v>
      </c>
      <c r="AK602" s="30">
        <f>Table13[[#This Row],[Year 1]]</f>
        <v>258800</v>
      </c>
      <c r="AL602" s="30">
        <f>Table13[[#This Row],[Year 2]]</f>
        <v>0</v>
      </c>
      <c r="AM602" s="30">
        <f>Table13[[#This Row],[Year 3]]</f>
        <v>0</v>
      </c>
      <c r="AN602" s="1">
        <v>3</v>
      </c>
    </row>
    <row r="603" spans="1:40" hidden="1" x14ac:dyDescent="0.25">
      <c r="A603" s="1" t="s">
        <v>48</v>
      </c>
      <c r="B603" s="1" t="s">
        <v>2559</v>
      </c>
      <c r="C603" s="1" t="s">
        <v>50</v>
      </c>
      <c r="D603" s="1" t="s">
        <v>3567</v>
      </c>
      <c r="E603" s="1" t="s">
        <v>3568</v>
      </c>
      <c r="F603" s="22" t="s">
        <v>3</v>
      </c>
      <c r="G603" s="1" t="s">
        <v>6085</v>
      </c>
      <c r="H603" s="1" t="s">
        <v>6</v>
      </c>
      <c r="I603" s="1" t="s">
        <v>20</v>
      </c>
      <c r="J603" s="1" t="s">
        <v>26</v>
      </c>
      <c r="K603" s="1" t="s">
        <v>9</v>
      </c>
      <c r="L603" s="1" t="s">
        <v>78</v>
      </c>
      <c r="M603" s="11" t="s">
        <v>188</v>
      </c>
      <c r="N603" s="1" t="s">
        <v>6037</v>
      </c>
      <c r="O603" s="1" t="s">
        <v>11</v>
      </c>
      <c r="P603" s="1" t="s">
        <v>5034</v>
      </c>
      <c r="Q603" s="1" t="s">
        <v>5972</v>
      </c>
      <c r="R603" s="1" t="s">
        <v>253</v>
      </c>
      <c r="S603" s="1" t="s">
        <v>6053</v>
      </c>
      <c r="T603" s="1" t="s">
        <v>6055</v>
      </c>
      <c r="U603" s="1" t="s">
        <v>6105</v>
      </c>
      <c r="V603" s="1" t="s">
        <v>6087</v>
      </c>
      <c r="W603" s="27">
        <v>67.857142857142861</v>
      </c>
      <c r="X603" s="27">
        <v>46.428571428571431</v>
      </c>
      <c r="Y603" s="33">
        <f>AVERAGE(Table13[[#This Row],[Score 1]],Table13[[#This Row],[Score 2]])</f>
        <v>57.142857142857146</v>
      </c>
      <c r="Z603" s="1">
        <v>2</v>
      </c>
      <c r="AA603" s="1">
        <v>2</v>
      </c>
      <c r="AB603" s="22">
        <f>Table13[[#This Row],[Rank 1]]+Table13[[#This Row],[Rank 2]]</f>
        <v>4</v>
      </c>
      <c r="AC603" s="1" t="str">
        <f>IF(AND(Table13[[#This Row],[Average score]]&gt;75,Table13[[#This Row],[Total rank]]&gt;6.5),"Yes","No")</f>
        <v>No</v>
      </c>
      <c r="AD603" s="1" t="str">
        <f>IF(AND(Table13[[#This Row],[Average score]]&gt;80,Table13[[#This Row],[Total rank]]&gt;7.5),"Yes","No")</f>
        <v>No</v>
      </c>
      <c r="AF603" s="8">
        <v>46054</v>
      </c>
      <c r="AG603" s="1">
        <v>2</v>
      </c>
      <c r="AH603" s="27">
        <v>90000</v>
      </c>
      <c r="AI603" s="27">
        <v>30000</v>
      </c>
      <c r="AJ603" s="30">
        <v>0</v>
      </c>
      <c r="AK603" s="30">
        <f>Table13[[#This Row],[Year 1]]</f>
        <v>90000</v>
      </c>
      <c r="AL603" s="30">
        <f>Table13[[#This Row],[Year 2]]</f>
        <v>30000</v>
      </c>
      <c r="AM603" s="30">
        <f>Table13[[#This Row],[Year 3]]</f>
        <v>0</v>
      </c>
      <c r="AN603" s="1">
        <v>2</v>
      </c>
    </row>
    <row r="604" spans="1:40" hidden="1" x14ac:dyDescent="0.25">
      <c r="A604" s="1" t="s">
        <v>48</v>
      </c>
      <c r="B604" s="1" t="s">
        <v>2560</v>
      </c>
      <c r="C604" s="1" t="s">
        <v>50</v>
      </c>
      <c r="D604" s="1" t="s">
        <v>3569</v>
      </c>
      <c r="E604" s="1" t="s">
        <v>3570</v>
      </c>
      <c r="F604" s="22" t="s">
        <v>3</v>
      </c>
      <c r="G604" s="1" t="s">
        <v>6085</v>
      </c>
      <c r="H604" s="1" t="s">
        <v>7</v>
      </c>
      <c r="I604" s="1" t="s">
        <v>22</v>
      </c>
      <c r="J604" s="1" t="s">
        <v>26</v>
      </c>
      <c r="K604" s="1" t="s">
        <v>9</v>
      </c>
      <c r="L604" s="1" t="s">
        <v>78</v>
      </c>
      <c r="M604" s="11" t="s">
        <v>188</v>
      </c>
      <c r="N604" s="1" t="s">
        <v>6037</v>
      </c>
      <c r="O604" s="1" t="s">
        <v>16</v>
      </c>
      <c r="P604" s="1" t="s">
        <v>5035</v>
      </c>
      <c r="Q604" s="1" t="s">
        <v>5973</v>
      </c>
      <c r="R604" s="1" t="s">
        <v>5036</v>
      </c>
      <c r="S604" s="1" t="s">
        <v>6117</v>
      </c>
      <c r="T604" s="1" t="s">
        <v>6118</v>
      </c>
      <c r="U604" s="1" t="s">
        <v>6126</v>
      </c>
      <c r="V604" s="1" t="s">
        <v>6177</v>
      </c>
      <c r="W604" s="27">
        <v>94.444444444444443</v>
      </c>
      <c r="X604" s="27">
        <v>69.444444444444443</v>
      </c>
      <c r="Y604" s="33">
        <f>AVERAGE(Table13[[#This Row],[Score 1]],Table13[[#This Row],[Score 2]])</f>
        <v>81.944444444444443</v>
      </c>
      <c r="Z604" s="1">
        <v>5</v>
      </c>
      <c r="AA604" s="1">
        <v>3</v>
      </c>
      <c r="AB604" s="22">
        <f>Table13[[#This Row],[Rank 1]]+Table13[[#This Row],[Rank 2]]</f>
        <v>8</v>
      </c>
      <c r="AC604" s="1" t="str">
        <f>IF(AND(Table13[[#This Row],[Average score]]&gt;75,Table13[[#This Row],[Total rank]]&gt;6.5),"Yes","No")</f>
        <v>Yes</v>
      </c>
      <c r="AD604" s="1" t="str">
        <f>IF(AND(Table13[[#This Row],[Average score]]&gt;80,Table13[[#This Row],[Total rank]]&gt;7.5),"Yes","No")</f>
        <v>Yes</v>
      </c>
      <c r="AF604" s="8">
        <v>46023</v>
      </c>
      <c r="AG604" s="1">
        <v>2</v>
      </c>
      <c r="AH604" s="27">
        <v>480000</v>
      </c>
      <c r="AI604" s="27">
        <v>432000</v>
      </c>
      <c r="AJ604" s="30">
        <v>0</v>
      </c>
      <c r="AK604" s="30">
        <f>Table13[[#This Row],[Year 1]]</f>
        <v>480000</v>
      </c>
      <c r="AL604" s="30">
        <f>Table13[[#This Row],[Year 2]]</f>
        <v>432000</v>
      </c>
      <c r="AM604" s="30">
        <f>Table13[[#This Row],[Year 3]]</f>
        <v>0</v>
      </c>
      <c r="AN604" s="1">
        <v>3</v>
      </c>
    </row>
    <row r="605" spans="1:40" hidden="1" x14ac:dyDescent="0.25">
      <c r="A605" s="1" t="s">
        <v>48</v>
      </c>
      <c r="B605" s="1" t="s">
        <v>2561</v>
      </c>
      <c r="C605" s="1" t="s">
        <v>50</v>
      </c>
      <c r="D605" s="1" t="s">
        <v>3571</v>
      </c>
      <c r="E605" s="1" t="s">
        <v>3572</v>
      </c>
      <c r="F605" s="22" t="s">
        <v>3</v>
      </c>
      <c r="G605" s="1" t="s">
        <v>6085</v>
      </c>
      <c r="H605" s="1" t="s">
        <v>5</v>
      </c>
      <c r="I605" s="1" t="s">
        <v>20</v>
      </c>
      <c r="J605" s="1" t="s">
        <v>27</v>
      </c>
      <c r="K605" s="1" t="s">
        <v>9</v>
      </c>
      <c r="L605" s="1" t="s">
        <v>78</v>
      </c>
      <c r="M605" s="11" t="s">
        <v>188</v>
      </c>
      <c r="N605" s="1" t="s">
        <v>6037</v>
      </c>
      <c r="O605" s="1" t="s">
        <v>16</v>
      </c>
      <c r="P605" s="1" t="s">
        <v>1456</v>
      </c>
      <c r="Q605" s="1" t="s">
        <v>5974</v>
      </c>
      <c r="R605" s="1" t="s">
        <v>5037</v>
      </c>
      <c r="S605" s="1" t="s">
        <v>6109</v>
      </c>
      <c r="T605" s="1" t="s">
        <v>6110</v>
      </c>
      <c r="U605" s="1" t="s">
        <v>6125</v>
      </c>
      <c r="V605" s="1" t="s">
        <v>6202</v>
      </c>
      <c r="W605" s="27">
        <v>67.857142857142861</v>
      </c>
      <c r="X605" s="27">
        <v>60.714285714285708</v>
      </c>
      <c r="Y605" s="33">
        <f>AVERAGE(Table13[[#This Row],[Score 1]],Table13[[#This Row],[Score 2]])</f>
        <v>64.285714285714278</v>
      </c>
      <c r="Z605" s="1">
        <v>2</v>
      </c>
      <c r="AA605" s="1">
        <v>3</v>
      </c>
      <c r="AB605" s="22">
        <f>Table13[[#This Row],[Rank 1]]+Table13[[#This Row],[Rank 2]]</f>
        <v>5</v>
      </c>
      <c r="AC605" s="1" t="str">
        <f>IF(AND(Table13[[#This Row],[Average score]]&gt;75,Table13[[#This Row],[Total rank]]&gt;6.5),"Yes","No")</f>
        <v>No</v>
      </c>
      <c r="AD605" s="1" t="str">
        <f>IF(AND(Table13[[#This Row],[Average score]]&gt;80,Table13[[#This Row],[Total rank]]&gt;7.5),"Yes","No")</f>
        <v>No</v>
      </c>
      <c r="AF605" s="8">
        <v>46062</v>
      </c>
      <c r="AG605" s="1">
        <v>3</v>
      </c>
      <c r="AH605" s="27">
        <v>170000</v>
      </c>
      <c r="AI605" s="27">
        <v>189000</v>
      </c>
      <c r="AJ605" s="27">
        <v>200000</v>
      </c>
      <c r="AK605" s="27">
        <f>Table13[[#This Row],[Year 1]]</f>
        <v>170000</v>
      </c>
      <c r="AL605" s="27">
        <f>Table13[[#This Row],[Year 2]]</f>
        <v>189000</v>
      </c>
      <c r="AM605" s="27">
        <f>Table13[[#This Row],[Year 3]]</f>
        <v>200000</v>
      </c>
      <c r="AN605" s="1">
        <v>3</v>
      </c>
    </row>
    <row r="606" spans="1:40" hidden="1" x14ac:dyDescent="0.25">
      <c r="A606" s="1" t="s">
        <v>48</v>
      </c>
      <c r="B606" s="1" t="s">
        <v>2562</v>
      </c>
      <c r="C606" s="1" t="s">
        <v>50</v>
      </c>
      <c r="D606" s="1" t="s">
        <v>3573</v>
      </c>
      <c r="E606" s="1" t="s">
        <v>3574</v>
      </c>
      <c r="F606" s="22" t="s">
        <v>3</v>
      </c>
      <c r="G606" s="1" t="s">
        <v>6085</v>
      </c>
      <c r="H606" s="1" t="s">
        <v>5</v>
      </c>
      <c r="I606" s="1" t="s">
        <v>21</v>
      </c>
      <c r="J606" s="1" t="s">
        <v>25</v>
      </c>
      <c r="K606" s="1" t="s">
        <v>9</v>
      </c>
      <c r="L606" s="1" t="s">
        <v>78</v>
      </c>
      <c r="M606" s="11" t="s">
        <v>188</v>
      </c>
      <c r="N606" s="1" t="s">
        <v>6037</v>
      </c>
      <c r="O606" s="1" t="s">
        <v>14</v>
      </c>
      <c r="P606" s="1" t="s">
        <v>107</v>
      </c>
      <c r="Q606" s="1" t="s">
        <v>5659</v>
      </c>
      <c r="R606" s="1" t="s">
        <v>5038</v>
      </c>
      <c r="S606" s="1" t="s">
        <v>6141</v>
      </c>
      <c r="T606" s="11" t="s">
        <v>6144</v>
      </c>
      <c r="U606" s="1" t="s">
        <v>6161</v>
      </c>
      <c r="V606" s="1" t="s">
        <v>6165</v>
      </c>
      <c r="W606" s="27">
        <v>67.857142857142861</v>
      </c>
      <c r="X606" s="27">
        <v>67.857142857142861</v>
      </c>
      <c r="Y606" s="33">
        <f>AVERAGE(Table13[[#This Row],[Score 1]],Table13[[#This Row],[Score 2]])</f>
        <v>67.857142857142861</v>
      </c>
      <c r="Z606" s="1">
        <v>3</v>
      </c>
      <c r="AA606" s="1">
        <v>3</v>
      </c>
      <c r="AB606" s="22">
        <f>Table13[[#This Row],[Rank 1]]+Table13[[#This Row],[Rank 2]]</f>
        <v>6</v>
      </c>
      <c r="AC606" s="1" t="str">
        <f>IF(AND(Table13[[#This Row],[Average score]]&gt;75,Table13[[#This Row],[Total rank]]&gt;6.5),"Yes","No")</f>
        <v>No</v>
      </c>
      <c r="AD606" s="1" t="str">
        <f>IF(AND(Table13[[#This Row],[Average score]]&gt;80,Table13[[#This Row],[Total rank]]&gt;7.5),"Yes","No")</f>
        <v>No</v>
      </c>
      <c r="AF606" s="8">
        <v>46062</v>
      </c>
      <c r="AG606" s="1">
        <v>3</v>
      </c>
      <c r="AH606" s="27">
        <v>434000</v>
      </c>
      <c r="AI606" s="27">
        <v>431800</v>
      </c>
      <c r="AJ606" s="27">
        <v>475480</v>
      </c>
      <c r="AK606" s="27">
        <f>Table13[[#This Row],[Year 1]]</f>
        <v>434000</v>
      </c>
      <c r="AL606" s="27">
        <f>Table13[[#This Row],[Year 2]]</f>
        <v>431800</v>
      </c>
      <c r="AM606" s="27">
        <f>Table13[[#This Row],[Year 3]]</f>
        <v>475480</v>
      </c>
      <c r="AN606" s="1">
        <v>4</v>
      </c>
    </row>
    <row r="607" spans="1:40" x14ac:dyDescent="0.25">
      <c r="A607" s="1" t="s">
        <v>48</v>
      </c>
      <c r="B607" s="1" t="s">
        <v>2563</v>
      </c>
      <c r="C607" s="1" t="s">
        <v>50</v>
      </c>
      <c r="D607" s="1" t="s">
        <v>3575</v>
      </c>
      <c r="E607" s="1" t="s">
        <v>3576</v>
      </c>
      <c r="F607" s="22" t="s">
        <v>3</v>
      </c>
      <c r="G607" s="1" t="s">
        <v>6085</v>
      </c>
      <c r="H607" s="1" t="s">
        <v>6</v>
      </c>
      <c r="I607" s="1" t="s">
        <v>24</v>
      </c>
      <c r="J607" s="1" t="s">
        <v>25</v>
      </c>
      <c r="K607" s="1" t="s">
        <v>9</v>
      </c>
      <c r="L607" s="1" t="s">
        <v>78</v>
      </c>
      <c r="M607" s="11" t="s">
        <v>188</v>
      </c>
      <c r="N607" s="1" t="s">
        <v>6037</v>
      </c>
      <c r="O607" s="1" t="s">
        <v>13</v>
      </c>
      <c r="P607" s="1" t="s">
        <v>126</v>
      </c>
      <c r="Q607" s="1" t="s">
        <v>5975</v>
      </c>
      <c r="R607" s="1" t="s">
        <v>4754</v>
      </c>
      <c r="S607" s="1" t="s">
        <v>6064</v>
      </c>
      <c r="T607" s="1" t="s">
        <v>6065</v>
      </c>
      <c r="U607" s="1" t="s">
        <v>6102</v>
      </c>
      <c r="V607" s="1" t="s">
        <v>6197</v>
      </c>
      <c r="W607" s="27">
        <v>92.857142857142861</v>
      </c>
      <c r="X607" s="27">
        <v>92.857142857142861</v>
      </c>
      <c r="Y607" s="33">
        <f>AVERAGE(Table13[[#This Row],[Score 1]],Table13[[#This Row],[Score 2]])</f>
        <v>92.857142857142861</v>
      </c>
      <c r="Z607" s="1">
        <v>5</v>
      </c>
      <c r="AA607" s="1">
        <v>5</v>
      </c>
      <c r="AB607" s="22">
        <f>Table13[[#This Row],[Rank 1]]+Table13[[#This Row],[Rank 2]]</f>
        <v>10</v>
      </c>
      <c r="AC607" s="1" t="str">
        <f>IF(AND(Table13[[#This Row],[Average score]]&gt;75,Table13[[#This Row],[Total rank]]&gt;6.5),"Yes","No")</f>
        <v>Yes</v>
      </c>
      <c r="AD607" s="1" t="str">
        <f>IF(AND(Table13[[#This Row],[Average score]]&gt;80,Table13[[#This Row],[Total rank]]&gt;7.5),"Yes","No")</f>
        <v>Yes</v>
      </c>
      <c r="AE607" s="1" t="s">
        <v>6221</v>
      </c>
      <c r="AF607" s="8">
        <v>45698</v>
      </c>
      <c r="AG607" s="1">
        <v>1</v>
      </c>
      <c r="AH607" s="27">
        <v>253530</v>
      </c>
      <c r="AI607" s="30">
        <v>0</v>
      </c>
      <c r="AJ607" s="30">
        <v>0</v>
      </c>
      <c r="AK607" s="30">
        <v>250000</v>
      </c>
      <c r="AL607" s="30">
        <f>Table13[[#This Row],[Year 2]]</f>
        <v>0</v>
      </c>
      <c r="AM607" s="30">
        <f>Table13[[#This Row],[Year 3]]</f>
        <v>0</v>
      </c>
      <c r="AN607" s="1">
        <v>3</v>
      </c>
    </row>
    <row r="608" spans="1:40" hidden="1" x14ac:dyDescent="0.25">
      <c r="A608" s="1" t="s">
        <v>48</v>
      </c>
      <c r="B608" s="1" t="s">
        <v>2564</v>
      </c>
      <c r="C608" s="1" t="s">
        <v>50</v>
      </c>
      <c r="D608" s="1" t="s">
        <v>3577</v>
      </c>
      <c r="E608" s="1" t="s">
        <v>3578</v>
      </c>
      <c r="F608" s="22" t="s">
        <v>3</v>
      </c>
      <c r="G608" s="1" t="s">
        <v>6085</v>
      </c>
      <c r="H608" s="1" t="s">
        <v>5</v>
      </c>
      <c r="I608" s="1" t="s">
        <v>24</v>
      </c>
      <c r="J608" s="1" t="s">
        <v>26</v>
      </c>
      <c r="K608" s="1" t="s">
        <v>9</v>
      </c>
      <c r="L608" s="1" t="s">
        <v>78</v>
      </c>
      <c r="M608" s="11" t="s">
        <v>188</v>
      </c>
      <c r="N608" s="1" t="s">
        <v>6037</v>
      </c>
      <c r="O608" s="1" t="s">
        <v>13</v>
      </c>
      <c r="P608" s="1" t="s">
        <v>1456</v>
      </c>
      <c r="Q608" s="1" t="s">
        <v>5976</v>
      </c>
      <c r="R608" s="1" t="s">
        <v>5042</v>
      </c>
      <c r="S608" s="1" t="s">
        <v>6079</v>
      </c>
      <c r="T608" s="1" t="s">
        <v>6080</v>
      </c>
      <c r="U608" s="1" t="s">
        <v>6089</v>
      </c>
      <c r="V608" s="1" t="s">
        <v>6172</v>
      </c>
      <c r="W608" s="27">
        <v>75</v>
      </c>
      <c r="X608" s="27">
        <v>89.285714285714292</v>
      </c>
      <c r="Y608" s="33">
        <f>AVERAGE(Table13[[#This Row],[Score 1]],Table13[[#This Row],[Score 2]])</f>
        <v>82.142857142857139</v>
      </c>
      <c r="Z608" s="1">
        <v>2</v>
      </c>
      <c r="AA608" s="1">
        <v>4</v>
      </c>
      <c r="AB608" s="22">
        <f>Table13[[#This Row],[Rank 1]]+Table13[[#This Row],[Rank 2]]</f>
        <v>6</v>
      </c>
      <c r="AC608" s="1" t="str">
        <f>IF(AND(Table13[[#This Row],[Average score]]&gt;75,Table13[[#This Row],[Total rank]]&gt;6.5),"Yes","No")</f>
        <v>No</v>
      </c>
      <c r="AD608" s="1" t="str">
        <f>IF(AND(Table13[[#This Row],[Average score]]&gt;80,Table13[[#This Row],[Total rank]]&gt;7.5),"Yes","No")</f>
        <v>No</v>
      </c>
      <c r="AF608" s="8">
        <v>45690</v>
      </c>
      <c r="AG608" s="1">
        <v>2</v>
      </c>
      <c r="AH608" s="27">
        <v>134900</v>
      </c>
      <c r="AI608" s="27">
        <v>134700</v>
      </c>
      <c r="AJ608" s="30">
        <v>0</v>
      </c>
      <c r="AK608" s="30">
        <f>Table13[[#This Row],[Year 1]]</f>
        <v>134900</v>
      </c>
      <c r="AL608" s="30">
        <f>Table13[[#This Row],[Year 2]]</f>
        <v>134700</v>
      </c>
      <c r="AM608" s="30">
        <f>Table13[[#This Row],[Year 3]]</f>
        <v>0</v>
      </c>
      <c r="AN608" s="1">
        <v>3</v>
      </c>
    </row>
    <row r="609" spans="1:40" hidden="1" x14ac:dyDescent="0.25">
      <c r="A609" s="1" t="s">
        <v>48</v>
      </c>
      <c r="B609" s="1" t="s">
        <v>2565</v>
      </c>
      <c r="C609" s="1" t="s">
        <v>50</v>
      </c>
      <c r="D609" s="1" t="s">
        <v>3579</v>
      </c>
      <c r="E609" s="1" t="s">
        <v>3580</v>
      </c>
      <c r="F609" s="22" t="s">
        <v>3</v>
      </c>
      <c r="G609" s="1" t="s">
        <v>6085</v>
      </c>
      <c r="H609" s="1" t="s">
        <v>6</v>
      </c>
      <c r="I609" s="1" t="s">
        <v>20</v>
      </c>
      <c r="J609" s="1" t="s">
        <v>25</v>
      </c>
      <c r="K609" s="1" t="s">
        <v>9</v>
      </c>
      <c r="L609" s="1" t="s">
        <v>78</v>
      </c>
      <c r="M609" s="11" t="s">
        <v>188</v>
      </c>
      <c r="N609" s="1" t="s">
        <v>6037</v>
      </c>
      <c r="O609" s="1" t="s">
        <v>11</v>
      </c>
      <c r="P609" s="1" t="s">
        <v>5045</v>
      </c>
      <c r="Q609" s="1" t="s">
        <v>5977</v>
      </c>
      <c r="R609" s="1" t="s">
        <v>5046</v>
      </c>
      <c r="S609" s="1" t="s">
        <v>6053</v>
      </c>
      <c r="T609" s="1" t="s">
        <v>6055</v>
      </c>
      <c r="U609" s="1" t="s">
        <v>6105</v>
      </c>
      <c r="V609" s="1" t="s">
        <v>6087</v>
      </c>
      <c r="W609" s="27">
        <v>89.285714285714292</v>
      </c>
      <c r="X609" s="27">
        <v>85.714285714285708</v>
      </c>
      <c r="Y609" s="33">
        <f>AVERAGE(Table13[[#This Row],[Score 1]],Table13[[#This Row],[Score 2]])</f>
        <v>87.5</v>
      </c>
      <c r="Z609" s="1">
        <v>5</v>
      </c>
      <c r="AA609" s="1">
        <v>4</v>
      </c>
      <c r="AB609" s="22">
        <f>Table13[[#This Row],[Rank 1]]+Table13[[#This Row],[Rank 2]]</f>
        <v>9</v>
      </c>
      <c r="AC609" s="1" t="str">
        <f>IF(AND(Table13[[#This Row],[Average score]]&gt;75,Table13[[#This Row],[Total rank]]&gt;6.5),"Yes","No")</f>
        <v>Yes</v>
      </c>
      <c r="AD609" s="1" t="str">
        <f>IF(AND(Table13[[#This Row],[Average score]]&gt;80,Table13[[#This Row],[Total rank]]&gt;7.5),"Yes","No")</f>
        <v>Yes</v>
      </c>
      <c r="AF609" s="8">
        <v>46055</v>
      </c>
      <c r="AG609" s="1">
        <v>1</v>
      </c>
      <c r="AH609" s="27">
        <v>70476</v>
      </c>
      <c r="AI609" s="30">
        <v>0</v>
      </c>
      <c r="AJ609" s="30">
        <v>0</v>
      </c>
      <c r="AK609" s="30">
        <f>Table13[[#This Row],[Year 1]]</f>
        <v>70476</v>
      </c>
      <c r="AL609" s="30">
        <f>Table13[[#This Row],[Year 2]]</f>
        <v>0</v>
      </c>
      <c r="AM609" s="30">
        <f>Table13[[#This Row],[Year 3]]</f>
        <v>0</v>
      </c>
      <c r="AN609" s="1">
        <v>3</v>
      </c>
    </row>
    <row r="610" spans="1:40" hidden="1" x14ac:dyDescent="0.25">
      <c r="A610" s="1" t="s">
        <v>48</v>
      </c>
      <c r="B610" s="1" t="s">
        <v>2566</v>
      </c>
      <c r="C610" s="1" t="s">
        <v>50</v>
      </c>
      <c r="D610" s="1" t="s">
        <v>3581</v>
      </c>
      <c r="E610" s="1" t="s">
        <v>3582</v>
      </c>
      <c r="F610" s="22" t="s">
        <v>3</v>
      </c>
      <c r="G610" s="1" t="s">
        <v>6085</v>
      </c>
      <c r="H610" s="1" t="s">
        <v>5</v>
      </c>
      <c r="I610" s="1" t="s">
        <v>24</v>
      </c>
      <c r="J610" s="1" t="s">
        <v>26</v>
      </c>
      <c r="K610" s="1" t="s">
        <v>9</v>
      </c>
      <c r="L610" s="1" t="s">
        <v>78</v>
      </c>
      <c r="M610" s="11" t="s">
        <v>188</v>
      </c>
      <c r="N610" s="1" t="s">
        <v>6037</v>
      </c>
      <c r="O610" s="1" t="s">
        <v>16</v>
      </c>
      <c r="P610" s="1" t="s">
        <v>1456</v>
      </c>
      <c r="Q610" s="1" t="s">
        <v>5284</v>
      </c>
      <c r="R610" s="1" t="s">
        <v>5048</v>
      </c>
      <c r="S610" s="1" t="s">
        <v>6115</v>
      </c>
      <c r="T610" s="1" t="s">
        <v>6116</v>
      </c>
      <c r="U610" s="1" t="s">
        <v>6130</v>
      </c>
      <c r="V610" s="1" t="s">
        <v>6191</v>
      </c>
      <c r="W610" s="27">
        <v>60.714285714285708</v>
      </c>
      <c r="X610" s="27">
        <v>71.428571428571431</v>
      </c>
      <c r="Y610" s="33">
        <f>AVERAGE(Table13[[#This Row],[Score 1]],Table13[[#This Row],[Score 2]])</f>
        <v>66.071428571428569</v>
      </c>
      <c r="Z610" s="1">
        <v>3</v>
      </c>
      <c r="AA610" s="1">
        <v>3</v>
      </c>
      <c r="AB610" s="22">
        <f>Table13[[#This Row],[Rank 1]]+Table13[[#This Row],[Rank 2]]</f>
        <v>6</v>
      </c>
      <c r="AC610" s="1" t="str">
        <f>IF(AND(Table13[[#This Row],[Average score]]&gt;75,Table13[[#This Row],[Total rank]]&gt;6.5),"Yes","No")</f>
        <v>No</v>
      </c>
      <c r="AD610" s="1" t="str">
        <f>IF(AND(Table13[[#This Row],[Average score]]&gt;80,Table13[[#This Row],[Total rank]]&gt;7.5),"Yes","No")</f>
        <v>No</v>
      </c>
      <c r="AF610" s="8">
        <v>46023</v>
      </c>
      <c r="AG610" s="1">
        <v>3</v>
      </c>
      <c r="AH610" s="27">
        <v>300000</v>
      </c>
      <c r="AI610" s="27">
        <v>300000</v>
      </c>
      <c r="AJ610" s="27">
        <v>315200</v>
      </c>
      <c r="AK610" s="27">
        <f>Table13[[#This Row],[Year 1]]</f>
        <v>300000</v>
      </c>
      <c r="AL610" s="27">
        <f>Table13[[#This Row],[Year 2]]</f>
        <v>300000</v>
      </c>
      <c r="AM610" s="27">
        <f>Table13[[#This Row],[Year 3]]</f>
        <v>315200</v>
      </c>
      <c r="AN610" s="1">
        <v>3</v>
      </c>
    </row>
    <row r="611" spans="1:40" x14ac:dyDescent="0.25">
      <c r="A611" s="1" t="s">
        <v>48</v>
      </c>
      <c r="B611" s="2" t="s">
        <v>2567</v>
      </c>
      <c r="C611" s="1" t="s">
        <v>50</v>
      </c>
      <c r="D611" s="1" t="s">
        <v>3583</v>
      </c>
      <c r="E611" s="1" t="s">
        <v>3584</v>
      </c>
      <c r="F611" s="22" t="s">
        <v>3</v>
      </c>
      <c r="G611" s="1" t="s">
        <v>6085</v>
      </c>
      <c r="H611" s="1" t="s">
        <v>7</v>
      </c>
      <c r="I611" s="1" t="s">
        <v>20</v>
      </c>
      <c r="J611" s="1" t="s">
        <v>26</v>
      </c>
      <c r="K611" s="1" t="s">
        <v>9</v>
      </c>
      <c r="L611" s="1" t="s">
        <v>78</v>
      </c>
      <c r="M611" s="11" t="s">
        <v>188</v>
      </c>
      <c r="N611" s="1" t="s">
        <v>6037</v>
      </c>
      <c r="O611" s="1" t="s">
        <v>13</v>
      </c>
      <c r="P611" s="1" t="s">
        <v>5050</v>
      </c>
      <c r="Q611" s="1" t="s">
        <v>5978</v>
      </c>
      <c r="R611" s="1" t="s">
        <v>5051</v>
      </c>
      <c r="S611" s="1" t="s">
        <v>6066</v>
      </c>
      <c r="T611" s="1" t="s">
        <v>6067</v>
      </c>
      <c r="U611" s="1" t="s">
        <v>6103</v>
      </c>
      <c r="V611" s="1" t="s">
        <v>6198</v>
      </c>
      <c r="W611" s="27">
        <v>91.666666666666657</v>
      </c>
      <c r="X611" s="29">
        <f>Table13[[#This Row],[Score 1]]</f>
        <v>91.666666666666657</v>
      </c>
      <c r="Y611" s="33">
        <f>AVERAGE(Table13[[#This Row],[Score 1]],Table13[[#This Row],[Score 2]])</f>
        <v>91.666666666666657</v>
      </c>
      <c r="Z611" s="1">
        <v>5</v>
      </c>
      <c r="AA611" s="2">
        <f>Table13[[#This Row],[Rank 1]]</f>
        <v>5</v>
      </c>
      <c r="AB611" s="22">
        <f>Table13[[#This Row],[Rank 1]]+Table13[[#This Row],[Rank 2]]</f>
        <v>10</v>
      </c>
      <c r="AC611" s="1" t="str">
        <f>IF(AND(Table13[[#This Row],[Average score]]&gt;75,Table13[[#This Row],[Total rank]]&gt;6.5),"Yes","No")</f>
        <v>Yes</v>
      </c>
      <c r="AD611" s="1" t="str">
        <f>IF(AND(Table13[[#This Row],[Average score]]&gt;80,Table13[[#This Row],[Total rank]]&gt;7.5),"Yes","No")</f>
        <v>Yes</v>
      </c>
      <c r="AE611" s="1" t="s">
        <v>6221</v>
      </c>
      <c r="AF611" s="8">
        <v>46027</v>
      </c>
      <c r="AG611" s="1">
        <v>2</v>
      </c>
      <c r="AH611" s="27">
        <v>380000</v>
      </c>
      <c r="AI611" s="27">
        <v>380000</v>
      </c>
      <c r="AJ611" s="30">
        <v>0</v>
      </c>
      <c r="AK611" s="30">
        <f>Table13[[#This Row],[Year 1]]</f>
        <v>380000</v>
      </c>
      <c r="AL611" s="30">
        <f>Table13[[#This Row],[Year 2]]</f>
        <v>380000</v>
      </c>
      <c r="AM611" s="30">
        <f>Table13[[#This Row],[Year 3]]</f>
        <v>0</v>
      </c>
      <c r="AN611" s="1">
        <v>3</v>
      </c>
    </row>
    <row r="612" spans="1:40" hidden="1" x14ac:dyDescent="0.25">
      <c r="A612" s="1" t="s">
        <v>48</v>
      </c>
      <c r="B612" s="10" t="s">
        <v>2568</v>
      </c>
      <c r="C612" s="1" t="s">
        <v>50</v>
      </c>
      <c r="D612" s="1" t="s">
        <v>3585</v>
      </c>
      <c r="E612" s="1" t="s">
        <v>3586</v>
      </c>
      <c r="F612" s="22" t="s">
        <v>3</v>
      </c>
      <c r="G612" s="1" t="s">
        <v>6085</v>
      </c>
      <c r="H612" s="1" t="s">
        <v>6</v>
      </c>
      <c r="I612" s="1" t="s">
        <v>20</v>
      </c>
      <c r="J612" s="1" t="s">
        <v>25</v>
      </c>
      <c r="K612" s="1" t="s">
        <v>9</v>
      </c>
      <c r="L612" s="1" t="s">
        <v>78</v>
      </c>
      <c r="M612" s="11" t="s">
        <v>188</v>
      </c>
      <c r="N612" s="1" t="s">
        <v>6037</v>
      </c>
      <c r="O612" s="1" t="s">
        <v>13</v>
      </c>
      <c r="P612" s="1" t="s">
        <v>126</v>
      </c>
      <c r="Q612" s="1" t="s">
        <v>5979</v>
      </c>
      <c r="R612" s="1" t="s">
        <v>5052</v>
      </c>
      <c r="S612" s="1" t="s">
        <v>6079</v>
      </c>
      <c r="T612" s="1" t="s">
        <v>6080</v>
      </c>
      <c r="U612" s="1" t="s">
        <v>6089</v>
      </c>
      <c r="V612" s="1" t="s">
        <v>6172</v>
      </c>
      <c r="W612" s="27">
        <v>71.428571428571431</v>
      </c>
      <c r="X612" s="27">
        <v>78.571428571428569</v>
      </c>
      <c r="Y612" s="33">
        <f>AVERAGE(Table13[[#This Row],[Score 1]],Table13[[#This Row],[Score 2]])</f>
        <v>75</v>
      </c>
      <c r="Z612" s="1">
        <v>2</v>
      </c>
      <c r="AA612" s="1">
        <v>3</v>
      </c>
      <c r="AB612" s="22">
        <f>Table13[[#This Row],[Rank 1]]+Table13[[#This Row],[Rank 2]]</f>
        <v>5</v>
      </c>
      <c r="AC612" s="1" t="str">
        <f>IF(AND(Table13[[#This Row],[Average score]]&gt;75,Table13[[#This Row],[Total rank]]&gt;6.5),"Yes","No")</f>
        <v>No</v>
      </c>
      <c r="AD612" s="1" t="str">
        <f>IF(AND(Table13[[#This Row],[Average score]]&gt;80,Table13[[#This Row],[Total rank]]&gt;7.5),"Yes","No")</f>
        <v>No</v>
      </c>
      <c r="AF612" s="8">
        <v>46027</v>
      </c>
      <c r="AG612" s="1">
        <v>2</v>
      </c>
      <c r="AH612" s="27">
        <v>218630</v>
      </c>
      <c r="AI612" s="27">
        <v>208630</v>
      </c>
      <c r="AJ612" s="30">
        <v>0</v>
      </c>
      <c r="AK612" s="30">
        <f>Table13[[#This Row],[Year 1]]</f>
        <v>218630</v>
      </c>
      <c r="AL612" s="30">
        <f>Table13[[#This Row],[Year 2]]</f>
        <v>208630</v>
      </c>
      <c r="AM612" s="30">
        <f>Table13[[#This Row],[Year 3]]</f>
        <v>0</v>
      </c>
      <c r="AN612" s="1">
        <v>3</v>
      </c>
    </row>
    <row r="613" spans="1:40" hidden="1" x14ac:dyDescent="0.25">
      <c r="A613" s="1" t="s">
        <v>48</v>
      </c>
      <c r="B613" s="10" t="s">
        <v>2569</v>
      </c>
      <c r="C613" s="1" t="s">
        <v>50</v>
      </c>
      <c r="D613" s="1" t="s">
        <v>3587</v>
      </c>
      <c r="E613" s="1" t="s">
        <v>3588</v>
      </c>
      <c r="F613" s="22" t="s">
        <v>3</v>
      </c>
      <c r="G613" s="1" t="s">
        <v>6085</v>
      </c>
      <c r="H613" s="1" t="s">
        <v>5</v>
      </c>
      <c r="I613" s="1" t="s">
        <v>22</v>
      </c>
      <c r="J613" s="1" t="s">
        <v>25</v>
      </c>
      <c r="K613" s="1" t="s">
        <v>8</v>
      </c>
      <c r="L613" s="1" t="s">
        <v>78</v>
      </c>
      <c r="M613" s="11" t="s">
        <v>2089</v>
      </c>
      <c r="N613" s="1" t="s">
        <v>6037</v>
      </c>
      <c r="O613" s="1" t="s">
        <v>13</v>
      </c>
      <c r="P613" s="1" t="s">
        <v>5055</v>
      </c>
      <c r="Q613" s="1" t="s">
        <v>5380</v>
      </c>
      <c r="R613" s="1" t="s">
        <v>5056</v>
      </c>
      <c r="S613" s="1" t="s">
        <v>6079</v>
      </c>
      <c r="T613" s="1" t="s">
        <v>6080</v>
      </c>
      <c r="U613" s="1" t="s">
        <v>6089</v>
      </c>
      <c r="V613" s="1" t="s">
        <v>6172</v>
      </c>
      <c r="W613" s="27">
        <v>100</v>
      </c>
      <c r="X613" s="27">
        <v>90.625</v>
      </c>
      <c r="Y613" s="33">
        <f>AVERAGE(Table13[[#This Row],[Score 1]],Table13[[#This Row],[Score 2]])</f>
        <v>95.3125</v>
      </c>
      <c r="Z613" s="1">
        <v>4</v>
      </c>
      <c r="AA613" s="1">
        <v>4</v>
      </c>
      <c r="AB613" s="22">
        <f>Table13[[#This Row],[Rank 1]]+Table13[[#This Row],[Rank 2]]</f>
        <v>8</v>
      </c>
      <c r="AC613" s="1" t="str">
        <f>IF(AND(Table13[[#This Row],[Average score]]&gt;75,Table13[[#This Row],[Total rank]]&gt;6.5),"Yes","No")</f>
        <v>Yes</v>
      </c>
      <c r="AD613" s="1" t="str">
        <f>IF(AND(Table13[[#This Row],[Average score]]&gt;80,Table13[[#This Row],[Total rank]]&gt;7.5),"Yes","No")</f>
        <v>Yes</v>
      </c>
      <c r="AF613" s="8">
        <v>46174</v>
      </c>
      <c r="AG613" s="1">
        <v>2</v>
      </c>
      <c r="AH613" s="27">
        <v>830212.5</v>
      </c>
      <c r="AI613" s="27">
        <v>59150</v>
      </c>
      <c r="AJ613" s="30">
        <v>0</v>
      </c>
      <c r="AK613" s="27">
        <v>750000</v>
      </c>
      <c r="AL613" s="30">
        <f>Table13[[#This Row],[Year 2]]</f>
        <v>59150</v>
      </c>
      <c r="AM613" s="30">
        <f>Table13[[#This Row],[Year 3]]</f>
        <v>0</v>
      </c>
      <c r="AN613" s="1">
        <v>2</v>
      </c>
    </row>
    <row r="614" spans="1:40" hidden="1" x14ac:dyDescent="0.25">
      <c r="A614" s="1" t="s">
        <v>48</v>
      </c>
      <c r="B614" s="1" t="s">
        <v>2570</v>
      </c>
      <c r="C614" s="1" t="s">
        <v>50</v>
      </c>
      <c r="D614" s="1" t="s">
        <v>3589</v>
      </c>
      <c r="E614" s="1" t="s">
        <v>3590</v>
      </c>
      <c r="F614" s="22" t="s">
        <v>3</v>
      </c>
      <c r="G614" s="1" t="s">
        <v>6085</v>
      </c>
      <c r="H614" s="1" t="s">
        <v>7</v>
      </c>
      <c r="I614" s="1" t="s">
        <v>20</v>
      </c>
      <c r="J614" s="1" t="s">
        <v>26</v>
      </c>
      <c r="K614" s="1" t="s">
        <v>9</v>
      </c>
      <c r="L614" s="1" t="s">
        <v>78</v>
      </c>
      <c r="M614" s="11" t="s">
        <v>188</v>
      </c>
      <c r="N614" s="1" t="s">
        <v>6037</v>
      </c>
      <c r="O614" s="1" t="s">
        <v>12</v>
      </c>
      <c r="P614" s="1" t="s">
        <v>593</v>
      </c>
      <c r="Q614" s="1" t="s">
        <v>5546</v>
      </c>
      <c r="R614" s="1" t="s">
        <v>5059</v>
      </c>
      <c r="S614" s="1" t="s">
        <v>6155</v>
      </c>
      <c r="T614" s="1" t="s">
        <v>6154</v>
      </c>
      <c r="U614" s="1" t="s">
        <v>6164</v>
      </c>
      <c r="V614" s="1" t="s">
        <v>6167</v>
      </c>
      <c r="W614" s="27">
        <v>77.777777777777786</v>
      </c>
      <c r="X614" s="27">
        <v>77.777777777777786</v>
      </c>
      <c r="Y614" s="33">
        <f>AVERAGE(Table13[[#This Row],[Score 1]],Table13[[#This Row],[Score 2]])</f>
        <v>77.777777777777786</v>
      </c>
      <c r="Z614" s="1">
        <v>2</v>
      </c>
      <c r="AA614" s="1">
        <v>3</v>
      </c>
      <c r="AB614" s="22">
        <f>Table13[[#This Row],[Rank 1]]+Table13[[#This Row],[Rank 2]]</f>
        <v>5</v>
      </c>
      <c r="AC614" s="1" t="str">
        <f>IF(AND(Table13[[#This Row],[Average score]]&gt;75,Table13[[#This Row],[Total rank]]&gt;6.5),"Yes","No")</f>
        <v>No</v>
      </c>
      <c r="AD614" s="1" t="str">
        <f>IF(AND(Table13[[#This Row],[Average score]]&gt;80,Table13[[#This Row],[Total rank]]&gt;7.5),"Yes","No")</f>
        <v>No</v>
      </c>
      <c r="AF614" s="8">
        <v>46023</v>
      </c>
      <c r="AG614" s="1">
        <v>2</v>
      </c>
      <c r="AH614" s="27">
        <v>440000</v>
      </c>
      <c r="AI614" s="27">
        <v>460000</v>
      </c>
      <c r="AJ614" s="30">
        <v>0</v>
      </c>
      <c r="AK614" s="30">
        <f>Table13[[#This Row],[Year 1]]</f>
        <v>440000</v>
      </c>
      <c r="AL614" s="30">
        <f>Table13[[#This Row],[Year 2]]</f>
        <v>460000</v>
      </c>
      <c r="AM614" s="30">
        <f>Table13[[#This Row],[Year 3]]</f>
        <v>0</v>
      </c>
      <c r="AN614" s="1">
        <v>3</v>
      </c>
    </row>
    <row r="615" spans="1:40" x14ac:dyDescent="0.25">
      <c r="A615" s="1" t="s">
        <v>48</v>
      </c>
      <c r="B615" s="1" t="s">
        <v>2571</v>
      </c>
      <c r="C615" s="1" t="s">
        <v>50</v>
      </c>
      <c r="D615" s="1" t="s">
        <v>3591</v>
      </c>
      <c r="E615" s="1" t="s">
        <v>3592</v>
      </c>
      <c r="F615" s="22" t="s">
        <v>3</v>
      </c>
      <c r="G615" s="1" t="s">
        <v>6085</v>
      </c>
      <c r="H615" s="1" t="s">
        <v>1383</v>
      </c>
      <c r="I615" s="1" t="s">
        <v>20</v>
      </c>
      <c r="J615" s="1" t="s">
        <v>25</v>
      </c>
      <c r="K615" s="1" t="s">
        <v>8</v>
      </c>
      <c r="L615" s="1" t="s">
        <v>78</v>
      </c>
      <c r="M615" s="1" t="s">
        <v>6040</v>
      </c>
      <c r="N615" s="1" t="s">
        <v>6037</v>
      </c>
      <c r="O615" s="1" t="s">
        <v>13</v>
      </c>
      <c r="P615" s="1" t="s">
        <v>5060</v>
      </c>
      <c r="Q615" s="1" t="s">
        <v>5980</v>
      </c>
      <c r="R615" s="1" t="s">
        <v>5061</v>
      </c>
      <c r="S615" s="1" t="s">
        <v>6064</v>
      </c>
      <c r="T615" s="1" t="s">
        <v>6065</v>
      </c>
      <c r="U615" s="1" t="s">
        <v>6102</v>
      </c>
      <c r="V615" s="1" t="s">
        <v>6197</v>
      </c>
      <c r="W615" s="27">
        <v>87.5</v>
      </c>
      <c r="X615" s="27">
        <v>77.5</v>
      </c>
      <c r="Y615" s="33">
        <f>AVERAGE(Table13[[#This Row],[Score 1]],Table13[[#This Row],[Score 2]])</f>
        <v>82.5</v>
      </c>
      <c r="Z615" s="1">
        <v>5</v>
      </c>
      <c r="AA615" s="1">
        <v>5</v>
      </c>
      <c r="AB615" s="22">
        <f>Table13[[#This Row],[Rank 1]]+Table13[[#This Row],[Rank 2]]</f>
        <v>10</v>
      </c>
      <c r="AC615" s="1" t="str">
        <f>IF(AND(Table13[[#This Row],[Average score]]&gt;75,Table13[[#This Row],[Total rank]]&gt;6.5),"Yes","No")</f>
        <v>Yes</v>
      </c>
      <c r="AD615" s="1" t="str">
        <f>IF(AND(Table13[[#This Row],[Average score]]&gt;80,Table13[[#This Row],[Total rank]]&gt;7.5),"Yes","No")</f>
        <v>Yes</v>
      </c>
      <c r="AE615" s="1" t="s">
        <v>6221</v>
      </c>
      <c r="AF615" s="8">
        <v>46023</v>
      </c>
      <c r="AG615" s="1">
        <v>1</v>
      </c>
      <c r="AH615" s="27">
        <v>2306113.14</v>
      </c>
      <c r="AI615" s="30">
        <v>0</v>
      </c>
      <c r="AJ615" s="30">
        <v>0</v>
      </c>
      <c r="AK615" s="29">
        <v>750000</v>
      </c>
      <c r="AL615" s="30">
        <f>Table13[[#This Row],[Year 2]]</f>
        <v>0</v>
      </c>
      <c r="AM615" s="30">
        <f>Table13[[#This Row],[Year 3]]</f>
        <v>0</v>
      </c>
      <c r="AN615" s="1">
        <v>3</v>
      </c>
    </row>
    <row r="616" spans="1:40" hidden="1" x14ac:dyDescent="0.25">
      <c r="A616" s="1" t="s">
        <v>48</v>
      </c>
      <c r="B616" s="1" t="s">
        <v>2572</v>
      </c>
      <c r="C616" s="1" t="s">
        <v>50</v>
      </c>
      <c r="D616" s="1" t="s">
        <v>3593</v>
      </c>
      <c r="E616" s="1" t="s">
        <v>3594</v>
      </c>
      <c r="F616" s="22" t="s">
        <v>3</v>
      </c>
      <c r="G616" s="1" t="s">
        <v>6085</v>
      </c>
      <c r="H616" s="1" t="s">
        <v>6</v>
      </c>
      <c r="I616" s="1" t="s">
        <v>20</v>
      </c>
      <c r="J616" s="1" t="s">
        <v>26</v>
      </c>
      <c r="K616" s="1" t="s">
        <v>9</v>
      </c>
      <c r="L616" s="1" t="s">
        <v>78</v>
      </c>
      <c r="M616" s="11" t="s">
        <v>188</v>
      </c>
      <c r="N616" s="1" t="s">
        <v>6037</v>
      </c>
      <c r="O616" s="1" t="s">
        <v>13</v>
      </c>
      <c r="P616" s="1" t="s">
        <v>247</v>
      </c>
      <c r="Q616" s="1" t="s">
        <v>5981</v>
      </c>
      <c r="R616" s="1" t="s">
        <v>5063</v>
      </c>
      <c r="S616" s="1" t="s">
        <v>6081</v>
      </c>
      <c r="T616" s="1" t="s">
        <v>6082</v>
      </c>
      <c r="U616" s="1" t="s">
        <v>6097</v>
      </c>
      <c r="V616" s="1" t="s">
        <v>6188</v>
      </c>
      <c r="W616" s="27">
        <v>64.285714285714292</v>
      </c>
      <c r="X616" s="27">
        <v>71.428571428571431</v>
      </c>
      <c r="Y616" s="33">
        <f>AVERAGE(Table13[[#This Row],[Score 1]],Table13[[#This Row],[Score 2]])</f>
        <v>67.857142857142861</v>
      </c>
      <c r="Z616" s="1">
        <v>2</v>
      </c>
      <c r="AA616" s="1">
        <v>4</v>
      </c>
      <c r="AB616" s="22">
        <f>Table13[[#This Row],[Rank 1]]+Table13[[#This Row],[Rank 2]]</f>
        <v>6</v>
      </c>
      <c r="AC616" s="1" t="str">
        <f>IF(AND(Table13[[#This Row],[Average score]]&gt;75,Table13[[#This Row],[Total rank]]&gt;6.5),"Yes","No")</f>
        <v>No</v>
      </c>
      <c r="AD616" s="1" t="str">
        <f>IF(AND(Table13[[#This Row],[Average score]]&gt;80,Table13[[#This Row],[Total rank]]&gt;7.5),"Yes","No")</f>
        <v>No</v>
      </c>
      <c r="AF616" s="8">
        <v>46023</v>
      </c>
      <c r="AG616" s="1">
        <v>1</v>
      </c>
      <c r="AH616" s="27">
        <v>61659.49</v>
      </c>
      <c r="AI616" s="30">
        <v>0</v>
      </c>
      <c r="AJ616" s="30">
        <v>0</v>
      </c>
      <c r="AK616" s="30">
        <f>Table13[[#This Row],[Year 1]]</f>
        <v>61659.49</v>
      </c>
      <c r="AL616" s="30">
        <f>Table13[[#This Row],[Year 2]]</f>
        <v>0</v>
      </c>
      <c r="AM616" s="30">
        <f>Table13[[#This Row],[Year 3]]</f>
        <v>0</v>
      </c>
      <c r="AN616" s="1">
        <v>4</v>
      </c>
    </row>
    <row r="617" spans="1:40" hidden="1" x14ac:dyDescent="0.25">
      <c r="A617" s="1" t="s">
        <v>48</v>
      </c>
      <c r="B617" s="1" t="s">
        <v>2573</v>
      </c>
      <c r="C617" s="1" t="s">
        <v>50</v>
      </c>
      <c r="D617" s="1" t="s">
        <v>3595</v>
      </c>
      <c r="E617" s="1" t="s">
        <v>3596</v>
      </c>
      <c r="F617" s="22" t="s">
        <v>3</v>
      </c>
      <c r="G617" s="1" t="s">
        <v>6085</v>
      </c>
      <c r="H617" s="1" t="s">
        <v>6</v>
      </c>
      <c r="I617" s="1" t="s">
        <v>20</v>
      </c>
      <c r="J617" s="1" t="s">
        <v>25</v>
      </c>
      <c r="K617" s="1" t="s">
        <v>9</v>
      </c>
      <c r="L617" s="1" t="s">
        <v>78</v>
      </c>
      <c r="M617" s="11" t="s">
        <v>188</v>
      </c>
      <c r="N617" s="1" t="s">
        <v>6037</v>
      </c>
      <c r="O617" s="1" t="s">
        <v>14</v>
      </c>
      <c r="P617" s="1" t="s">
        <v>247</v>
      </c>
      <c r="Q617" s="18" t="s">
        <v>5982</v>
      </c>
      <c r="R617" s="1" t="s">
        <v>5065</v>
      </c>
      <c r="S617" s="1" t="s">
        <v>6133</v>
      </c>
      <c r="T617" s="1" t="s">
        <v>6134</v>
      </c>
      <c r="U617" s="1" t="s">
        <v>6094</v>
      </c>
      <c r="V617" s="1" t="s">
        <v>6184</v>
      </c>
      <c r="W617" s="27">
        <v>50</v>
      </c>
      <c r="X617" s="27">
        <v>64.285714285714292</v>
      </c>
      <c r="Y617" s="33">
        <f>AVERAGE(Table13[[#This Row],[Score 1]],Table13[[#This Row],[Score 2]])</f>
        <v>57.142857142857146</v>
      </c>
      <c r="Z617" s="1">
        <v>2</v>
      </c>
      <c r="AA617" s="1">
        <v>2</v>
      </c>
      <c r="AB617" s="22">
        <f>Table13[[#This Row],[Rank 1]]+Table13[[#This Row],[Rank 2]]</f>
        <v>4</v>
      </c>
      <c r="AC617" s="1" t="str">
        <f>IF(AND(Table13[[#This Row],[Average score]]&gt;75,Table13[[#This Row],[Total rank]]&gt;6.5),"Yes","No")</f>
        <v>No</v>
      </c>
      <c r="AD617" s="1" t="str">
        <f>IF(AND(Table13[[#This Row],[Average score]]&gt;80,Table13[[#This Row],[Total rank]]&gt;7.5),"Yes","No")</f>
        <v>No</v>
      </c>
      <c r="AF617" s="8">
        <v>46041</v>
      </c>
      <c r="AG617" s="1">
        <v>1</v>
      </c>
      <c r="AH617" s="27">
        <v>150000</v>
      </c>
      <c r="AI617" s="30">
        <v>0</v>
      </c>
      <c r="AJ617" s="30">
        <v>0</v>
      </c>
      <c r="AK617" s="30">
        <f>Table13[[#This Row],[Year 1]]</f>
        <v>150000</v>
      </c>
      <c r="AL617" s="30">
        <f>Table13[[#This Row],[Year 2]]</f>
        <v>0</v>
      </c>
      <c r="AM617" s="30">
        <f>Table13[[#This Row],[Year 3]]</f>
        <v>0</v>
      </c>
      <c r="AN617" s="1">
        <v>3</v>
      </c>
    </row>
    <row r="618" spans="1:40" hidden="1" x14ac:dyDescent="0.25">
      <c r="A618" s="1" t="s">
        <v>48</v>
      </c>
      <c r="B618" s="1" t="s">
        <v>2575</v>
      </c>
      <c r="C618" s="1" t="s">
        <v>50</v>
      </c>
      <c r="D618" s="1" t="s">
        <v>3599</v>
      </c>
      <c r="E618" s="1" t="s">
        <v>3600</v>
      </c>
      <c r="F618" s="22" t="s">
        <v>3</v>
      </c>
      <c r="G618" s="1" t="s">
        <v>6085</v>
      </c>
      <c r="H618" s="1" t="s">
        <v>5</v>
      </c>
      <c r="I618" s="1" t="s">
        <v>20</v>
      </c>
      <c r="J618" s="1" t="s">
        <v>26</v>
      </c>
      <c r="K618" s="1" t="s">
        <v>9</v>
      </c>
      <c r="L618" s="1" t="s">
        <v>78</v>
      </c>
      <c r="M618" s="11" t="s">
        <v>188</v>
      </c>
      <c r="N618" s="1" t="s">
        <v>6037</v>
      </c>
      <c r="O618" s="1" t="s">
        <v>15</v>
      </c>
      <c r="P618" s="1" t="s">
        <v>126</v>
      </c>
      <c r="Q618" s="1" t="s">
        <v>5984</v>
      </c>
      <c r="R618" s="1" t="s">
        <v>5067</v>
      </c>
      <c r="S618" s="1" t="s">
        <v>6057</v>
      </c>
      <c r="T618" s="1" t="s">
        <v>6058</v>
      </c>
      <c r="U618" s="1" t="s">
        <v>6095</v>
      </c>
      <c r="V618" s="1" t="s">
        <v>6186</v>
      </c>
      <c r="W618" s="27">
        <v>71.428571428571431</v>
      </c>
      <c r="X618" s="27">
        <v>67.857142857142861</v>
      </c>
      <c r="Y618" s="33">
        <f>AVERAGE(Table13[[#This Row],[Score 1]],Table13[[#This Row],[Score 2]])</f>
        <v>69.642857142857139</v>
      </c>
      <c r="Z618" s="1">
        <v>3</v>
      </c>
      <c r="AA618" s="1">
        <v>2</v>
      </c>
      <c r="AB618" s="22">
        <f>Table13[[#This Row],[Rank 1]]+Table13[[#This Row],[Rank 2]]</f>
        <v>5</v>
      </c>
      <c r="AC618" s="1" t="str">
        <f>IF(AND(Table13[[#This Row],[Average score]]&gt;75,Table13[[#This Row],[Total rank]]&gt;6.5),"Yes","No")</f>
        <v>No</v>
      </c>
      <c r="AD618" s="1" t="str">
        <f>IF(AND(Table13[[#This Row],[Average score]]&gt;80,Table13[[#This Row],[Total rank]]&gt;7.5),"Yes","No")</f>
        <v>No</v>
      </c>
      <c r="AF618" s="8">
        <v>46023</v>
      </c>
      <c r="AG618" s="1">
        <v>3</v>
      </c>
      <c r="AH618" s="27">
        <v>315000</v>
      </c>
      <c r="AI618" s="27">
        <v>315000</v>
      </c>
      <c r="AJ618" s="27">
        <v>315000</v>
      </c>
      <c r="AK618" s="27">
        <f>Table13[[#This Row],[Year 1]]</f>
        <v>315000</v>
      </c>
      <c r="AL618" s="27">
        <f>Table13[[#This Row],[Year 2]]</f>
        <v>315000</v>
      </c>
      <c r="AM618" s="27">
        <f>Table13[[#This Row],[Year 3]]</f>
        <v>315000</v>
      </c>
      <c r="AN618" s="1">
        <v>2</v>
      </c>
    </row>
    <row r="619" spans="1:40" x14ac:dyDescent="0.25">
      <c r="A619" s="1" t="s">
        <v>48</v>
      </c>
      <c r="B619" s="1" t="s">
        <v>2576</v>
      </c>
      <c r="C619" s="1" t="s">
        <v>50</v>
      </c>
      <c r="D619" s="1" t="s">
        <v>3601</v>
      </c>
      <c r="E619" s="1" t="s">
        <v>3602</v>
      </c>
      <c r="F619" s="22" t="s">
        <v>3</v>
      </c>
      <c r="G619" s="1" t="s">
        <v>6085</v>
      </c>
      <c r="H619" s="1" t="s">
        <v>5</v>
      </c>
      <c r="I619" s="1" t="s">
        <v>21</v>
      </c>
      <c r="J619" s="1" t="s">
        <v>26</v>
      </c>
      <c r="K619" s="1" t="s">
        <v>9</v>
      </c>
      <c r="L619" s="1" t="s">
        <v>78</v>
      </c>
      <c r="M619" s="11" t="s">
        <v>188</v>
      </c>
      <c r="N619" s="1" t="s">
        <v>6037</v>
      </c>
      <c r="O619" s="1" t="s">
        <v>19</v>
      </c>
      <c r="P619" s="1" t="s">
        <v>5068</v>
      </c>
      <c r="Q619" s="1" t="s">
        <v>5985</v>
      </c>
      <c r="R619" s="1" t="s">
        <v>5069</v>
      </c>
      <c r="S619" s="1" t="s">
        <v>6137</v>
      </c>
      <c r="T619" s="1" t="s">
        <v>6138</v>
      </c>
      <c r="U619" s="1" t="s">
        <v>6160</v>
      </c>
      <c r="V619" s="1" t="s">
        <v>6203</v>
      </c>
      <c r="W619" s="27">
        <v>100</v>
      </c>
      <c r="X619" s="27">
        <v>89.285714285714292</v>
      </c>
      <c r="Y619" s="33">
        <f>AVERAGE(Table13[[#This Row],[Score 1]],Table13[[#This Row],[Score 2]])</f>
        <v>94.642857142857139</v>
      </c>
      <c r="Z619" s="1">
        <v>5</v>
      </c>
      <c r="AA619" s="1">
        <v>5</v>
      </c>
      <c r="AB619" s="22">
        <f>Table13[[#This Row],[Rank 1]]+Table13[[#This Row],[Rank 2]]</f>
        <v>10</v>
      </c>
      <c r="AC619" s="1" t="str">
        <f>IF(AND(Table13[[#This Row],[Average score]]&gt;75,Table13[[#This Row],[Total rank]]&gt;6.5),"Yes","No")</f>
        <v>Yes</v>
      </c>
      <c r="AD619" s="1" t="str">
        <f>IF(AND(Table13[[#This Row],[Average score]]&gt;80,Table13[[#This Row],[Total rank]]&gt;7.5),"Yes","No")</f>
        <v>Yes</v>
      </c>
      <c r="AE619" s="1" t="s">
        <v>6221</v>
      </c>
      <c r="AF619" s="8">
        <v>46054</v>
      </c>
      <c r="AG619" s="1">
        <v>3</v>
      </c>
      <c r="AH619" s="27">
        <v>79045</v>
      </c>
      <c r="AI619" s="27">
        <v>160845</v>
      </c>
      <c r="AJ619" s="27">
        <v>105145</v>
      </c>
      <c r="AK619" s="27">
        <v>80000</v>
      </c>
      <c r="AL619" s="27">
        <v>161000</v>
      </c>
      <c r="AM619" s="27">
        <v>106000</v>
      </c>
      <c r="AN619" s="1">
        <v>3</v>
      </c>
    </row>
    <row r="620" spans="1:40" hidden="1" x14ac:dyDescent="0.25">
      <c r="A620" s="1" t="s">
        <v>48</v>
      </c>
      <c r="B620" s="1" t="s">
        <v>2578</v>
      </c>
      <c r="C620" s="1" t="s">
        <v>50</v>
      </c>
      <c r="D620" s="1" t="s">
        <v>3605</v>
      </c>
      <c r="E620" s="1" t="s">
        <v>3606</v>
      </c>
      <c r="F620" s="22" t="s">
        <v>3</v>
      </c>
      <c r="G620" s="1" t="s">
        <v>6085</v>
      </c>
      <c r="H620" s="1" t="s">
        <v>5</v>
      </c>
      <c r="I620" s="1" t="s">
        <v>20</v>
      </c>
      <c r="J620" s="1" t="s">
        <v>25</v>
      </c>
      <c r="K620" s="1" t="s">
        <v>9</v>
      </c>
      <c r="L620" s="1" t="s">
        <v>78</v>
      </c>
      <c r="M620" s="11" t="s">
        <v>188</v>
      </c>
      <c r="N620" s="1" t="s">
        <v>6037</v>
      </c>
      <c r="O620" s="1" t="s">
        <v>16</v>
      </c>
      <c r="P620" s="1" t="s">
        <v>60</v>
      </c>
      <c r="Q620" s="1" t="s">
        <v>4016</v>
      </c>
      <c r="R620" s="1" t="s">
        <v>5076</v>
      </c>
      <c r="S620" s="1" t="s">
        <v>6109</v>
      </c>
      <c r="T620" s="1" t="s">
        <v>6110</v>
      </c>
      <c r="U620" s="1" t="s">
        <v>6125</v>
      </c>
      <c r="V620" s="1" t="s">
        <v>6202</v>
      </c>
      <c r="W620" s="27">
        <v>71.428571428571431</v>
      </c>
      <c r="X620" s="27">
        <v>78.571428571428569</v>
      </c>
      <c r="Y620" s="33">
        <f>AVERAGE(Table13[[#This Row],[Score 1]],Table13[[#This Row],[Score 2]])</f>
        <v>75</v>
      </c>
      <c r="Z620" s="1">
        <v>3</v>
      </c>
      <c r="AA620" s="1">
        <v>4</v>
      </c>
      <c r="AB620" s="22">
        <f>Table13[[#This Row],[Rank 1]]+Table13[[#This Row],[Rank 2]]</f>
        <v>7</v>
      </c>
      <c r="AC620" s="1" t="str">
        <f>IF(AND(Table13[[#This Row],[Average score]]&gt;75,Table13[[#This Row],[Total rank]]&gt;6.5),"Yes","No")</f>
        <v>No</v>
      </c>
      <c r="AD620" s="1" t="str">
        <f>IF(AND(Table13[[#This Row],[Average score]]&gt;80,Table13[[#This Row],[Total rank]]&gt;7.5),"Yes","No")</f>
        <v>No</v>
      </c>
      <c r="AF620" s="8">
        <v>46037</v>
      </c>
      <c r="AG620" s="1">
        <v>3</v>
      </c>
      <c r="AH620" s="27">
        <v>242819</v>
      </c>
      <c r="AI620" s="27">
        <v>244288</v>
      </c>
      <c r="AJ620" s="27">
        <v>243592</v>
      </c>
      <c r="AK620" s="27">
        <f>Table13[[#This Row],[Year 1]]</f>
        <v>242819</v>
      </c>
      <c r="AL620" s="27">
        <f>Table13[[#This Row],[Year 2]]</f>
        <v>244288</v>
      </c>
      <c r="AM620" s="27">
        <f>Table13[[#This Row],[Year 3]]</f>
        <v>243592</v>
      </c>
      <c r="AN620" s="1">
        <v>4</v>
      </c>
    </row>
    <row r="621" spans="1:40" hidden="1" x14ac:dyDescent="0.25">
      <c r="A621" s="1" t="s">
        <v>48</v>
      </c>
      <c r="B621" s="1" t="s">
        <v>2580</v>
      </c>
      <c r="C621" s="1" t="s">
        <v>50</v>
      </c>
      <c r="D621" s="1" t="s">
        <v>3609</v>
      </c>
      <c r="E621" s="1" t="s">
        <v>3610</v>
      </c>
      <c r="F621" s="22" t="s">
        <v>3</v>
      </c>
      <c r="G621" s="1" t="s">
        <v>6085</v>
      </c>
      <c r="H621" s="1" t="s">
        <v>6</v>
      </c>
      <c r="I621" s="1" t="s">
        <v>20</v>
      </c>
      <c r="J621" s="1" t="s">
        <v>25</v>
      </c>
      <c r="K621" s="1" t="s">
        <v>9</v>
      </c>
      <c r="L621" s="1" t="s">
        <v>78</v>
      </c>
      <c r="M621" s="11" t="s">
        <v>188</v>
      </c>
      <c r="N621" s="1" t="s">
        <v>6037</v>
      </c>
      <c r="O621" s="1" t="s">
        <v>14</v>
      </c>
      <c r="P621" s="1" t="s">
        <v>120</v>
      </c>
      <c r="Q621" s="1" t="s">
        <v>5987</v>
      </c>
      <c r="R621" s="1" t="s">
        <v>5081</v>
      </c>
      <c r="S621" s="1" t="s">
        <v>6150</v>
      </c>
      <c r="T621" s="1" t="s">
        <v>6149</v>
      </c>
      <c r="U621" s="1" t="s">
        <v>6158</v>
      </c>
      <c r="V621" s="1" t="s">
        <v>6166</v>
      </c>
      <c r="W621" s="27">
        <v>71.428571428571431</v>
      </c>
      <c r="X621" s="27">
        <v>71.428571428571431</v>
      </c>
      <c r="Y621" s="33">
        <f>AVERAGE(Table13[[#This Row],[Score 1]],Table13[[#This Row],[Score 2]])</f>
        <v>71.428571428571431</v>
      </c>
      <c r="Z621" s="1">
        <v>4</v>
      </c>
      <c r="AA621" s="1">
        <v>5</v>
      </c>
      <c r="AB621" s="22">
        <f>Table13[[#This Row],[Rank 1]]+Table13[[#This Row],[Rank 2]]</f>
        <v>9</v>
      </c>
      <c r="AC621" s="1" t="str">
        <f>IF(AND(Table13[[#This Row],[Average score]]&gt;75,Table13[[#This Row],[Total rank]]&gt;6.5),"Yes","No")</f>
        <v>No</v>
      </c>
      <c r="AD621" s="1" t="str">
        <f>IF(AND(Table13[[#This Row],[Average score]]&gt;80,Table13[[#This Row],[Total rank]]&gt;7.5),"Yes","No")</f>
        <v>No</v>
      </c>
      <c r="AF621" s="8">
        <v>46042</v>
      </c>
      <c r="AG621" s="1">
        <v>1</v>
      </c>
      <c r="AH621" s="27">
        <v>60000</v>
      </c>
      <c r="AI621" s="30">
        <v>0</v>
      </c>
      <c r="AJ621" s="30">
        <v>0</v>
      </c>
      <c r="AK621" s="30">
        <f>Table13[[#This Row],[Year 1]]</f>
        <v>60000</v>
      </c>
      <c r="AL621" s="30">
        <f>Table13[[#This Row],[Year 2]]</f>
        <v>0</v>
      </c>
      <c r="AM621" s="30">
        <f>Table13[[#This Row],[Year 3]]</f>
        <v>0</v>
      </c>
      <c r="AN621" s="1">
        <v>2</v>
      </c>
    </row>
    <row r="622" spans="1:40" hidden="1" x14ac:dyDescent="0.25">
      <c r="A622" s="1" t="s">
        <v>48</v>
      </c>
      <c r="B622" s="1" t="s">
        <v>2581</v>
      </c>
      <c r="C622" s="1" t="s">
        <v>50</v>
      </c>
      <c r="D622" s="1" t="s">
        <v>3611</v>
      </c>
      <c r="E622" s="1" t="s">
        <v>3612</v>
      </c>
      <c r="F622" s="22" t="s">
        <v>3</v>
      </c>
      <c r="G622" s="1" t="s">
        <v>6085</v>
      </c>
      <c r="H622" s="1" t="s">
        <v>6</v>
      </c>
      <c r="I622" s="1" t="s">
        <v>20</v>
      </c>
      <c r="J622" s="1" t="s">
        <v>25</v>
      </c>
      <c r="K622" s="1" t="s">
        <v>9</v>
      </c>
      <c r="L622" s="1" t="s">
        <v>78</v>
      </c>
      <c r="M622" s="11" t="s">
        <v>188</v>
      </c>
      <c r="N622" s="1" t="s">
        <v>6037</v>
      </c>
      <c r="O622" s="1" t="s">
        <v>14</v>
      </c>
      <c r="P622" s="1" t="s">
        <v>5082</v>
      </c>
      <c r="Q622" s="1" t="s">
        <v>5284</v>
      </c>
      <c r="R622" s="1" t="s">
        <v>5083</v>
      </c>
      <c r="S622" s="1" t="s">
        <v>6150</v>
      </c>
      <c r="T622" s="1" t="s">
        <v>6149</v>
      </c>
      <c r="U622" s="1" t="s">
        <v>6158</v>
      </c>
      <c r="V622" s="1" t="s">
        <v>6166</v>
      </c>
      <c r="W622" s="27">
        <v>78.571428571428569</v>
      </c>
      <c r="X622" s="27">
        <v>67.857142857142861</v>
      </c>
      <c r="Y622" s="33">
        <f>AVERAGE(Table13[[#This Row],[Score 1]],Table13[[#This Row],[Score 2]])</f>
        <v>73.214285714285722</v>
      </c>
      <c r="Z622" s="1">
        <v>3</v>
      </c>
      <c r="AA622" s="1">
        <v>3</v>
      </c>
      <c r="AB622" s="22">
        <f>Table13[[#This Row],[Rank 1]]+Table13[[#This Row],[Rank 2]]</f>
        <v>6</v>
      </c>
      <c r="AC622" s="1" t="str">
        <f>IF(AND(Table13[[#This Row],[Average score]]&gt;75,Table13[[#This Row],[Total rank]]&gt;6.5),"Yes","No")</f>
        <v>No</v>
      </c>
      <c r="AD622" s="1" t="str">
        <f>IF(AND(Table13[[#This Row],[Average score]]&gt;80,Table13[[#This Row],[Total rank]]&gt;7.5),"Yes","No")</f>
        <v>No</v>
      </c>
      <c r="AF622" s="8">
        <v>46027</v>
      </c>
      <c r="AG622" s="1">
        <v>2</v>
      </c>
      <c r="AH622" s="27">
        <v>262033</v>
      </c>
      <c r="AI622" s="27">
        <v>255033</v>
      </c>
      <c r="AJ622" s="30">
        <v>0</v>
      </c>
      <c r="AK622" s="30">
        <f>Table13[[#This Row],[Year 1]]</f>
        <v>262033</v>
      </c>
      <c r="AL622" s="30">
        <f>Table13[[#This Row],[Year 2]]</f>
        <v>255033</v>
      </c>
      <c r="AM622" s="30">
        <f>Table13[[#This Row],[Year 3]]</f>
        <v>0</v>
      </c>
      <c r="AN622" s="1">
        <v>2</v>
      </c>
    </row>
    <row r="623" spans="1:40" hidden="1" x14ac:dyDescent="0.25">
      <c r="A623" s="1" t="s">
        <v>48</v>
      </c>
      <c r="B623" s="25" t="s">
        <v>2407</v>
      </c>
      <c r="C623" s="1" t="s">
        <v>50</v>
      </c>
      <c r="D623" s="1" t="s">
        <v>3264</v>
      </c>
      <c r="E623" s="1" t="s">
        <v>3265</v>
      </c>
      <c r="F623" s="22" t="s">
        <v>3</v>
      </c>
      <c r="G623" s="1" t="s">
        <v>6085</v>
      </c>
      <c r="H623" s="1" t="s">
        <v>6</v>
      </c>
      <c r="I623" s="1" t="s">
        <v>20</v>
      </c>
      <c r="J623" s="1" t="s">
        <v>25</v>
      </c>
      <c r="K623" s="1" t="s">
        <v>9</v>
      </c>
      <c r="L623" s="1" t="s">
        <v>78</v>
      </c>
      <c r="M623" s="11" t="s">
        <v>188</v>
      </c>
      <c r="N623" s="1" t="s">
        <v>6037</v>
      </c>
      <c r="O623" s="1" t="s">
        <v>12</v>
      </c>
      <c r="P623" s="1" t="s">
        <v>1456</v>
      </c>
      <c r="Q623" s="1" t="s">
        <v>5858</v>
      </c>
      <c r="R623" s="1" t="s">
        <v>4692</v>
      </c>
      <c r="S623" s="1" t="s">
        <v>6153</v>
      </c>
      <c r="T623" s="1" t="s">
        <v>6168</v>
      </c>
      <c r="U623" s="1" t="s">
        <v>6173</v>
      </c>
      <c r="V623" s="1" t="s">
        <v>6157</v>
      </c>
      <c r="W623" s="27">
        <v>67.857142857142861</v>
      </c>
      <c r="X623" s="27">
        <v>85.714285714285708</v>
      </c>
      <c r="Y623" s="33">
        <f>AVERAGE(Table13[[#This Row],[Score 1]],Table13[[#This Row],[Score 2]])</f>
        <v>76.785714285714278</v>
      </c>
      <c r="Z623" s="1">
        <v>3</v>
      </c>
      <c r="AA623" s="1">
        <v>5</v>
      </c>
      <c r="AB623" s="22">
        <f>Table13[[#This Row],[Rank 1]]+Table13[[#This Row],[Rank 2]]</f>
        <v>8</v>
      </c>
      <c r="AC623" s="1" t="str">
        <f>IF(AND(Table13[[#This Row],[Average score]]&gt;75,Table13[[#This Row],[Total rank]]&gt;6.5),"Yes","No")</f>
        <v>Yes</v>
      </c>
      <c r="AD623" s="1" t="str">
        <f>IF(AND(Table13[[#This Row],[Average score]]&gt;80,Table13[[#This Row],[Total rank]]&gt;7.5),"Yes","No")</f>
        <v>No</v>
      </c>
      <c r="AF623" s="8">
        <v>46027</v>
      </c>
      <c r="AG623" s="1">
        <v>2</v>
      </c>
      <c r="AH623" s="27">
        <v>75150</v>
      </c>
      <c r="AI623" s="27">
        <v>93150</v>
      </c>
      <c r="AJ623" s="30">
        <v>0</v>
      </c>
      <c r="AK623" s="30">
        <f>Table13[[#This Row],[Year 1]]</f>
        <v>75150</v>
      </c>
      <c r="AL623" s="30">
        <f>Table13[[#This Row],[Year 2]]</f>
        <v>93150</v>
      </c>
      <c r="AM623" s="30">
        <f>Table13[[#This Row],[Year 3]]</f>
        <v>0</v>
      </c>
      <c r="AN623" s="1">
        <v>3</v>
      </c>
    </row>
    <row r="624" spans="1:40" hidden="1" x14ac:dyDescent="0.25">
      <c r="A624" s="1" t="s">
        <v>48</v>
      </c>
      <c r="B624" s="2" t="s">
        <v>2583</v>
      </c>
      <c r="C624" s="1" t="s">
        <v>50</v>
      </c>
      <c r="D624" s="1" t="s">
        <v>3615</v>
      </c>
      <c r="E624" s="1" t="s">
        <v>3616</v>
      </c>
      <c r="F624" s="22" t="s">
        <v>3</v>
      </c>
      <c r="G624" s="1" t="s">
        <v>6085</v>
      </c>
      <c r="H624" s="1" t="s">
        <v>6</v>
      </c>
      <c r="I624" s="1" t="s">
        <v>20</v>
      </c>
      <c r="J624" s="1" t="s">
        <v>25</v>
      </c>
      <c r="K624" s="1" t="s">
        <v>9</v>
      </c>
      <c r="L624" s="1" t="s">
        <v>78</v>
      </c>
      <c r="M624" s="11" t="s">
        <v>188</v>
      </c>
      <c r="N624" s="1" t="s">
        <v>6037</v>
      </c>
      <c r="O624" s="1" t="s">
        <v>16</v>
      </c>
      <c r="P624" s="1" t="s">
        <v>5088</v>
      </c>
      <c r="Q624" s="1" t="s">
        <v>5989</v>
      </c>
      <c r="R624" s="1" t="s">
        <v>5089</v>
      </c>
      <c r="S624" s="1" t="s">
        <v>6122</v>
      </c>
      <c r="T624" s="1" t="s">
        <v>6121</v>
      </c>
      <c r="U624" s="1" t="s">
        <v>6122</v>
      </c>
      <c r="V624" s="1" t="s">
        <v>6180</v>
      </c>
      <c r="W624" s="27">
        <v>75</v>
      </c>
      <c r="X624" s="27">
        <v>67.857142857142861</v>
      </c>
      <c r="Y624" s="33">
        <f>AVERAGE(Table13[[#This Row],[Score 1]],Table13[[#This Row],[Score 2]])</f>
        <v>71.428571428571431</v>
      </c>
      <c r="Z624" s="1">
        <v>3</v>
      </c>
      <c r="AA624" s="1">
        <v>3</v>
      </c>
      <c r="AB624" s="22">
        <f>Table13[[#This Row],[Rank 1]]+Table13[[#This Row],[Rank 2]]</f>
        <v>6</v>
      </c>
      <c r="AC624" s="1" t="str">
        <f>IF(AND(Table13[[#This Row],[Average score]]&gt;75,Table13[[#This Row],[Total rank]]&gt;6.5),"Yes","No")</f>
        <v>No</v>
      </c>
      <c r="AD624" s="1" t="str">
        <f>IF(AND(Table13[[#This Row],[Average score]]&gt;80,Table13[[#This Row],[Total rank]]&gt;7.5),"Yes","No")</f>
        <v>No</v>
      </c>
      <c r="AF624" s="8">
        <v>46055</v>
      </c>
      <c r="AG624" s="1">
        <v>2</v>
      </c>
      <c r="AH624" s="27">
        <v>181676.26</v>
      </c>
      <c r="AI624" s="27">
        <v>150920.9</v>
      </c>
      <c r="AJ624" s="30">
        <v>0</v>
      </c>
      <c r="AK624" s="30">
        <f>Table13[[#This Row],[Year 1]]</f>
        <v>181676.26</v>
      </c>
      <c r="AL624" s="30">
        <f>Table13[[#This Row],[Year 2]]</f>
        <v>150920.9</v>
      </c>
      <c r="AM624" s="30">
        <f>Table13[[#This Row],[Year 3]]</f>
        <v>0</v>
      </c>
      <c r="AN624" s="1">
        <v>2</v>
      </c>
    </row>
    <row r="625" spans="1:40" hidden="1" x14ac:dyDescent="0.25">
      <c r="A625" s="1" t="s">
        <v>48</v>
      </c>
      <c r="B625" s="1" t="s">
        <v>2584</v>
      </c>
      <c r="C625" s="1" t="s">
        <v>50</v>
      </c>
      <c r="D625" s="1" t="s">
        <v>3617</v>
      </c>
      <c r="E625" s="1" t="s">
        <v>3618</v>
      </c>
      <c r="F625" s="22" t="s">
        <v>3</v>
      </c>
      <c r="G625" s="1" t="s">
        <v>6085</v>
      </c>
      <c r="H625" s="1" t="s">
        <v>5</v>
      </c>
      <c r="I625" s="1" t="s">
        <v>22</v>
      </c>
      <c r="J625" s="1" t="s">
        <v>26</v>
      </c>
      <c r="K625" s="1" t="s">
        <v>9</v>
      </c>
      <c r="L625" s="1" t="s">
        <v>78</v>
      </c>
      <c r="M625" s="11" t="s">
        <v>188</v>
      </c>
      <c r="N625" s="1" t="s">
        <v>6037</v>
      </c>
      <c r="O625" s="1" t="s">
        <v>16</v>
      </c>
      <c r="P625" s="1" t="s">
        <v>377</v>
      </c>
      <c r="Q625" s="1" t="s">
        <v>5990</v>
      </c>
      <c r="R625" s="1" t="s">
        <v>5092</v>
      </c>
      <c r="S625" s="1" t="s">
        <v>6117</v>
      </c>
      <c r="T625" s="1" t="s">
        <v>6118</v>
      </c>
      <c r="U625" s="1" t="s">
        <v>6126</v>
      </c>
      <c r="V625" s="1" t="s">
        <v>6177</v>
      </c>
      <c r="W625" s="27">
        <v>67.857142857142861</v>
      </c>
      <c r="X625" s="27">
        <v>42.857142857142854</v>
      </c>
      <c r="Y625" s="33">
        <f>AVERAGE(Table13[[#This Row],[Score 1]],Table13[[#This Row],[Score 2]])</f>
        <v>55.357142857142861</v>
      </c>
      <c r="Z625" s="1">
        <v>2</v>
      </c>
      <c r="AA625" s="1">
        <v>1</v>
      </c>
      <c r="AB625" s="22">
        <f>Table13[[#This Row],[Rank 1]]+Table13[[#This Row],[Rank 2]]</f>
        <v>3</v>
      </c>
      <c r="AC625" s="1" t="str">
        <f>IF(AND(Table13[[#This Row],[Average score]]&gt;75,Table13[[#This Row],[Total rank]]&gt;6.5),"Yes","No")</f>
        <v>No</v>
      </c>
      <c r="AD625" s="1" t="str">
        <f>IF(AND(Table13[[#This Row],[Average score]]&gt;80,Table13[[#This Row],[Total rank]]&gt;7.5),"Yes","No")</f>
        <v>No</v>
      </c>
      <c r="AF625" s="8">
        <v>46055</v>
      </c>
      <c r="AG625" s="1">
        <v>2</v>
      </c>
      <c r="AH625" s="27">
        <v>381200</v>
      </c>
      <c r="AI625" s="27">
        <v>340500</v>
      </c>
      <c r="AJ625" s="30">
        <v>0</v>
      </c>
      <c r="AK625" s="30">
        <f>Table13[[#This Row],[Year 1]]</f>
        <v>381200</v>
      </c>
      <c r="AL625" s="30">
        <f>Table13[[#This Row],[Year 2]]</f>
        <v>340500</v>
      </c>
      <c r="AM625" s="30">
        <f>Table13[[#This Row],[Year 3]]</f>
        <v>0</v>
      </c>
      <c r="AN625" s="1">
        <v>3</v>
      </c>
    </row>
    <row r="626" spans="1:40" hidden="1" x14ac:dyDescent="0.25">
      <c r="A626" s="1" t="s">
        <v>48</v>
      </c>
      <c r="B626" s="2" t="s">
        <v>2585</v>
      </c>
      <c r="C626" s="1" t="s">
        <v>50</v>
      </c>
      <c r="D626" s="1" t="s">
        <v>3619</v>
      </c>
      <c r="E626" s="1" t="s">
        <v>3620</v>
      </c>
      <c r="F626" s="22" t="s">
        <v>3</v>
      </c>
      <c r="G626" s="1" t="s">
        <v>6085</v>
      </c>
      <c r="H626" s="1" t="s">
        <v>6</v>
      </c>
      <c r="I626" s="1" t="s">
        <v>20</v>
      </c>
      <c r="J626" s="1" t="s">
        <v>25</v>
      </c>
      <c r="K626" s="1" t="s">
        <v>9</v>
      </c>
      <c r="L626" s="1" t="s">
        <v>78</v>
      </c>
      <c r="M626" s="11" t="s">
        <v>188</v>
      </c>
      <c r="N626" s="1" t="s">
        <v>6037</v>
      </c>
      <c r="O626" s="1" t="s">
        <v>13</v>
      </c>
      <c r="P626" s="1" t="s">
        <v>593</v>
      </c>
      <c r="Q626" s="1" t="s">
        <v>6</v>
      </c>
      <c r="R626" s="1" t="s">
        <v>5095</v>
      </c>
      <c r="S626" s="1" t="s">
        <v>6066</v>
      </c>
      <c r="T626" s="1" t="s">
        <v>6067</v>
      </c>
      <c r="U626" s="1" t="s">
        <v>6103</v>
      </c>
      <c r="V626" s="1" t="s">
        <v>6198</v>
      </c>
      <c r="W626" s="27">
        <v>67.857142857142861</v>
      </c>
      <c r="X626" s="29">
        <f>Table13[[#This Row],[Score 1]]</f>
        <v>67.857142857142861</v>
      </c>
      <c r="Y626" s="33">
        <f>AVERAGE(Table13[[#This Row],[Score 1]],Table13[[#This Row],[Score 2]])</f>
        <v>67.857142857142861</v>
      </c>
      <c r="Z626" s="1">
        <v>3</v>
      </c>
      <c r="AA626" s="2">
        <f>Table13[[#This Row],[Rank 1]]</f>
        <v>3</v>
      </c>
      <c r="AB626" s="22">
        <f>Table13[[#This Row],[Rank 1]]+Table13[[#This Row],[Rank 2]]</f>
        <v>6</v>
      </c>
      <c r="AC626" s="1" t="str">
        <f>IF(AND(Table13[[#This Row],[Average score]]&gt;75,Table13[[#This Row],[Total rank]]&gt;6.5),"Yes","No")</f>
        <v>No</v>
      </c>
      <c r="AD626" s="1" t="str">
        <f>IF(AND(Table13[[#This Row],[Average score]]&gt;80,Table13[[#This Row],[Total rank]]&gt;7.5),"Yes","No")</f>
        <v>No</v>
      </c>
      <c r="AF626" s="8">
        <v>46048</v>
      </c>
      <c r="AG626" s="1">
        <v>2</v>
      </c>
      <c r="AH626" s="27">
        <v>204000</v>
      </c>
      <c r="AI626" s="27">
        <v>116000</v>
      </c>
      <c r="AJ626" s="30">
        <v>0</v>
      </c>
      <c r="AK626" s="30">
        <f>Table13[[#This Row],[Year 1]]</f>
        <v>204000</v>
      </c>
      <c r="AL626" s="30">
        <f>Table13[[#This Row],[Year 2]]</f>
        <v>116000</v>
      </c>
      <c r="AM626" s="30">
        <f>Table13[[#This Row],[Year 3]]</f>
        <v>0</v>
      </c>
      <c r="AN626" s="1">
        <v>3</v>
      </c>
    </row>
    <row r="627" spans="1:40" hidden="1" x14ac:dyDescent="0.25">
      <c r="A627" s="1" t="s">
        <v>48</v>
      </c>
      <c r="B627" s="1" t="s">
        <v>2588</v>
      </c>
      <c r="C627" s="1" t="s">
        <v>50</v>
      </c>
      <c r="D627" s="1" t="s">
        <v>3625</v>
      </c>
      <c r="E627" s="1" t="s">
        <v>3626</v>
      </c>
      <c r="F627" s="22" t="s">
        <v>3</v>
      </c>
      <c r="G627" s="1" t="s">
        <v>6085</v>
      </c>
      <c r="H627" s="1" t="s">
        <v>5</v>
      </c>
      <c r="I627" s="1" t="s">
        <v>22</v>
      </c>
      <c r="J627" s="1" t="s">
        <v>25</v>
      </c>
      <c r="K627" s="1" t="s">
        <v>9</v>
      </c>
      <c r="L627" s="1" t="s">
        <v>78</v>
      </c>
      <c r="M627" s="7" t="s">
        <v>5261</v>
      </c>
      <c r="N627" s="1" t="s">
        <v>6037</v>
      </c>
      <c r="O627" s="1" t="s">
        <v>13</v>
      </c>
      <c r="P627" s="1" t="s">
        <v>247</v>
      </c>
      <c r="Q627" s="1" t="s">
        <v>5992</v>
      </c>
      <c r="R627" s="1" t="s">
        <v>5101</v>
      </c>
      <c r="S627" s="1" t="s">
        <v>6064</v>
      </c>
      <c r="T627" s="1" t="s">
        <v>6065</v>
      </c>
      <c r="U627" s="1" t="s">
        <v>6102</v>
      </c>
      <c r="V627" s="1" t="s">
        <v>6197</v>
      </c>
      <c r="W627" s="27">
        <v>67.857142857142861</v>
      </c>
      <c r="X627" s="27">
        <v>75</v>
      </c>
      <c r="Y627" s="33">
        <f>AVERAGE(Table13[[#This Row],[Score 1]],Table13[[#This Row],[Score 2]])</f>
        <v>71.428571428571431</v>
      </c>
      <c r="Z627" s="1">
        <v>1</v>
      </c>
      <c r="AA627" s="1">
        <v>2</v>
      </c>
      <c r="AB627" s="22">
        <f>Table13[[#This Row],[Rank 1]]+Table13[[#This Row],[Rank 2]]</f>
        <v>3</v>
      </c>
      <c r="AC627" s="1" t="str">
        <f>IF(AND(Table13[[#This Row],[Average score]]&gt;75,Table13[[#This Row],[Total rank]]&gt;6.5),"Yes","No")</f>
        <v>No</v>
      </c>
      <c r="AD627" s="1" t="str">
        <f>IF(AND(Table13[[#This Row],[Average score]]&gt;80,Table13[[#This Row],[Total rank]]&gt;7.5),"Yes","No")</f>
        <v>No</v>
      </c>
      <c r="AF627" s="8">
        <v>45658</v>
      </c>
      <c r="AG627" s="1">
        <v>3</v>
      </c>
      <c r="AH627" s="27">
        <v>299000</v>
      </c>
      <c r="AI627" s="27">
        <v>299000</v>
      </c>
      <c r="AJ627" s="27">
        <v>289000</v>
      </c>
      <c r="AK627" s="27">
        <f>Table13[[#This Row],[Year 1]]</f>
        <v>299000</v>
      </c>
      <c r="AL627" s="27">
        <f>Table13[[#This Row],[Year 2]]</f>
        <v>299000</v>
      </c>
      <c r="AM627" s="27">
        <f>Table13[[#This Row],[Year 3]]</f>
        <v>289000</v>
      </c>
      <c r="AN627" s="1">
        <v>3</v>
      </c>
    </row>
    <row r="628" spans="1:40" hidden="1" x14ac:dyDescent="0.25">
      <c r="A628" s="1" t="s">
        <v>48</v>
      </c>
      <c r="B628" s="1" t="s">
        <v>2589</v>
      </c>
      <c r="C628" s="1" t="s">
        <v>50</v>
      </c>
      <c r="D628" s="1" t="s">
        <v>585</v>
      </c>
      <c r="E628" s="1" t="s">
        <v>586</v>
      </c>
      <c r="F628" s="22" t="s">
        <v>3</v>
      </c>
      <c r="G628" s="1" t="s">
        <v>6085</v>
      </c>
      <c r="H628" s="1" t="s">
        <v>6</v>
      </c>
      <c r="I628" s="1" t="s">
        <v>20</v>
      </c>
      <c r="J628" s="1" t="s">
        <v>26</v>
      </c>
      <c r="K628" s="1" t="s">
        <v>9</v>
      </c>
      <c r="L628" s="1" t="s">
        <v>78</v>
      </c>
      <c r="M628" s="11" t="s">
        <v>188</v>
      </c>
      <c r="N628" s="1" t="s">
        <v>6037</v>
      </c>
      <c r="O628" s="1" t="s">
        <v>14</v>
      </c>
      <c r="P628" s="1" t="s">
        <v>126</v>
      </c>
      <c r="Q628" s="1" t="s">
        <v>5354</v>
      </c>
      <c r="R628" s="1" t="s">
        <v>5104</v>
      </c>
      <c r="S628" s="1" t="s">
        <v>6144</v>
      </c>
      <c r="T628" s="1" t="s">
        <v>6143</v>
      </c>
      <c r="U628" s="1" t="s">
        <v>6161</v>
      </c>
      <c r="V628" s="1" t="s">
        <v>6183</v>
      </c>
      <c r="W628" s="27">
        <v>67.857142857142861</v>
      </c>
      <c r="X628" s="27">
        <v>71.428571428571431</v>
      </c>
      <c r="Y628" s="33">
        <f>AVERAGE(Table13[[#This Row],[Score 1]],Table13[[#This Row],[Score 2]])</f>
        <v>69.642857142857139</v>
      </c>
      <c r="Z628" s="1">
        <v>3</v>
      </c>
      <c r="AA628" s="1">
        <v>3</v>
      </c>
      <c r="AB628" s="22">
        <f>Table13[[#This Row],[Rank 1]]+Table13[[#This Row],[Rank 2]]</f>
        <v>6</v>
      </c>
      <c r="AC628" s="1" t="str">
        <f>IF(AND(Table13[[#This Row],[Average score]]&gt;75,Table13[[#This Row],[Total rank]]&gt;6.5),"Yes","No")</f>
        <v>No</v>
      </c>
      <c r="AD628" s="1" t="str">
        <f>IF(AND(Table13[[#This Row],[Average score]]&gt;80,Table13[[#This Row],[Total rank]]&gt;7.5),"Yes","No")</f>
        <v>No</v>
      </c>
      <c r="AF628" s="8">
        <v>46034</v>
      </c>
      <c r="AG628" s="1">
        <v>2</v>
      </c>
      <c r="AH628" s="27">
        <v>106775</v>
      </c>
      <c r="AI628" s="27">
        <v>141010</v>
      </c>
      <c r="AJ628" s="30">
        <v>0</v>
      </c>
      <c r="AK628" s="30">
        <f>Table13[[#This Row],[Year 1]]</f>
        <v>106775</v>
      </c>
      <c r="AL628" s="30">
        <f>Table13[[#This Row],[Year 2]]</f>
        <v>141010</v>
      </c>
      <c r="AM628" s="30">
        <f>Table13[[#This Row],[Year 3]]</f>
        <v>0</v>
      </c>
      <c r="AN628" s="1">
        <v>3</v>
      </c>
    </row>
    <row r="629" spans="1:40" x14ac:dyDescent="0.25">
      <c r="A629" s="1" t="s">
        <v>48</v>
      </c>
      <c r="B629" s="1" t="s">
        <v>2591</v>
      </c>
      <c r="C629" s="1" t="s">
        <v>50</v>
      </c>
      <c r="D629" s="1" t="s">
        <v>3629</v>
      </c>
      <c r="E629" s="1" t="s">
        <v>3630</v>
      </c>
      <c r="F629" s="22" t="s">
        <v>3</v>
      </c>
      <c r="G629" s="1" t="s">
        <v>6085</v>
      </c>
      <c r="H629" s="1" t="s">
        <v>7</v>
      </c>
      <c r="I629" s="1" t="s">
        <v>20</v>
      </c>
      <c r="J629" s="1" t="s">
        <v>26</v>
      </c>
      <c r="K629" s="1" t="s">
        <v>9</v>
      </c>
      <c r="L629" s="1" t="s">
        <v>78</v>
      </c>
      <c r="M629" s="11" t="s">
        <v>188</v>
      </c>
      <c r="N629" s="1" t="s">
        <v>6037</v>
      </c>
      <c r="O629" s="1" t="s">
        <v>16</v>
      </c>
      <c r="P629" s="1" t="s">
        <v>5108</v>
      </c>
      <c r="Q629" s="1" t="s">
        <v>5603</v>
      </c>
      <c r="R629" s="1" t="s">
        <v>5109</v>
      </c>
      <c r="S629" s="1" t="s">
        <v>6117</v>
      </c>
      <c r="T629" s="1" t="s">
        <v>6118</v>
      </c>
      <c r="U629" s="1" t="s">
        <v>6126</v>
      </c>
      <c r="V629" s="1" t="s">
        <v>6177</v>
      </c>
      <c r="W629" s="27">
        <v>88.888888888888886</v>
      </c>
      <c r="X629" s="27">
        <v>97.222222222222214</v>
      </c>
      <c r="Y629" s="33">
        <f>AVERAGE(Table13[[#This Row],[Score 1]],Table13[[#This Row],[Score 2]])</f>
        <v>93.055555555555543</v>
      </c>
      <c r="Z629" s="1">
        <v>4</v>
      </c>
      <c r="AA629" s="1">
        <v>5</v>
      </c>
      <c r="AB629" s="22">
        <f>Table13[[#This Row],[Rank 1]]+Table13[[#This Row],[Rank 2]]</f>
        <v>9</v>
      </c>
      <c r="AC629" s="1" t="str">
        <f>IF(AND(Table13[[#This Row],[Average score]]&gt;75,Table13[[#This Row],[Total rank]]&gt;6.5),"Yes","No")</f>
        <v>Yes</v>
      </c>
      <c r="AD629" s="1" t="str">
        <f>IF(AND(Table13[[#This Row],[Average score]]&gt;80,Table13[[#This Row],[Total rank]]&gt;7.5),"Yes","No")</f>
        <v>Yes</v>
      </c>
      <c r="AE629" s="1" t="s">
        <v>6221</v>
      </c>
      <c r="AF629" s="8">
        <v>46034</v>
      </c>
      <c r="AG629" s="1">
        <v>2</v>
      </c>
      <c r="AH629" s="27">
        <v>420000</v>
      </c>
      <c r="AI629" s="27">
        <v>420000</v>
      </c>
      <c r="AJ629" s="30">
        <v>0</v>
      </c>
      <c r="AK629" s="30">
        <f>Table13[[#This Row],[Year 1]]</f>
        <v>420000</v>
      </c>
      <c r="AL629" s="30">
        <f>Table13[[#This Row],[Year 2]]</f>
        <v>420000</v>
      </c>
      <c r="AM629" s="30">
        <f>Table13[[#This Row],[Year 3]]</f>
        <v>0</v>
      </c>
      <c r="AN629" s="1">
        <v>3</v>
      </c>
    </row>
    <row r="630" spans="1:40" hidden="1" x14ac:dyDescent="0.25">
      <c r="A630" s="1" t="s">
        <v>48</v>
      </c>
      <c r="B630" s="1" t="s">
        <v>2594</v>
      </c>
      <c r="C630" s="1" t="s">
        <v>50</v>
      </c>
      <c r="D630" s="1" t="s">
        <v>3635</v>
      </c>
      <c r="E630" s="1" t="s">
        <v>3636</v>
      </c>
      <c r="F630" s="22" t="s">
        <v>3</v>
      </c>
      <c r="G630" s="1" t="s">
        <v>6085</v>
      </c>
      <c r="H630" s="1" t="s">
        <v>6</v>
      </c>
      <c r="I630" s="1" t="s">
        <v>24</v>
      </c>
      <c r="J630" s="1" t="s">
        <v>26</v>
      </c>
      <c r="K630" s="1" t="s">
        <v>9</v>
      </c>
      <c r="L630" s="1" t="s">
        <v>78</v>
      </c>
      <c r="M630" s="11" t="s">
        <v>188</v>
      </c>
      <c r="N630" s="1" t="s">
        <v>6037</v>
      </c>
      <c r="O630" s="1" t="s">
        <v>16</v>
      </c>
      <c r="P630" s="1" t="s">
        <v>139</v>
      </c>
      <c r="Q630" s="1" t="s">
        <v>5995</v>
      </c>
      <c r="R630" s="1" t="s">
        <v>5115</v>
      </c>
      <c r="S630" s="1" t="s">
        <v>6123</v>
      </c>
      <c r="T630" s="1" t="s">
        <v>6124</v>
      </c>
      <c r="U630" s="1" t="s">
        <v>6132</v>
      </c>
      <c r="V630" s="1" t="s">
        <v>6202</v>
      </c>
      <c r="W630" s="27">
        <v>75</v>
      </c>
      <c r="X630" s="27">
        <v>71.428571428571431</v>
      </c>
      <c r="Y630" s="33">
        <f>AVERAGE(Table13[[#This Row],[Score 1]],Table13[[#This Row],[Score 2]])</f>
        <v>73.214285714285722</v>
      </c>
      <c r="Z630" s="1">
        <v>2</v>
      </c>
      <c r="AA630" s="1">
        <v>3</v>
      </c>
      <c r="AB630" s="22">
        <f>Table13[[#This Row],[Rank 1]]+Table13[[#This Row],[Rank 2]]</f>
        <v>5</v>
      </c>
      <c r="AC630" s="1" t="str">
        <f>IF(AND(Table13[[#This Row],[Average score]]&gt;75,Table13[[#This Row],[Total rank]]&gt;6.5),"Yes","No")</f>
        <v>No</v>
      </c>
      <c r="AD630" s="1" t="str">
        <f>IF(AND(Table13[[#This Row],[Average score]]&gt;80,Table13[[#This Row],[Total rank]]&gt;7.5),"Yes","No")</f>
        <v>No</v>
      </c>
      <c r="AF630" s="8">
        <v>46023</v>
      </c>
      <c r="AG630" s="1">
        <v>2</v>
      </c>
      <c r="AH630" s="27">
        <v>161000</v>
      </c>
      <c r="AI630" s="27">
        <v>161000</v>
      </c>
      <c r="AJ630" s="30">
        <v>0</v>
      </c>
      <c r="AK630" s="30">
        <f>Table13[[#This Row],[Year 1]]</f>
        <v>161000</v>
      </c>
      <c r="AL630" s="30">
        <f>Table13[[#This Row],[Year 2]]</f>
        <v>161000</v>
      </c>
      <c r="AM630" s="30">
        <f>Table13[[#This Row],[Year 3]]</f>
        <v>0</v>
      </c>
      <c r="AN630" s="1">
        <v>3</v>
      </c>
    </row>
    <row r="631" spans="1:40" hidden="1" x14ac:dyDescent="0.25">
      <c r="A631" s="1" t="s">
        <v>48</v>
      </c>
      <c r="B631" s="1" t="s">
        <v>2595</v>
      </c>
      <c r="C631" s="1" t="s">
        <v>50</v>
      </c>
      <c r="D631" s="1" t="s">
        <v>3637</v>
      </c>
      <c r="E631" s="1" t="s">
        <v>3638</v>
      </c>
      <c r="F631" s="22" t="s">
        <v>3</v>
      </c>
      <c r="G631" s="1" t="s">
        <v>6085</v>
      </c>
      <c r="H631" s="1" t="s">
        <v>7</v>
      </c>
      <c r="I631" s="1" t="s">
        <v>20</v>
      </c>
      <c r="J631" s="1" t="s">
        <v>26</v>
      </c>
      <c r="K631" s="1" t="s">
        <v>9</v>
      </c>
      <c r="L631" s="1" t="s">
        <v>78</v>
      </c>
      <c r="M631" s="11" t="s">
        <v>188</v>
      </c>
      <c r="N631" s="1" t="s">
        <v>6037</v>
      </c>
      <c r="O631" s="1" t="s">
        <v>13</v>
      </c>
      <c r="P631" s="1" t="s">
        <v>126</v>
      </c>
      <c r="Q631" s="1" t="s">
        <v>5854</v>
      </c>
      <c r="R631" s="1" t="s">
        <v>5116</v>
      </c>
      <c r="S631" s="1" t="s">
        <v>6081</v>
      </c>
      <c r="T631" s="1" t="s">
        <v>6082</v>
      </c>
      <c r="U631" s="1" t="s">
        <v>6097</v>
      </c>
      <c r="V631" s="1" t="s">
        <v>6188</v>
      </c>
      <c r="W631" s="27">
        <v>77.777777777777786</v>
      </c>
      <c r="X631" s="27">
        <v>63.888888888888886</v>
      </c>
      <c r="Y631" s="33">
        <f>AVERAGE(Table13[[#This Row],[Score 1]],Table13[[#This Row],[Score 2]])</f>
        <v>70.833333333333343</v>
      </c>
      <c r="Z631" s="1">
        <v>4</v>
      </c>
      <c r="AA631" s="1">
        <v>3</v>
      </c>
      <c r="AB631" s="22">
        <f>Table13[[#This Row],[Rank 1]]+Table13[[#This Row],[Rank 2]]</f>
        <v>7</v>
      </c>
      <c r="AC631" s="1" t="str">
        <f>IF(AND(Table13[[#This Row],[Average score]]&gt;75,Table13[[#This Row],[Total rank]]&gt;6.5),"Yes","No")</f>
        <v>No</v>
      </c>
      <c r="AD631" s="1" t="str">
        <f>IF(AND(Table13[[#This Row],[Average score]]&gt;80,Table13[[#This Row],[Total rank]]&gt;7.5),"Yes","No")</f>
        <v>No</v>
      </c>
      <c r="AF631" s="8">
        <v>46083</v>
      </c>
      <c r="AG631" s="1">
        <v>2</v>
      </c>
      <c r="AH631" s="27">
        <v>216000</v>
      </c>
      <c r="AI631" s="27">
        <v>216000</v>
      </c>
      <c r="AJ631" s="30">
        <v>0</v>
      </c>
      <c r="AK631" s="30">
        <f>Table13[[#This Row],[Year 1]]</f>
        <v>216000</v>
      </c>
      <c r="AL631" s="30">
        <f>Table13[[#This Row],[Year 2]]</f>
        <v>216000</v>
      </c>
      <c r="AM631" s="30">
        <f>Table13[[#This Row],[Year 3]]</f>
        <v>0</v>
      </c>
      <c r="AN631" s="1">
        <v>3</v>
      </c>
    </row>
    <row r="632" spans="1:40" hidden="1" x14ac:dyDescent="0.25">
      <c r="A632" s="1" t="s">
        <v>48</v>
      </c>
      <c r="B632" s="2" t="s">
        <v>2596</v>
      </c>
      <c r="C632" s="1" t="s">
        <v>50</v>
      </c>
      <c r="D632" s="1" t="s">
        <v>3639</v>
      </c>
      <c r="E632" s="1" t="s">
        <v>3640</v>
      </c>
      <c r="F632" s="22" t="s">
        <v>3</v>
      </c>
      <c r="G632" s="1" t="s">
        <v>6085</v>
      </c>
      <c r="H632" s="1" t="s">
        <v>7</v>
      </c>
      <c r="I632" s="1" t="s">
        <v>20</v>
      </c>
      <c r="J632" s="1" t="s">
        <v>25</v>
      </c>
      <c r="K632" s="1" t="s">
        <v>9</v>
      </c>
      <c r="L632" s="1" t="s">
        <v>78</v>
      </c>
      <c r="M632" s="11" t="s">
        <v>188</v>
      </c>
      <c r="N632" s="1" t="s">
        <v>6037</v>
      </c>
      <c r="O632" s="1" t="s">
        <v>10</v>
      </c>
      <c r="P632" s="1" t="s">
        <v>593</v>
      </c>
      <c r="Q632" s="20" t="s">
        <v>5591</v>
      </c>
      <c r="R632" s="1" t="s">
        <v>5117</v>
      </c>
      <c r="S632" s="1" t="s">
        <v>6051</v>
      </c>
      <c r="T632" s="1" t="s">
        <v>6047</v>
      </c>
      <c r="U632" s="1" t="s">
        <v>6106</v>
      </c>
      <c r="V632" s="1" t="s">
        <v>6193</v>
      </c>
      <c r="W632" s="27">
        <v>86.111111111111114</v>
      </c>
      <c r="X632" s="27">
        <v>80.555555555555557</v>
      </c>
      <c r="Y632" s="33">
        <f>AVERAGE(Table13[[#This Row],[Score 1]],Table13[[#This Row],[Score 2]])</f>
        <v>83.333333333333343</v>
      </c>
      <c r="Z632" s="1">
        <v>5</v>
      </c>
      <c r="AA632" s="1">
        <v>4</v>
      </c>
      <c r="AB632" s="22">
        <f>Table13[[#This Row],[Rank 1]]+Table13[[#This Row],[Rank 2]]</f>
        <v>9</v>
      </c>
      <c r="AC632" s="1" t="str">
        <f>IF(AND(Table13[[#This Row],[Average score]]&gt;75,Table13[[#This Row],[Total rank]]&gt;6.5),"Yes","No")</f>
        <v>Yes</v>
      </c>
      <c r="AD632" s="1" t="str">
        <f>IF(AND(Table13[[#This Row],[Average score]]&gt;80,Table13[[#This Row],[Total rank]]&gt;7.5),"Yes","No")</f>
        <v>Yes</v>
      </c>
      <c r="AF632" s="8">
        <v>46023</v>
      </c>
      <c r="AG632" s="1">
        <v>2</v>
      </c>
      <c r="AH632" s="27">
        <v>350000</v>
      </c>
      <c r="AI632" s="27">
        <v>350000</v>
      </c>
      <c r="AJ632" s="30">
        <v>0</v>
      </c>
      <c r="AK632" s="30">
        <f>Table13[[#This Row],[Year 1]]</f>
        <v>350000</v>
      </c>
      <c r="AL632" s="30">
        <f>Table13[[#This Row],[Year 2]]</f>
        <v>350000</v>
      </c>
      <c r="AM632" s="30">
        <f>Table13[[#This Row],[Year 3]]</f>
        <v>0</v>
      </c>
      <c r="AN632" s="1">
        <v>2</v>
      </c>
    </row>
    <row r="633" spans="1:40" hidden="1" x14ac:dyDescent="0.25">
      <c r="A633" s="1" t="s">
        <v>48</v>
      </c>
      <c r="B633" s="1" t="s">
        <v>2597</v>
      </c>
      <c r="C633" s="1" t="s">
        <v>50</v>
      </c>
      <c r="D633" s="1" t="s">
        <v>3641</v>
      </c>
      <c r="E633" s="1" t="s">
        <v>3642</v>
      </c>
      <c r="F633" s="22" t="s">
        <v>3</v>
      </c>
      <c r="G633" s="1" t="s">
        <v>6085</v>
      </c>
      <c r="H633" s="1" t="s">
        <v>5</v>
      </c>
      <c r="I633" s="1" t="s">
        <v>24</v>
      </c>
      <c r="J633" s="1" t="s">
        <v>25</v>
      </c>
      <c r="K633" s="1" t="s">
        <v>9</v>
      </c>
      <c r="L633" s="1" t="s">
        <v>78</v>
      </c>
      <c r="M633" s="11" t="s">
        <v>188</v>
      </c>
      <c r="N633" s="1" t="s">
        <v>6037</v>
      </c>
      <c r="O633" s="1" t="s">
        <v>16</v>
      </c>
      <c r="P633" s="1" t="s">
        <v>79</v>
      </c>
      <c r="Q633" s="1" t="s">
        <v>5284</v>
      </c>
      <c r="R633" s="1" t="s">
        <v>5118</v>
      </c>
      <c r="S633" s="1" t="s">
        <v>6119</v>
      </c>
      <c r="T633" s="1" t="s">
        <v>6120</v>
      </c>
      <c r="U633" s="1" t="s">
        <v>6129</v>
      </c>
      <c r="V633" s="1" t="s">
        <v>6189</v>
      </c>
      <c r="W633" s="27">
        <v>85.714285714285708</v>
      </c>
      <c r="X633" s="27">
        <v>89.285714285714292</v>
      </c>
      <c r="Y633" s="33">
        <f>AVERAGE(Table13[[#This Row],[Score 1]],Table13[[#This Row],[Score 2]])</f>
        <v>87.5</v>
      </c>
      <c r="Z633" s="1">
        <v>5</v>
      </c>
      <c r="AA633" s="1">
        <v>4</v>
      </c>
      <c r="AB633" s="22">
        <f>Table13[[#This Row],[Rank 1]]+Table13[[#This Row],[Rank 2]]</f>
        <v>9</v>
      </c>
      <c r="AC633" s="1" t="str">
        <f>IF(AND(Table13[[#This Row],[Average score]]&gt;75,Table13[[#This Row],[Total rank]]&gt;6.5),"Yes","No")</f>
        <v>Yes</v>
      </c>
      <c r="AD633" s="1" t="str">
        <f>IF(AND(Table13[[#This Row],[Average score]]&gt;80,Table13[[#This Row],[Total rank]]&gt;7.5),"Yes","No")</f>
        <v>Yes</v>
      </c>
      <c r="AF633" s="8">
        <v>46037</v>
      </c>
      <c r="AG633" s="1">
        <v>3</v>
      </c>
      <c r="AH633" s="27">
        <v>238618.7</v>
      </c>
      <c r="AI633" s="27">
        <v>252219.64</v>
      </c>
      <c r="AJ633" s="27">
        <v>266788.62</v>
      </c>
      <c r="AK633" s="27">
        <f>Table13[[#This Row],[Year 1]]</f>
        <v>238618.7</v>
      </c>
      <c r="AL633" s="27">
        <f>Table13[[#This Row],[Year 2]]</f>
        <v>252219.64</v>
      </c>
      <c r="AM633" s="27">
        <f>Table13[[#This Row],[Year 3]]</f>
        <v>266788.62</v>
      </c>
      <c r="AN633" s="1">
        <v>3</v>
      </c>
    </row>
    <row r="634" spans="1:40" hidden="1" x14ac:dyDescent="0.25">
      <c r="A634" s="1" t="s">
        <v>48</v>
      </c>
      <c r="B634" s="2" t="s">
        <v>2598</v>
      </c>
      <c r="C634" s="1" t="s">
        <v>50</v>
      </c>
      <c r="D634" s="1" t="s">
        <v>3643</v>
      </c>
      <c r="E634" s="1" t="s">
        <v>3644</v>
      </c>
      <c r="F634" s="22" t="s">
        <v>3</v>
      </c>
      <c r="G634" s="1" t="s">
        <v>6085</v>
      </c>
      <c r="H634" s="1" t="s">
        <v>5</v>
      </c>
      <c r="I634" s="1" t="s">
        <v>20</v>
      </c>
      <c r="J634" s="1" t="s">
        <v>25</v>
      </c>
      <c r="K634" s="1" t="s">
        <v>9</v>
      </c>
      <c r="L634" s="1" t="s">
        <v>78</v>
      </c>
      <c r="M634" s="11" t="s">
        <v>188</v>
      </c>
      <c r="N634" s="1" t="s">
        <v>6037</v>
      </c>
      <c r="O634" s="1" t="s">
        <v>16</v>
      </c>
      <c r="P634" s="1" t="s">
        <v>656</v>
      </c>
      <c r="Q634" s="1" t="s">
        <v>5996</v>
      </c>
      <c r="R634" s="1" t="s">
        <v>5122</v>
      </c>
      <c r="S634" s="1" t="s">
        <v>6122</v>
      </c>
      <c r="T634" s="1" t="s">
        <v>6121</v>
      </c>
      <c r="U634" s="1" t="s">
        <v>6122</v>
      </c>
      <c r="V634" s="1" t="s">
        <v>6180</v>
      </c>
      <c r="W634" s="27">
        <v>75</v>
      </c>
      <c r="X634" s="27">
        <v>75</v>
      </c>
      <c r="Y634" s="33">
        <f>AVERAGE(Table13[[#This Row],[Score 1]],Table13[[#This Row],[Score 2]])</f>
        <v>75</v>
      </c>
      <c r="Z634" s="1">
        <v>1</v>
      </c>
      <c r="AA634" s="1">
        <v>3</v>
      </c>
      <c r="AB634" s="22">
        <f>Table13[[#This Row],[Rank 1]]+Table13[[#This Row],[Rank 2]]</f>
        <v>4</v>
      </c>
      <c r="AC634" s="1" t="str">
        <f>IF(AND(Table13[[#This Row],[Average score]]&gt;75,Table13[[#This Row],[Total rank]]&gt;6.5),"Yes","No")</f>
        <v>No</v>
      </c>
      <c r="AD634" s="1" t="str">
        <f>IF(AND(Table13[[#This Row],[Average score]]&gt;80,Table13[[#This Row],[Total rank]]&gt;7.5),"Yes","No")</f>
        <v>No</v>
      </c>
      <c r="AF634" s="8">
        <v>46025</v>
      </c>
      <c r="AG634" s="1">
        <v>3</v>
      </c>
      <c r="AH634" s="27">
        <v>1008000</v>
      </c>
      <c r="AI634" s="27">
        <v>1008000</v>
      </c>
      <c r="AJ634" s="27">
        <v>1168000</v>
      </c>
      <c r="AK634" s="27">
        <f>Table13[[#This Row],[Year 1]]</f>
        <v>1008000</v>
      </c>
      <c r="AL634" s="27">
        <f>Table13[[#This Row],[Year 2]]</f>
        <v>1008000</v>
      </c>
      <c r="AM634" s="27">
        <f>Table13[[#This Row],[Year 3]]</f>
        <v>1168000</v>
      </c>
      <c r="AN634" s="1">
        <v>4</v>
      </c>
    </row>
    <row r="635" spans="1:40" hidden="1" x14ac:dyDescent="0.25">
      <c r="A635" s="1" t="s">
        <v>48</v>
      </c>
      <c r="B635" s="2" t="s">
        <v>2599</v>
      </c>
      <c r="C635" s="1" t="s">
        <v>50</v>
      </c>
      <c r="D635" s="1" t="s">
        <v>3645</v>
      </c>
      <c r="E635" s="1" t="s">
        <v>3646</v>
      </c>
      <c r="F635" s="22" t="s">
        <v>3</v>
      </c>
      <c r="G635" s="1" t="s">
        <v>6085</v>
      </c>
      <c r="H635" s="1" t="s">
        <v>7</v>
      </c>
      <c r="I635" s="1" t="s">
        <v>20</v>
      </c>
      <c r="J635" s="1" t="s">
        <v>25</v>
      </c>
      <c r="K635" s="1" t="s">
        <v>9</v>
      </c>
      <c r="L635" s="1" t="s">
        <v>78</v>
      </c>
      <c r="M635" s="11" t="s">
        <v>188</v>
      </c>
      <c r="N635" s="1" t="s">
        <v>6037</v>
      </c>
      <c r="O635" s="1" t="s">
        <v>16</v>
      </c>
      <c r="P635" s="1" t="s">
        <v>126</v>
      </c>
      <c r="Q635" s="1" t="s">
        <v>5873</v>
      </c>
      <c r="R635" s="1" t="s">
        <v>5125</v>
      </c>
      <c r="S635" s="1" t="s">
        <v>6122</v>
      </c>
      <c r="T635" s="1" t="s">
        <v>6121</v>
      </c>
      <c r="U635" s="1" t="s">
        <v>6122</v>
      </c>
      <c r="V635" s="1" t="s">
        <v>6180</v>
      </c>
      <c r="W635" s="27">
        <v>75</v>
      </c>
      <c r="X635" s="27">
        <v>80.555555555555557</v>
      </c>
      <c r="Y635" s="33">
        <f>AVERAGE(Table13[[#This Row],[Score 1]],Table13[[#This Row],[Score 2]])</f>
        <v>77.777777777777771</v>
      </c>
      <c r="Z635" s="1">
        <v>4</v>
      </c>
      <c r="AA635" s="1">
        <v>4</v>
      </c>
      <c r="AB635" s="22">
        <f>Table13[[#This Row],[Rank 1]]+Table13[[#This Row],[Rank 2]]</f>
        <v>8</v>
      </c>
      <c r="AC635" s="1" t="str">
        <f>IF(AND(Table13[[#This Row],[Average score]]&gt;75,Table13[[#This Row],[Total rank]]&gt;6.5),"Yes","No")</f>
        <v>Yes</v>
      </c>
      <c r="AD635" s="1" t="str">
        <f>IF(AND(Table13[[#This Row],[Average score]]&gt;80,Table13[[#This Row],[Total rank]]&gt;7.5),"Yes","No")</f>
        <v>No</v>
      </c>
      <c r="AF635" s="8">
        <v>46023</v>
      </c>
      <c r="AG635" s="1">
        <v>2</v>
      </c>
      <c r="AH635" s="27">
        <v>500000</v>
      </c>
      <c r="AI635" s="27">
        <v>500000</v>
      </c>
      <c r="AJ635" s="30">
        <v>0</v>
      </c>
      <c r="AK635" s="30">
        <f>Table13[[#This Row],[Year 1]]</f>
        <v>500000</v>
      </c>
      <c r="AL635" s="30">
        <f>Table13[[#This Row],[Year 2]]</f>
        <v>500000</v>
      </c>
      <c r="AM635" s="30">
        <f>Table13[[#This Row],[Year 3]]</f>
        <v>0</v>
      </c>
      <c r="AN635" s="1">
        <v>3</v>
      </c>
    </row>
    <row r="636" spans="1:40" hidden="1" x14ac:dyDescent="0.25">
      <c r="A636" s="1" t="s">
        <v>48</v>
      </c>
      <c r="B636" s="1" t="s">
        <v>2600</v>
      </c>
      <c r="C636" s="1" t="s">
        <v>50</v>
      </c>
      <c r="D636" s="1" t="s">
        <v>3647</v>
      </c>
      <c r="E636" s="1" t="s">
        <v>3648</v>
      </c>
      <c r="F636" s="22" t="s">
        <v>3</v>
      </c>
      <c r="G636" s="1" t="s">
        <v>6085</v>
      </c>
      <c r="H636" s="1" t="s">
        <v>5</v>
      </c>
      <c r="I636" s="1" t="s">
        <v>20</v>
      </c>
      <c r="J636" s="1" t="s">
        <v>25</v>
      </c>
      <c r="K636" s="1" t="s">
        <v>9</v>
      </c>
      <c r="L636" s="1" t="s">
        <v>78</v>
      </c>
      <c r="M636" s="11" t="s">
        <v>188</v>
      </c>
      <c r="N636" s="1" t="s">
        <v>6037</v>
      </c>
      <c r="O636" s="1" t="s">
        <v>19</v>
      </c>
      <c r="P636" s="1" t="s">
        <v>593</v>
      </c>
      <c r="Q636" s="1" t="s">
        <v>5997</v>
      </c>
      <c r="R636" s="1" t="s">
        <v>5126</v>
      </c>
      <c r="S636" s="1" t="s">
        <v>6137</v>
      </c>
      <c r="T636" s="1" t="s">
        <v>6138</v>
      </c>
      <c r="U636" s="1" t="s">
        <v>6160</v>
      </c>
      <c r="V636" s="1" t="s">
        <v>6203</v>
      </c>
      <c r="W636" s="27">
        <v>92.857142857142861</v>
      </c>
      <c r="X636" s="27">
        <v>78.571428571428569</v>
      </c>
      <c r="Y636" s="33">
        <f>AVERAGE(Table13[[#This Row],[Score 1]],Table13[[#This Row],[Score 2]])</f>
        <v>85.714285714285722</v>
      </c>
      <c r="Z636" s="1">
        <v>5</v>
      </c>
      <c r="AA636" s="1">
        <v>4</v>
      </c>
      <c r="AB636" s="22">
        <f>Table13[[#This Row],[Rank 1]]+Table13[[#This Row],[Rank 2]]</f>
        <v>9</v>
      </c>
      <c r="AC636" s="1" t="str">
        <f>IF(AND(Table13[[#This Row],[Average score]]&gt;75,Table13[[#This Row],[Total rank]]&gt;6.5),"Yes","No")</f>
        <v>Yes</v>
      </c>
      <c r="AD636" s="1" t="str">
        <f>IF(AND(Table13[[#This Row],[Average score]]&gt;80,Table13[[#This Row],[Total rank]]&gt;7.5),"Yes","No")</f>
        <v>Yes</v>
      </c>
      <c r="AF636" s="8">
        <v>46062</v>
      </c>
      <c r="AG636" s="1">
        <v>3</v>
      </c>
      <c r="AH636" s="27">
        <v>174128</v>
      </c>
      <c r="AI636" s="27">
        <v>32780</v>
      </c>
      <c r="AJ636" s="27">
        <v>32780</v>
      </c>
      <c r="AK636" s="27">
        <f>Table13[[#This Row],[Year 1]]</f>
        <v>174128</v>
      </c>
      <c r="AL636" s="27">
        <f>Table13[[#This Row],[Year 2]]</f>
        <v>32780</v>
      </c>
      <c r="AM636" s="27">
        <f>Table13[[#This Row],[Year 3]]</f>
        <v>32780</v>
      </c>
      <c r="AN636" s="1">
        <v>3</v>
      </c>
    </row>
    <row r="637" spans="1:40" hidden="1" x14ac:dyDescent="0.25">
      <c r="A637" s="1" t="s">
        <v>48</v>
      </c>
      <c r="B637" s="1" t="s">
        <v>2601</v>
      </c>
      <c r="C637" s="1" t="s">
        <v>50</v>
      </c>
      <c r="D637" s="1" t="s">
        <v>3649</v>
      </c>
      <c r="E637" s="1" t="s">
        <v>3650</v>
      </c>
      <c r="F637" s="22" t="s">
        <v>3</v>
      </c>
      <c r="G637" s="1" t="s">
        <v>6085</v>
      </c>
      <c r="H637" s="1" t="s">
        <v>6</v>
      </c>
      <c r="I637" s="1" t="s">
        <v>20</v>
      </c>
      <c r="J637" s="1" t="s">
        <v>25</v>
      </c>
      <c r="K637" s="1" t="s">
        <v>9</v>
      </c>
      <c r="L637" s="1" t="s">
        <v>78</v>
      </c>
      <c r="M637" s="11" t="s">
        <v>188</v>
      </c>
      <c r="N637" s="1" t="s">
        <v>6037</v>
      </c>
      <c r="O637" s="1" t="s">
        <v>14</v>
      </c>
      <c r="P637" s="1" t="s">
        <v>1456</v>
      </c>
      <c r="Q637" s="18" t="s">
        <v>5998</v>
      </c>
      <c r="R637" s="1" t="s">
        <v>5129</v>
      </c>
      <c r="S637" s="1" t="s">
        <v>6133</v>
      </c>
      <c r="T637" s="1" t="s">
        <v>6134</v>
      </c>
      <c r="U637" s="1" t="s">
        <v>6094</v>
      </c>
      <c r="V637" s="1" t="s">
        <v>6184</v>
      </c>
      <c r="W637" s="27">
        <v>75</v>
      </c>
      <c r="X637" s="27">
        <v>64.285714285714292</v>
      </c>
      <c r="Y637" s="33">
        <f>AVERAGE(Table13[[#This Row],[Score 1]],Table13[[#This Row],[Score 2]])</f>
        <v>69.642857142857139</v>
      </c>
      <c r="Z637" s="1">
        <v>3</v>
      </c>
      <c r="AA637" s="1">
        <v>2</v>
      </c>
      <c r="AB637" s="22">
        <f>Table13[[#This Row],[Rank 1]]+Table13[[#This Row],[Rank 2]]</f>
        <v>5</v>
      </c>
      <c r="AC637" s="1" t="str">
        <f>IF(AND(Table13[[#This Row],[Average score]]&gt;75,Table13[[#This Row],[Total rank]]&gt;6.5),"Yes","No")</f>
        <v>No</v>
      </c>
      <c r="AD637" s="1" t="str">
        <f>IF(AND(Table13[[#This Row],[Average score]]&gt;80,Table13[[#This Row],[Total rank]]&gt;7.5),"Yes","No")</f>
        <v>No</v>
      </c>
      <c r="AF637" s="8">
        <v>46027</v>
      </c>
      <c r="AG637" s="1">
        <v>2</v>
      </c>
      <c r="AH637" s="27">
        <v>181600</v>
      </c>
      <c r="AI637" s="27">
        <v>181600</v>
      </c>
      <c r="AJ637" s="30">
        <v>0</v>
      </c>
      <c r="AK637" s="30">
        <f>Table13[[#This Row],[Year 1]]</f>
        <v>181600</v>
      </c>
      <c r="AL637" s="30">
        <f>Table13[[#This Row],[Year 2]]</f>
        <v>181600</v>
      </c>
      <c r="AM637" s="30">
        <f>Table13[[#This Row],[Year 3]]</f>
        <v>0</v>
      </c>
      <c r="AN637" s="1">
        <v>3</v>
      </c>
    </row>
    <row r="638" spans="1:40" hidden="1" x14ac:dyDescent="0.25">
      <c r="A638" s="1" t="s">
        <v>48</v>
      </c>
      <c r="B638" s="10" t="s">
        <v>2602</v>
      </c>
      <c r="C638" s="1" t="s">
        <v>50</v>
      </c>
      <c r="D638" s="1" t="s">
        <v>3651</v>
      </c>
      <c r="E638" s="1" t="s">
        <v>3652</v>
      </c>
      <c r="F638" s="22" t="s">
        <v>3</v>
      </c>
      <c r="G638" s="1" t="s">
        <v>6085</v>
      </c>
      <c r="H638" s="1" t="s">
        <v>6</v>
      </c>
      <c r="I638" s="1" t="s">
        <v>20</v>
      </c>
      <c r="J638" s="1" t="s">
        <v>26</v>
      </c>
      <c r="K638" s="1" t="s">
        <v>9</v>
      </c>
      <c r="L638" s="1" t="s">
        <v>78</v>
      </c>
      <c r="M638" s="11" t="s">
        <v>188</v>
      </c>
      <c r="N638" s="1" t="s">
        <v>6037</v>
      </c>
      <c r="O638" s="1" t="s">
        <v>16</v>
      </c>
      <c r="P638" s="1" t="s">
        <v>1456</v>
      </c>
      <c r="Q638" s="1" t="s">
        <v>6</v>
      </c>
      <c r="R638" s="1" t="s">
        <v>4225</v>
      </c>
      <c r="S638" s="1" t="s">
        <v>6113</v>
      </c>
      <c r="T638" s="1" t="s">
        <v>6114</v>
      </c>
      <c r="U638" s="2" t="s">
        <v>6128</v>
      </c>
      <c r="V638" s="1" t="s">
        <v>6182</v>
      </c>
      <c r="W638" s="29">
        <f>Table13[[#This Row],[Score 2]]</f>
        <v>60.714285714285708</v>
      </c>
      <c r="X638" s="27">
        <v>60.714285714285708</v>
      </c>
      <c r="Y638" s="33">
        <f>AVERAGE(Table13[[#This Row],[Score 1]],Table13[[#This Row],[Score 2]])</f>
        <v>60.714285714285708</v>
      </c>
      <c r="Z638" s="2">
        <f>Table13[[#This Row],[Rank 2]]</f>
        <v>2</v>
      </c>
      <c r="AA638" s="1">
        <v>2</v>
      </c>
      <c r="AB638" s="22">
        <f>Table13[[#This Row],[Rank 1]]+Table13[[#This Row],[Rank 2]]</f>
        <v>4</v>
      </c>
      <c r="AC638" s="1" t="str">
        <f>IF(AND(Table13[[#This Row],[Average score]]&gt;75,Table13[[#This Row],[Total rank]]&gt;6.5),"Yes","No")</f>
        <v>No</v>
      </c>
      <c r="AD638" s="1" t="str">
        <f>IF(AND(Table13[[#This Row],[Average score]]&gt;80,Table13[[#This Row],[Total rank]]&gt;7.5),"Yes","No")</f>
        <v>No</v>
      </c>
      <c r="AF638" s="8">
        <v>46042</v>
      </c>
      <c r="AG638" s="1">
        <v>1</v>
      </c>
      <c r="AH638" s="27">
        <v>43500</v>
      </c>
      <c r="AI638" s="30">
        <v>0</v>
      </c>
      <c r="AJ638" s="30">
        <v>0</v>
      </c>
      <c r="AK638" s="30">
        <f>Table13[[#This Row],[Year 1]]</f>
        <v>43500</v>
      </c>
      <c r="AL638" s="30">
        <f>Table13[[#This Row],[Year 2]]</f>
        <v>0</v>
      </c>
      <c r="AM638" s="30">
        <f>Table13[[#This Row],[Year 3]]</f>
        <v>0</v>
      </c>
      <c r="AN638" s="1">
        <v>2</v>
      </c>
    </row>
    <row r="639" spans="1:40" hidden="1" x14ac:dyDescent="0.25">
      <c r="A639" s="1" t="s">
        <v>48</v>
      </c>
      <c r="B639" s="2" t="s">
        <v>2603</v>
      </c>
      <c r="C639" s="1" t="s">
        <v>50</v>
      </c>
      <c r="D639" s="1" t="s">
        <v>3653</v>
      </c>
      <c r="E639" s="1" t="s">
        <v>3654</v>
      </c>
      <c r="F639" s="22" t="s">
        <v>3</v>
      </c>
      <c r="G639" s="1" t="s">
        <v>6085</v>
      </c>
      <c r="H639" s="1" t="s">
        <v>5</v>
      </c>
      <c r="I639" s="1" t="s">
        <v>22</v>
      </c>
      <c r="J639" s="1" t="s">
        <v>26</v>
      </c>
      <c r="K639" s="1" t="s">
        <v>9</v>
      </c>
      <c r="L639" s="1" t="s">
        <v>78</v>
      </c>
      <c r="M639" s="11" t="s">
        <v>188</v>
      </c>
      <c r="N639" s="1" t="s">
        <v>6037</v>
      </c>
      <c r="O639" s="1" t="s">
        <v>10</v>
      </c>
      <c r="P639" s="1" t="s">
        <v>5132</v>
      </c>
      <c r="Q639" s="18" t="s">
        <v>5999</v>
      </c>
      <c r="R639" s="1" t="s">
        <v>5133</v>
      </c>
      <c r="S639" s="1" t="s">
        <v>6051</v>
      </c>
      <c r="T639" s="1" t="s">
        <v>6047</v>
      </c>
      <c r="U639" s="1" t="s">
        <v>6106</v>
      </c>
      <c r="V639" s="1" t="s">
        <v>6193</v>
      </c>
      <c r="W639" s="27">
        <v>67.857142857142861</v>
      </c>
      <c r="X639" s="27">
        <v>67.857142857142861</v>
      </c>
      <c r="Y639" s="33">
        <f>AVERAGE(Table13[[#This Row],[Score 1]],Table13[[#This Row],[Score 2]])</f>
        <v>67.857142857142861</v>
      </c>
      <c r="Z639" s="1">
        <v>4</v>
      </c>
      <c r="AA639" s="1">
        <v>3</v>
      </c>
      <c r="AB639" s="22">
        <f>Table13[[#This Row],[Rank 1]]+Table13[[#This Row],[Rank 2]]</f>
        <v>7</v>
      </c>
      <c r="AC639" s="1" t="str">
        <f>IF(AND(Table13[[#This Row],[Average score]]&gt;75,Table13[[#This Row],[Total rank]]&gt;6.5),"Yes","No")</f>
        <v>No</v>
      </c>
      <c r="AD639" s="1" t="str">
        <f>IF(AND(Table13[[#This Row],[Average score]]&gt;80,Table13[[#This Row],[Total rank]]&gt;7.5),"Yes","No")</f>
        <v>No</v>
      </c>
      <c r="AF639" s="8">
        <v>46023</v>
      </c>
      <c r="AG639" s="1">
        <v>2</v>
      </c>
      <c r="AH639" s="27">
        <v>124068</v>
      </c>
      <c r="AI639" s="27">
        <v>169163</v>
      </c>
      <c r="AJ639" s="30">
        <v>0</v>
      </c>
      <c r="AK639" s="30">
        <f>Table13[[#This Row],[Year 1]]</f>
        <v>124068</v>
      </c>
      <c r="AL639" s="30">
        <f>Table13[[#This Row],[Year 2]]</f>
        <v>169163</v>
      </c>
      <c r="AM639" s="30">
        <f>Table13[[#This Row],[Year 3]]</f>
        <v>0</v>
      </c>
      <c r="AN639" s="1">
        <v>3</v>
      </c>
    </row>
    <row r="640" spans="1:40" hidden="1" x14ac:dyDescent="0.25">
      <c r="A640" s="1" t="s">
        <v>48</v>
      </c>
      <c r="B640" s="2" t="s">
        <v>2604</v>
      </c>
      <c r="C640" s="1" t="s">
        <v>50</v>
      </c>
      <c r="D640" s="1" t="s">
        <v>3655</v>
      </c>
      <c r="E640" s="1" t="s">
        <v>3656</v>
      </c>
      <c r="F640" s="22" t="s">
        <v>3</v>
      </c>
      <c r="G640" s="1" t="s">
        <v>6085</v>
      </c>
      <c r="H640" s="1" t="s">
        <v>5</v>
      </c>
      <c r="I640" s="1" t="s">
        <v>20</v>
      </c>
      <c r="J640" s="1" t="s">
        <v>26</v>
      </c>
      <c r="K640" s="1" t="s">
        <v>9</v>
      </c>
      <c r="L640" s="1" t="s">
        <v>78</v>
      </c>
      <c r="M640" s="11" t="s">
        <v>188</v>
      </c>
      <c r="N640" s="1" t="s">
        <v>6037</v>
      </c>
      <c r="O640" s="1" t="s">
        <v>16</v>
      </c>
      <c r="P640" s="1" t="s">
        <v>306</v>
      </c>
      <c r="Q640" s="1" t="s">
        <v>5963</v>
      </c>
      <c r="R640" s="1" t="s">
        <v>5136</v>
      </c>
      <c r="S640" s="1" t="s">
        <v>6122</v>
      </c>
      <c r="T640" s="1" t="s">
        <v>6121</v>
      </c>
      <c r="U640" s="1" t="s">
        <v>6122</v>
      </c>
      <c r="V640" s="1" t="s">
        <v>6180</v>
      </c>
      <c r="W640" s="27">
        <v>75</v>
      </c>
      <c r="X640" s="27">
        <v>75</v>
      </c>
      <c r="Y640" s="33">
        <f>AVERAGE(Table13[[#This Row],[Score 1]],Table13[[#This Row],[Score 2]])</f>
        <v>75</v>
      </c>
      <c r="Z640" s="1">
        <v>2</v>
      </c>
      <c r="AA640" s="1">
        <v>4</v>
      </c>
      <c r="AB640" s="22">
        <f>Table13[[#This Row],[Rank 1]]+Table13[[#This Row],[Rank 2]]</f>
        <v>6</v>
      </c>
      <c r="AC640" s="1" t="str">
        <f>IF(AND(Table13[[#This Row],[Average score]]&gt;75,Table13[[#This Row],[Total rank]]&gt;6.5),"Yes","No")</f>
        <v>No</v>
      </c>
      <c r="AD640" s="1" t="str">
        <f>IF(AND(Table13[[#This Row],[Average score]]&gt;80,Table13[[#This Row],[Total rank]]&gt;7.5),"Yes","No")</f>
        <v>No</v>
      </c>
      <c r="AF640" s="8">
        <v>46034</v>
      </c>
      <c r="AG640" s="1">
        <v>3</v>
      </c>
      <c r="AH640" s="27">
        <v>31320</v>
      </c>
      <c r="AI640" s="27">
        <v>14320</v>
      </c>
      <c r="AJ640" s="27">
        <v>121320</v>
      </c>
      <c r="AK640" s="27">
        <f>Table13[[#This Row],[Year 1]]</f>
        <v>31320</v>
      </c>
      <c r="AL640" s="27">
        <f>Table13[[#This Row],[Year 2]]</f>
        <v>14320</v>
      </c>
      <c r="AM640" s="27">
        <f>Table13[[#This Row],[Year 3]]</f>
        <v>121320</v>
      </c>
      <c r="AN640" s="1">
        <v>3</v>
      </c>
    </row>
    <row r="641" spans="1:40" hidden="1" x14ac:dyDescent="0.25">
      <c r="A641" s="1" t="s">
        <v>48</v>
      </c>
      <c r="B641" s="2" t="s">
        <v>2605</v>
      </c>
      <c r="C641" s="1" t="s">
        <v>50</v>
      </c>
      <c r="D641" s="1" t="s">
        <v>3657</v>
      </c>
      <c r="E641" s="1" t="s">
        <v>3658</v>
      </c>
      <c r="F641" s="22" t="s">
        <v>3</v>
      </c>
      <c r="G641" s="1" t="s">
        <v>6085</v>
      </c>
      <c r="H641" s="1" t="s">
        <v>7</v>
      </c>
      <c r="I641" s="1" t="s">
        <v>20</v>
      </c>
      <c r="J641" s="1" t="s">
        <v>26</v>
      </c>
      <c r="K641" s="1" t="s">
        <v>9</v>
      </c>
      <c r="L641" s="1" t="s">
        <v>78</v>
      </c>
      <c r="M641" s="11" t="s">
        <v>188</v>
      </c>
      <c r="N641" s="1" t="s">
        <v>6037</v>
      </c>
      <c r="O641" s="1" t="s">
        <v>16</v>
      </c>
      <c r="P641" s="1" t="s">
        <v>5140</v>
      </c>
      <c r="Q641" s="1" t="s">
        <v>6000</v>
      </c>
      <c r="R641" s="1" t="s">
        <v>5141</v>
      </c>
      <c r="S641" s="1" t="s">
        <v>6122</v>
      </c>
      <c r="T641" s="1" t="s">
        <v>6121</v>
      </c>
      <c r="U641" s="1" t="s">
        <v>6122</v>
      </c>
      <c r="V641" s="1" t="s">
        <v>6180</v>
      </c>
      <c r="W641" s="27">
        <v>80.555555555555557</v>
      </c>
      <c r="X641" s="27">
        <v>77.777777777777786</v>
      </c>
      <c r="Y641" s="33">
        <f>AVERAGE(Table13[[#This Row],[Score 1]],Table13[[#This Row],[Score 2]])</f>
        <v>79.166666666666671</v>
      </c>
      <c r="Z641" s="1">
        <v>5</v>
      </c>
      <c r="AA641" s="1">
        <v>3</v>
      </c>
      <c r="AB641" s="22">
        <f>Table13[[#This Row],[Rank 1]]+Table13[[#This Row],[Rank 2]]</f>
        <v>8</v>
      </c>
      <c r="AC641" s="1" t="str">
        <f>IF(AND(Table13[[#This Row],[Average score]]&gt;75,Table13[[#This Row],[Total rank]]&gt;6.5),"Yes","No")</f>
        <v>Yes</v>
      </c>
      <c r="AD641" s="1" t="str">
        <f>IF(AND(Table13[[#This Row],[Average score]]&gt;80,Table13[[#This Row],[Total rank]]&gt;7.5),"Yes","No")</f>
        <v>No</v>
      </c>
      <c r="AF641" s="8">
        <v>46023</v>
      </c>
      <c r="AG641" s="1">
        <v>2</v>
      </c>
      <c r="AH641" s="27">
        <v>485912</v>
      </c>
      <c r="AI641" s="27">
        <v>495800</v>
      </c>
      <c r="AJ641" s="30">
        <v>0</v>
      </c>
      <c r="AK641" s="30">
        <f>Table13[[#This Row],[Year 1]]</f>
        <v>485912</v>
      </c>
      <c r="AL641" s="30">
        <f>Table13[[#This Row],[Year 2]]</f>
        <v>495800</v>
      </c>
      <c r="AM641" s="30">
        <f>Table13[[#This Row],[Year 3]]</f>
        <v>0</v>
      </c>
      <c r="AN641" s="1">
        <v>4</v>
      </c>
    </row>
    <row r="642" spans="1:40" hidden="1" x14ac:dyDescent="0.25">
      <c r="A642" s="1" t="s">
        <v>48</v>
      </c>
      <c r="B642" s="10" t="s">
        <v>2606</v>
      </c>
      <c r="C642" s="1" t="s">
        <v>50</v>
      </c>
      <c r="D642" s="1" t="s">
        <v>3659</v>
      </c>
      <c r="E642" s="1" t="s">
        <v>3660</v>
      </c>
      <c r="F642" s="22" t="s">
        <v>3</v>
      </c>
      <c r="G642" s="1" t="s">
        <v>6085</v>
      </c>
      <c r="H642" s="1" t="s">
        <v>6</v>
      </c>
      <c r="I642" s="1" t="s">
        <v>24</v>
      </c>
      <c r="J642" s="1" t="s">
        <v>25</v>
      </c>
      <c r="K642" s="1" t="s">
        <v>9</v>
      </c>
      <c r="L642" s="1" t="s">
        <v>78</v>
      </c>
      <c r="M642" s="11" t="s">
        <v>188</v>
      </c>
      <c r="N642" s="1" t="s">
        <v>6037</v>
      </c>
      <c r="O642" s="1" t="s">
        <v>13</v>
      </c>
      <c r="P642" s="1" t="s">
        <v>656</v>
      </c>
      <c r="Q642" s="1" t="s">
        <v>5555</v>
      </c>
      <c r="R642" s="1" t="s">
        <v>5144</v>
      </c>
      <c r="S642" s="1" t="s">
        <v>6079</v>
      </c>
      <c r="T642" s="1" t="s">
        <v>6080</v>
      </c>
      <c r="U642" s="1" t="s">
        <v>6089</v>
      </c>
      <c r="V642" s="1" t="s">
        <v>6172</v>
      </c>
      <c r="W642" s="27">
        <v>89.285714285714292</v>
      </c>
      <c r="X642" s="27">
        <v>96.428571428571431</v>
      </c>
      <c r="Y642" s="33">
        <f>AVERAGE(Table13[[#This Row],[Score 1]],Table13[[#This Row],[Score 2]])</f>
        <v>92.857142857142861</v>
      </c>
      <c r="Z642" s="1">
        <v>3</v>
      </c>
      <c r="AA642" s="1">
        <v>4</v>
      </c>
      <c r="AB642" s="22">
        <f>Table13[[#This Row],[Rank 1]]+Table13[[#This Row],[Rank 2]]</f>
        <v>7</v>
      </c>
      <c r="AC642" s="1" t="str">
        <f>IF(AND(Table13[[#This Row],[Average score]]&gt;75,Table13[[#This Row],[Total rank]]&gt;6.5),"Yes","No")</f>
        <v>Yes</v>
      </c>
      <c r="AD642" s="1" t="str">
        <f>IF(AND(Table13[[#This Row],[Average score]]&gt;80,Table13[[#This Row],[Total rank]]&gt;7.5),"Yes","No")</f>
        <v>No</v>
      </c>
      <c r="AF642" s="8">
        <v>45658</v>
      </c>
      <c r="AG642" s="1">
        <v>1</v>
      </c>
      <c r="AH642" s="27">
        <v>35969.26</v>
      </c>
      <c r="AI642" s="30">
        <v>0</v>
      </c>
      <c r="AJ642" s="30">
        <v>0</v>
      </c>
      <c r="AK642" s="30">
        <f>Table13[[#This Row],[Year 1]]</f>
        <v>35969.26</v>
      </c>
      <c r="AL642" s="30">
        <f>Table13[[#This Row],[Year 2]]</f>
        <v>0</v>
      </c>
      <c r="AM642" s="30">
        <f>Table13[[#This Row],[Year 3]]</f>
        <v>0</v>
      </c>
      <c r="AN642" s="1">
        <v>3</v>
      </c>
    </row>
    <row r="643" spans="1:40" x14ac:dyDescent="0.25">
      <c r="A643" s="1" t="s">
        <v>48</v>
      </c>
      <c r="B643" s="2" t="s">
        <v>2608</v>
      </c>
      <c r="C643" s="1" t="s">
        <v>50</v>
      </c>
      <c r="D643" s="1" t="s">
        <v>3663</v>
      </c>
      <c r="E643" s="1" t="s">
        <v>3664</v>
      </c>
      <c r="F643" s="22" t="s">
        <v>3</v>
      </c>
      <c r="G643" s="1" t="s">
        <v>6085</v>
      </c>
      <c r="H643" s="1" t="s">
        <v>6</v>
      </c>
      <c r="I643" s="1" t="s">
        <v>20</v>
      </c>
      <c r="J643" s="1" t="s">
        <v>25</v>
      </c>
      <c r="K643" s="1" t="s">
        <v>9</v>
      </c>
      <c r="L643" s="1" t="s">
        <v>78</v>
      </c>
      <c r="M643" s="11" t="s">
        <v>188</v>
      </c>
      <c r="N643" s="1" t="s">
        <v>6037</v>
      </c>
      <c r="O643" s="1" t="s">
        <v>13</v>
      </c>
      <c r="P643" s="1" t="s">
        <v>247</v>
      </c>
      <c r="Q643" s="1" t="s">
        <v>5301</v>
      </c>
      <c r="R643" s="1" t="s">
        <v>5148</v>
      </c>
      <c r="S643" s="1" t="s">
        <v>6066</v>
      </c>
      <c r="T643" s="1" t="s">
        <v>6067</v>
      </c>
      <c r="U643" s="1" t="s">
        <v>6103</v>
      </c>
      <c r="V643" s="1" t="s">
        <v>6198</v>
      </c>
      <c r="W643" s="27">
        <v>92.857142857142861</v>
      </c>
      <c r="X643" s="29">
        <f>Table13[[#This Row],[Score 1]]</f>
        <v>92.857142857142861</v>
      </c>
      <c r="Y643" s="33">
        <f>AVERAGE(Table13[[#This Row],[Score 1]],Table13[[#This Row],[Score 2]])</f>
        <v>92.857142857142861</v>
      </c>
      <c r="Z643" s="1">
        <v>5</v>
      </c>
      <c r="AA643" s="2">
        <f>Table13[[#This Row],[Rank 1]]</f>
        <v>5</v>
      </c>
      <c r="AB643" s="22">
        <f>Table13[[#This Row],[Rank 1]]+Table13[[#This Row],[Rank 2]]</f>
        <v>10</v>
      </c>
      <c r="AC643" s="1" t="str">
        <f>IF(AND(Table13[[#This Row],[Average score]]&gt;75,Table13[[#This Row],[Total rank]]&gt;6.5),"Yes","No")</f>
        <v>Yes</v>
      </c>
      <c r="AD643" s="1" t="str">
        <f>IF(AND(Table13[[#This Row],[Average score]]&gt;80,Table13[[#This Row],[Total rank]]&gt;7.5),"Yes","No")</f>
        <v>Yes</v>
      </c>
      <c r="AE643" s="1" t="s">
        <v>6221</v>
      </c>
      <c r="AF643" s="8">
        <v>46041</v>
      </c>
      <c r="AG643" s="1">
        <v>1</v>
      </c>
      <c r="AH643" s="27">
        <v>147179.1</v>
      </c>
      <c r="AI643" s="30">
        <v>0</v>
      </c>
      <c r="AJ643" s="30">
        <v>0</v>
      </c>
      <c r="AK643" s="30">
        <v>148000</v>
      </c>
      <c r="AL643" s="30">
        <f>Table13[[#This Row],[Year 2]]</f>
        <v>0</v>
      </c>
      <c r="AM643" s="30">
        <f>Table13[[#This Row],[Year 3]]</f>
        <v>0</v>
      </c>
      <c r="AN643" s="1">
        <v>3</v>
      </c>
    </row>
    <row r="644" spans="1:40" x14ac:dyDescent="0.25">
      <c r="A644" s="1" t="s">
        <v>48</v>
      </c>
      <c r="B644" s="2" t="s">
        <v>2609</v>
      </c>
      <c r="C644" s="1" t="s">
        <v>50</v>
      </c>
      <c r="D644" s="1" t="s">
        <v>3665</v>
      </c>
      <c r="E644" s="1" t="s">
        <v>3666</v>
      </c>
      <c r="F644" s="22" t="s">
        <v>3</v>
      </c>
      <c r="G644" s="1" t="s">
        <v>6085</v>
      </c>
      <c r="H644" s="1" t="s">
        <v>5</v>
      </c>
      <c r="I644" s="1" t="s">
        <v>24</v>
      </c>
      <c r="J644" s="1" t="s">
        <v>26</v>
      </c>
      <c r="K644" s="1" t="s">
        <v>9</v>
      </c>
      <c r="L644" s="1" t="s">
        <v>78</v>
      </c>
      <c r="M644" s="11" t="s">
        <v>188</v>
      </c>
      <c r="N644" s="1" t="s">
        <v>6037</v>
      </c>
      <c r="O644" s="1" t="s">
        <v>10</v>
      </c>
      <c r="P644" s="1" t="s">
        <v>126</v>
      </c>
      <c r="Q644" s="20" t="s">
        <v>6002</v>
      </c>
      <c r="R644" s="1" t="s">
        <v>5150</v>
      </c>
      <c r="S644" s="1" t="s">
        <v>6051</v>
      </c>
      <c r="T644" s="1" t="s">
        <v>6047</v>
      </c>
      <c r="U644" s="1" t="s">
        <v>6106</v>
      </c>
      <c r="V644" s="1" t="s">
        <v>6193</v>
      </c>
      <c r="W644" s="27">
        <v>100</v>
      </c>
      <c r="X644" s="27">
        <v>89.285714285714292</v>
      </c>
      <c r="Y644" s="33">
        <f>AVERAGE(Table13[[#This Row],[Score 1]],Table13[[#This Row],[Score 2]])</f>
        <v>94.642857142857139</v>
      </c>
      <c r="Z644" s="1">
        <v>5</v>
      </c>
      <c r="AA644" s="1">
        <v>4</v>
      </c>
      <c r="AB644" s="22">
        <f>Table13[[#This Row],[Rank 1]]+Table13[[#This Row],[Rank 2]]</f>
        <v>9</v>
      </c>
      <c r="AC644" s="1" t="str">
        <f>IF(AND(Table13[[#This Row],[Average score]]&gt;75,Table13[[#This Row],[Total rank]]&gt;6.5),"Yes","No")</f>
        <v>Yes</v>
      </c>
      <c r="AD644" s="1" t="str">
        <f>IF(AND(Table13[[#This Row],[Average score]]&gt;80,Table13[[#This Row],[Total rank]]&gt;7.5),"Yes","No")</f>
        <v>Yes</v>
      </c>
      <c r="AE644" s="1" t="s">
        <v>6221</v>
      </c>
      <c r="AF644" s="8">
        <v>45670</v>
      </c>
      <c r="AG644" s="1">
        <v>2</v>
      </c>
      <c r="AH644" s="27">
        <v>104860</v>
      </c>
      <c r="AI644" s="27">
        <v>118700</v>
      </c>
      <c r="AJ644" s="30">
        <v>0</v>
      </c>
      <c r="AK644" s="30">
        <v>105000</v>
      </c>
      <c r="AL644" s="30">
        <v>119000</v>
      </c>
      <c r="AM644" s="30">
        <f>Table13[[#This Row],[Year 3]]</f>
        <v>0</v>
      </c>
      <c r="AN644" s="1">
        <v>3</v>
      </c>
    </row>
    <row r="645" spans="1:40" hidden="1" x14ac:dyDescent="0.25">
      <c r="A645" s="1" t="s">
        <v>48</v>
      </c>
      <c r="B645" s="1" t="s">
        <v>2610</v>
      </c>
      <c r="C645" s="1" t="s">
        <v>50</v>
      </c>
      <c r="D645" s="1" t="s">
        <v>3667</v>
      </c>
      <c r="E645" s="1" t="s">
        <v>3668</v>
      </c>
      <c r="F645" s="22" t="s">
        <v>3</v>
      </c>
      <c r="G645" s="1" t="s">
        <v>6085</v>
      </c>
      <c r="H645" s="1" t="s">
        <v>6</v>
      </c>
      <c r="I645" s="1" t="s">
        <v>24</v>
      </c>
      <c r="J645" s="1" t="s">
        <v>26</v>
      </c>
      <c r="K645" s="1" t="s">
        <v>9</v>
      </c>
      <c r="L645" s="1" t="s">
        <v>78</v>
      </c>
      <c r="M645" s="11" t="s">
        <v>188</v>
      </c>
      <c r="N645" s="1" t="s">
        <v>6037</v>
      </c>
      <c r="O645" s="1" t="s">
        <v>16</v>
      </c>
      <c r="P645" s="1" t="s">
        <v>5152</v>
      </c>
      <c r="Q645" s="1" t="s">
        <v>5902</v>
      </c>
      <c r="R645" s="1" t="s">
        <v>5153</v>
      </c>
      <c r="S645" s="1" t="s">
        <v>6115</v>
      </c>
      <c r="T645" s="1" t="s">
        <v>6116</v>
      </c>
      <c r="U645" s="1" t="s">
        <v>6130</v>
      </c>
      <c r="V645" s="1" t="s">
        <v>6191</v>
      </c>
      <c r="W645" s="27">
        <v>71.428571428571431</v>
      </c>
      <c r="X645" s="27">
        <v>92.857142857142861</v>
      </c>
      <c r="Y645" s="33">
        <f>AVERAGE(Table13[[#This Row],[Score 1]],Table13[[#This Row],[Score 2]])</f>
        <v>82.142857142857139</v>
      </c>
      <c r="Z645" s="1">
        <v>3</v>
      </c>
      <c r="AA645" s="1">
        <v>4</v>
      </c>
      <c r="AB645" s="22">
        <f>Table13[[#This Row],[Rank 1]]+Table13[[#This Row],[Rank 2]]</f>
        <v>7</v>
      </c>
      <c r="AC645" s="1" t="str">
        <f>IF(AND(Table13[[#This Row],[Average score]]&gt;75,Table13[[#This Row],[Total rank]]&gt;6.5),"Yes","No")</f>
        <v>Yes</v>
      </c>
      <c r="AD645" s="1" t="str">
        <f>IF(AND(Table13[[#This Row],[Average score]]&gt;80,Table13[[#This Row],[Total rank]]&gt;7.5),"Yes","No")</f>
        <v>No</v>
      </c>
      <c r="AF645" s="8">
        <v>46023</v>
      </c>
      <c r="AG645" s="1">
        <v>2</v>
      </c>
      <c r="AH645" s="27">
        <v>231200</v>
      </c>
      <c r="AI645" s="27">
        <v>231200</v>
      </c>
      <c r="AJ645" s="30">
        <v>0</v>
      </c>
      <c r="AK645" s="30">
        <f>Table13[[#This Row],[Year 1]]</f>
        <v>231200</v>
      </c>
      <c r="AL645" s="30">
        <f>Table13[[#This Row],[Year 2]]</f>
        <v>231200</v>
      </c>
      <c r="AM645" s="30">
        <f>Table13[[#This Row],[Year 3]]</f>
        <v>0</v>
      </c>
      <c r="AN645" s="1">
        <v>3</v>
      </c>
    </row>
    <row r="646" spans="1:40" hidden="1" x14ac:dyDescent="0.25">
      <c r="A646" s="1" t="s">
        <v>48</v>
      </c>
      <c r="B646" s="1" t="s">
        <v>2611</v>
      </c>
      <c r="C646" s="1" t="s">
        <v>50</v>
      </c>
      <c r="D646" s="1" t="s">
        <v>3669</v>
      </c>
      <c r="E646" s="1" t="s">
        <v>3670</v>
      </c>
      <c r="F646" s="22" t="s">
        <v>3</v>
      </c>
      <c r="G646" s="1" t="s">
        <v>6085</v>
      </c>
      <c r="H646" s="1" t="s">
        <v>1383</v>
      </c>
      <c r="I646" s="1" t="s">
        <v>24</v>
      </c>
      <c r="J646" s="1" t="s">
        <v>26</v>
      </c>
      <c r="K646" s="1" t="s">
        <v>8</v>
      </c>
      <c r="L646" s="1" t="s">
        <v>78</v>
      </c>
      <c r="M646" s="11" t="s">
        <v>188</v>
      </c>
      <c r="N646" s="1" t="s">
        <v>6037</v>
      </c>
      <c r="O646" s="1" t="s">
        <v>12</v>
      </c>
      <c r="P646" s="1" t="s">
        <v>5155</v>
      </c>
      <c r="Q646" s="1" t="s">
        <v>6003</v>
      </c>
      <c r="R646" s="1" t="s">
        <v>5156</v>
      </c>
      <c r="S646" s="1" t="s">
        <v>6155</v>
      </c>
      <c r="T646" s="1" t="s">
        <v>6154</v>
      </c>
      <c r="U646" s="1" t="s">
        <v>6164</v>
      </c>
      <c r="V646" s="1" t="s">
        <v>6167</v>
      </c>
      <c r="W646" s="27">
        <v>55.000000000000007</v>
      </c>
      <c r="X646" s="27">
        <v>60</v>
      </c>
      <c r="Y646" s="33">
        <f>AVERAGE(Table13[[#This Row],[Score 1]],Table13[[#This Row],[Score 2]])</f>
        <v>57.5</v>
      </c>
      <c r="Z646" s="1">
        <v>3</v>
      </c>
      <c r="AA646" s="1">
        <v>3</v>
      </c>
      <c r="AB646" s="22">
        <f>Table13[[#This Row],[Rank 1]]+Table13[[#This Row],[Rank 2]]</f>
        <v>6</v>
      </c>
      <c r="AC646" s="1" t="str">
        <f>IF(AND(Table13[[#This Row],[Average score]]&gt;75,Table13[[#This Row],[Total rank]]&gt;6.5),"Yes","No")</f>
        <v>No</v>
      </c>
      <c r="AD646" s="1" t="str">
        <f>IF(AND(Table13[[#This Row],[Average score]]&gt;80,Table13[[#This Row],[Total rank]]&gt;7.5),"Yes","No")</f>
        <v>No</v>
      </c>
      <c r="AF646" s="8">
        <v>46143</v>
      </c>
      <c r="AG646" s="1">
        <v>1</v>
      </c>
      <c r="AH646" s="27">
        <v>180000</v>
      </c>
      <c r="AI646" s="30">
        <v>0</v>
      </c>
      <c r="AJ646" s="30">
        <v>0</v>
      </c>
      <c r="AK646" s="30">
        <f>Table13[[#This Row],[Year 1]]</f>
        <v>180000</v>
      </c>
      <c r="AL646" s="30">
        <f>Table13[[#This Row],[Year 2]]</f>
        <v>0</v>
      </c>
      <c r="AM646" s="30">
        <f>Table13[[#This Row],[Year 3]]</f>
        <v>0</v>
      </c>
      <c r="AN646" s="1">
        <v>3</v>
      </c>
    </row>
    <row r="647" spans="1:40" hidden="1" x14ac:dyDescent="0.25">
      <c r="A647" s="1" t="s">
        <v>48</v>
      </c>
      <c r="B647" s="1" t="s">
        <v>2612</v>
      </c>
      <c r="C647" s="1" t="s">
        <v>50</v>
      </c>
      <c r="D647" s="1" t="s">
        <v>3671</v>
      </c>
      <c r="E647" s="1" t="s">
        <v>3672</v>
      </c>
      <c r="F647" s="22" t="s">
        <v>3</v>
      </c>
      <c r="G647" s="1" t="s">
        <v>6085</v>
      </c>
      <c r="H647" s="1" t="s">
        <v>6</v>
      </c>
      <c r="I647" s="1" t="s">
        <v>20</v>
      </c>
      <c r="J647" s="1" t="s">
        <v>26</v>
      </c>
      <c r="K647" s="1" t="s">
        <v>9</v>
      </c>
      <c r="L647" s="1" t="s">
        <v>78</v>
      </c>
      <c r="M647" s="11" t="s">
        <v>188</v>
      </c>
      <c r="N647" s="1" t="s">
        <v>6037</v>
      </c>
      <c r="O647" s="1" t="s">
        <v>16</v>
      </c>
      <c r="P647" s="1" t="s">
        <v>1456</v>
      </c>
      <c r="Q647" s="1" t="s">
        <v>6004</v>
      </c>
      <c r="R647" s="1" t="s">
        <v>5157</v>
      </c>
      <c r="S647" s="1" t="s">
        <v>6115</v>
      </c>
      <c r="T647" s="1" t="s">
        <v>6116</v>
      </c>
      <c r="U647" s="1" t="s">
        <v>6130</v>
      </c>
      <c r="V647" s="1" t="s">
        <v>6191</v>
      </c>
      <c r="W647" s="27">
        <v>50</v>
      </c>
      <c r="X647" s="27">
        <v>57.142857142857139</v>
      </c>
      <c r="Y647" s="33">
        <f>AVERAGE(Table13[[#This Row],[Score 1]],Table13[[#This Row],[Score 2]])</f>
        <v>53.571428571428569</v>
      </c>
      <c r="Z647" s="1">
        <v>1</v>
      </c>
      <c r="AA647" s="1">
        <v>3</v>
      </c>
      <c r="AB647" s="22">
        <f>Table13[[#This Row],[Rank 1]]+Table13[[#This Row],[Rank 2]]</f>
        <v>4</v>
      </c>
      <c r="AC647" s="1" t="str">
        <f>IF(AND(Table13[[#This Row],[Average score]]&gt;75,Table13[[#This Row],[Total rank]]&gt;6.5),"Yes","No")</f>
        <v>No</v>
      </c>
      <c r="AD647" s="1" t="str">
        <f>IF(AND(Table13[[#This Row],[Average score]]&gt;80,Table13[[#This Row],[Total rank]]&gt;7.5),"Yes","No")</f>
        <v>No</v>
      </c>
      <c r="AF647" s="8">
        <v>46027</v>
      </c>
      <c r="AG647" s="1">
        <v>2</v>
      </c>
      <c r="AH647" s="27">
        <v>195000</v>
      </c>
      <c r="AI647" s="27">
        <v>222000</v>
      </c>
      <c r="AJ647" s="30">
        <v>0</v>
      </c>
      <c r="AK647" s="30">
        <f>Table13[[#This Row],[Year 1]]</f>
        <v>195000</v>
      </c>
      <c r="AL647" s="30">
        <f>Table13[[#This Row],[Year 2]]</f>
        <v>222000</v>
      </c>
      <c r="AM647" s="30">
        <f>Table13[[#This Row],[Year 3]]</f>
        <v>0</v>
      </c>
      <c r="AN647" s="1">
        <v>3</v>
      </c>
    </row>
    <row r="648" spans="1:40" hidden="1" x14ac:dyDescent="0.25">
      <c r="A648" s="1" t="s">
        <v>48</v>
      </c>
      <c r="B648" s="2" t="s">
        <v>2613</v>
      </c>
      <c r="C648" s="1" t="s">
        <v>50</v>
      </c>
      <c r="D648" s="1" t="s">
        <v>3673</v>
      </c>
      <c r="E648" s="1" t="s">
        <v>3674</v>
      </c>
      <c r="F648" s="22" t="s">
        <v>3</v>
      </c>
      <c r="G648" s="1" t="s">
        <v>6085</v>
      </c>
      <c r="H648" s="1" t="s">
        <v>6</v>
      </c>
      <c r="I648" s="1" t="s">
        <v>20</v>
      </c>
      <c r="J648" s="1" t="s">
        <v>25</v>
      </c>
      <c r="K648" s="1" t="s">
        <v>9</v>
      </c>
      <c r="L648" s="1" t="s">
        <v>78</v>
      </c>
      <c r="M648" s="11" t="s">
        <v>188</v>
      </c>
      <c r="N648" s="1" t="s">
        <v>6037</v>
      </c>
      <c r="O648" s="1" t="s">
        <v>18</v>
      </c>
      <c r="P648" s="1" t="s">
        <v>247</v>
      </c>
      <c r="Q648" s="1" t="s">
        <v>6005</v>
      </c>
      <c r="R648" s="19" t="s">
        <v>5159</v>
      </c>
      <c r="S648" s="1" t="s">
        <v>6152</v>
      </c>
      <c r="T648" s="1" t="s">
        <v>6205</v>
      </c>
      <c r="U648" s="1" t="s">
        <v>6178</v>
      </c>
      <c r="V648" s="1" t="s">
        <v>6159</v>
      </c>
      <c r="W648" s="27">
        <v>60.714285714285708</v>
      </c>
      <c r="X648" s="27">
        <v>71.428571428571431</v>
      </c>
      <c r="Y648" s="33">
        <f>AVERAGE(Table13[[#This Row],[Score 1]],Table13[[#This Row],[Score 2]])</f>
        <v>66.071428571428569</v>
      </c>
      <c r="Z648" s="1">
        <v>2</v>
      </c>
      <c r="AA648" s="1">
        <v>3</v>
      </c>
      <c r="AB648" s="22">
        <f>Table13[[#This Row],[Rank 1]]+Table13[[#This Row],[Rank 2]]</f>
        <v>5</v>
      </c>
      <c r="AC648" s="1" t="str">
        <f>IF(AND(Table13[[#This Row],[Average score]]&gt;75,Table13[[#This Row],[Total rank]]&gt;6.5),"Yes","No")</f>
        <v>No</v>
      </c>
      <c r="AD648" s="1" t="str">
        <f>IF(AND(Table13[[#This Row],[Average score]]&gt;80,Table13[[#This Row],[Total rank]]&gt;7.5),"Yes","No")</f>
        <v>No</v>
      </c>
      <c r="AF648" s="8">
        <v>46048</v>
      </c>
      <c r="AG648" s="1">
        <v>1</v>
      </c>
      <c r="AH648" s="27">
        <v>160000</v>
      </c>
      <c r="AI648" s="30">
        <v>0</v>
      </c>
      <c r="AJ648" s="30">
        <v>0</v>
      </c>
      <c r="AK648" s="30">
        <f>Table13[[#This Row],[Year 1]]</f>
        <v>160000</v>
      </c>
      <c r="AL648" s="30">
        <f>Table13[[#This Row],[Year 2]]</f>
        <v>0</v>
      </c>
      <c r="AM648" s="30">
        <f>Table13[[#This Row],[Year 3]]</f>
        <v>0</v>
      </c>
      <c r="AN648" s="1">
        <v>2</v>
      </c>
    </row>
    <row r="649" spans="1:40" hidden="1" x14ac:dyDescent="0.25">
      <c r="A649" s="1" t="s">
        <v>48</v>
      </c>
      <c r="B649" s="10" t="s">
        <v>2406</v>
      </c>
      <c r="C649" s="1" t="s">
        <v>50</v>
      </c>
      <c r="D649" s="1" t="s">
        <v>3262</v>
      </c>
      <c r="E649" s="1" t="s">
        <v>3263</v>
      </c>
      <c r="F649" s="22" t="s">
        <v>3</v>
      </c>
      <c r="G649" s="1" t="s">
        <v>6085</v>
      </c>
      <c r="H649" s="1" t="s">
        <v>5</v>
      </c>
      <c r="I649" s="1" t="s">
        <v>24</v>
      </c>
      <c r="J649" s="1" t="s">
        <v>25</v>
      </c>
      <c r="K649" s="1" t="s">
        <v>9</v>
      </c>
      <c r="L649" s="1" t="s">
        <v>78</v>
      </c>
      <c r="M649" s="11" t="s">
        <v>188</v>
      </c>
      <c r="N649" s="1" t="s">
        <v>6037</v>
      </c>
      <c r="O649" s="1" t="s">
        <v>14</v>
      </c>
      <c r="P649" s="1" t="s">
        <v>126</v>
      </c>
      <c r="Q649" s="18" t="s">
        <v>5857</v>
      </c>
      <c r="R649" s="1" t="s">
        <v>4688</v>
      </c>
      <c r="S649" s="1" t="s">
        <v>6133</v>
      </c>
      <c r="T649" s="1" t="s">
        <v>6150</v>
      </c>
      <c r="U649" s="1" t="s">
        <v>6158</v>
      </c>
      <c r="V649" s="1" t="s">
        <v>6094</v>
      </c>
      <c r="W649" s="27">
        <v>92.857142857142861</v>
      </c>
      <c r="X649" s="27">
        <v>78.571428571428569</v>
      </c>
      <c r="Y649" s="33">
        <f>AVERAGE(Table13[[#This Row],[Score 1]],Table13[[#This Row],[Score 2]])</f>
        <v>85.714285714285722</v>
      </c>
      <c r="Z649" s="1">
        <v>3</v>
      </c>
      <c r="AA649" s="1">
        <v>4</v>
      </c>
      <c r="AB649" s="22">
        <f>Table13[[#This Row],[Rank 1]]+Table13[[#This Row],[Rank 2]]</f>
        <v>7</v>
      </c>
      <c r="AC649" s="1" t="str">
        <f>IF(AND(Table13[[#This Row],[Average score]]&gt;75,Table13[[#This Row],[Total rank]]&gt;6.5),"Yes","No")</f>
        <v>Yes</v>
      </c>
      <c r="AD649" s="1" t="str">
        <f>IF(AND(Table13[[#This Row],[Average score]]&gt;80,Table13[[#This Row],[Total rank]]&gt;7.5),"Yes","No")</f>
        <v>No</v>
      </c>
      <c r="AF649" s="8">
        <v>46069</v>
      </c>
      <c r="AG649" s="1">
        <v>3</v>
      </c>
      <c r="AH649" s="27">
        <v>381764.23</v>
      </c>
      <c r="AI649" s="27">
        <v>522461.79</v>
      </c>
      <c r="AJ649" s="27">
        <v>522764.23</v>
      </c>
      <c r="AK649" s="27">
        <f>Table13[[#This Row],[Year 1]]</f>
        <v>381764.23</v>
      </c>
      <c r="AL649" s="27">
        <f>Table13[[#This Row],[Year 2]]</f>
        <v>522461.79</v>
      </c>
      <c r="AM649" s="27">
        <f>Table13[[#This Row],[Year 3]]</f>
        <v>522764.23</v>
      </c>
      <c r="AN649" s="1">
        <v>3</v>
      </c>
    </row>
    <row r="650" spans="1:40" hidden="1" x14ac:dyDescent="0.25">
      <c r="A650" s="1" t="s">
        <v>48</v>
      </c>
      <c r="B650" s="1" t="s">
        <v>2615</v>
      </c>
      <c r="C650" s="1" t="s">
        <v>50</v>
      </c>
      <c r="D650" s="1" t="s">
        <v>3677</v>
      </c>
      <c r="E650" s="1" t="s">
        <v>3678</v>
      </c>
      <c r="F650" s="22" t="s">
        <v>3</v>
      </c>
      <c r="G650" s="1" t="s">
        <v>6085</v>
      </c>
      <c r="H650" s="1" t="s">
        <v>5</v>
      </c>
      <c r="I650" s="1" t="s">
        <v>20</v>
      </c>
      <c r="J650" s="1" t="s">
        <v>26</v>
      </c>
      <c r="K650" s="1" t="s">
        <v>9</v>
      </c>
      <c r="L650" s="1" t="s">
        <v>78</v>
      </c>
      <c r="M650" s="11" t="s">
        <v>188</v>
      </c>
      <c r="N650" s="1" t="s">
        <v>6037</v>
      </c>
      <c r="O650" s="1" t="s">
        <v>14</v>
      </c>
      <c r="P650" s="1" t="s">
        <v>107</v>
      </c>
      <c r="Q650" s="1" t="s">
        <v>6007</v>
      </c>
      <c r="R650" s="1" t="s">
        <v>5163</v>
      </c>
      <c r="S650" s="1" t="s">
        <v>6139</v>
      </c>
      <c r="T650" s="1" t="s">
        <v>6140</v>
      </c>
      <c r="U650" s="1" t="s">
        <v>6162</v>
      </c>
      <c r="V650" s="1" t="s">
        <v>6187</v>
      </c>
      <c r="W650" s="27">
        <v>71.428571428571431</v>
      </c>
      <c r="X650" s="27">
        <v>78.571428571428569</v>
      </c>
      <c r="Y650" s="33">
        <f>AVERAGE(Table13[[#This Row],[Score 1]],Table13[[#This Row],[Score 2]])</f>
        <v>75</v>
      </c>
      <c r="Z650" s="1">
        <v>3</v>
      </c>
      <c r="AA650" s="1">
        <v>3</v>
      </c>
      <c r="AB650" s="22">
        <f>Table13[[#This Row],[Rank 1]]+Table13[[#This Row],[Rank 2]]</f>
        <v>6</v>
      </c>
      <c r="AC650" s="1" t="str">
        <f>IF(AND(Table13[[#This Row],[Average score]]&gt;75,Table13[[#This Row],[Total rank]]&gt;6.5),"Yes","No")</f>
        <v>No</v>
      </c>
      <c r="AD650" s="1" t="str">
        <f>IF(AND(Table13[[#This Row],[Average score]]&gt;80,Table13[[#This Row],[Total rank]]&gt;7.5),"Yes","No")</f>
        <v>No</v>
      </c>
      <c r="AF650" s="8">
        <v>45747</v>
      </c>
      <c r="AG650" s="1">
        <v>2</v>
      </c>
      <c r="AH650" s="27">
        <v>118400</v>
      </c>
      <c r="AI650" s="27">
        <v>110400</v>
      </c>
      <c r="AJ650" s="30">
        <v>0</v>
      </c>
      <c r="AK650" s="30">
        <f>Table13[[#This Row],[Year 1]]</f>
        <v>118400</v>
      </c>
      <c r="AL650" s="30">
        <f>Table13[[#This Row],[Year 2]]</f>
        <v>110400</v>
      </c>
      <c r="AM650" s="30">
        <f>Table13[[#This Row],[Year 3]]</f>
        <v>0</v>
      </c>
      <c r="AN650" s="1">
        <v>3</v>
      </c>
    </row>
    <row r="651" spans="1:40" hidden="1" x14ac:dyDescent="0.25">
      <c r="A651" s="1" t="s">
        <v>48</v>
      </c>
      <c r="B651" s="1" t="s">
        <v>2616</v>
      </c>
      <c r="C651" s="1" t="s">
        <v>50</v>
      </c>
      <c r="D651" s="1" t="s">
        <v>3679</v>
      </c>
      <c r="E651" s="1" t="s">
        <v>3680</v>
      </c>
      <c r="F651" s="22" t="s">
        <v>3</v>
      </c>
      <c r="G651" s="1" t="s">
        <v>6085</v>
      </c>
      <c r="H651" s="1" t="s">
        <v>5</v>
      </c>
      <c r="I651" s="1" t="s">
        <v>20</v>
      </c>
      <c r="J651" s="1" t="s">
        <v>26</v>
      </c>
      <c r="K651" s="1" t="s">
        <v>9</v>
      </c>
      <c r="L651" s="1" t="s">
        <v>78</v>
      </c>
      <c r="M651" s="11" t="s">
        <v>188</v>
      </c>
      <c r="N651" s="1" t="s">
        <v>6037</v>
      </c>
      <c r="O651" s="1" t="s">
        <v>19</v>
      </c>
      <c r="P651" s="1" t="s">
        <v>1519</v>
      </c>
      <c r="Q651" s="1" t="s">
        <v>5985</v>
      </c>
      <c r="R651" s="1" t="s">
        <v>5165</v>
      </c>
      <c r="S651" s="1" t="s">
        <v>6137</v>
      </c>
      <c r="T651" s="1" t="s">
        <v>6138</v>
      </c>
      <c r="U651" s="1" t="s">
        <v>6160</v>
      </c>
      <c r="V651" s="1" t="s">
        <v>6203</v>
      </c>
      <c r="W651" s="27">
        <v>89.285714285714292</v>
      </c>
      <c r="X651" s="27">
        <v>53.571428571428569</v>
      </c>
      <c r="Y651" s="33">
        <f>AVERAGE(Table13[[#This Row],[Score 1]],Table13[[#This Row],[Score 2]])</f>
        <v>71.428571428571431</v>
      </c>
      <c r="Z651" s="1">
        <v>5</v>
      </c>
      <c r="AA651" s="1">
        <v>1</v>
      </c>
      <c r="AB651" s="22">
        <f>Table13[[#This Row],[Rank 1]]+Table13[[#This Row],[Rank 2]]</f>
        <v>6</v>
      </c>
      <c r="AC651" s="1" t="str">
        <f>IF(AND(Table13[[#This Row],[Average score]]&gt;75,Table13[[#This Row],[Total rank]]&gt;6.5),"Yes","No")</f>
        <v>No</v>
      </c>
      <c r="AD651" s="1" t="str">
        <f>IF(AND(Table13[[#This Row],[Average score]]&gt;80,Table13[[#This Row],[Total rank]]&gt;7.5),"Yes","No")</f>
        <v>No</v>
      </c>
      <c r="AF651" s="8">
        <v>46036</v>
      </c>
      <c r="AG651" s="1">
        <v>2</v>
      </c>
      <c r="AH651" s="27">
        <v>303000</v>
      </c>
      <c r="AI651" s="27">
        <v>327000</v>
      </c>
      <c r="AJ651" s="30">
        <v>0</v>
      </c>
      <c r="AK651" s="30">
        <f>Table13[[#This Row],[Year 1]]</f>
        <v>303000</v>
      </c>
      <c r="AL651" s="30">
        <f>Table13[[#This Row],[Year 2]]</f>
        <v>327000</v>
      </c>
      <c r="AM651" s="30">
        <f>Table13[[#This Row],[Year 3]]</f>
        <v>0</v>
      </c>
      <c r="AN651" s="1">
        <v>3</v>
      </c>
    </row>
    <row r="652" spans="1:40" hidden="1" x14ac:dyDescent="0.25">
      <c r="A652" s="1" t="s">
        <v>48</v>
      </c>
      <c r="B652" s="1" t="s">
        <v>2617</v>
      </c>
      <c r="C652" s="1" t="s">
        <v>50</v>
      </c>
      <c r="D652" s="1" t="s">
        <v>3681</v>
      </c>
      <c r="E652" s="1" t="s">
        <v>3682</v>
      </c>
      <c r="F652" s="22" t="s">
        <v>3</v>
      </c>
      <c r="G652" s="1" t="s">
        <v>6085</v>
      </c>
      <c r="H652" s="1" t="s">
        <v>5</v>
      </c>
      <c r="I652" s="1" t="s">
        <v>20</v>
      </c>
      <c r="J652" s="1" t="s">
        <v>25</v>
      </c>
      <c r="K652" s="1" t="s">
        <v>9</v>
      </c>
      <c r="L652" s="1" t="s">
        <v>78</v>
      </c>
      <c r="M652" s="11" t="s">
        <v>188</v>
      </c>
      <c r="N652" s="1" t="s">
        <v>6037</v>
      </c>
      <c r="O652" s="1" t="s">
        <v>16</v>
      </c>
      <c r="P652" s="1" t="s">
        <v>1456</v>
      </c>
      <c r="Q652" s="1" t="s">
        <v>6008</v>
      </c>
      <c r="R652" s="1" t="s">
        <v>5167</v>
      </c>
      <c r="S652" s="1" t="s">
        <v>6119</v>
      </c>
      <c r="T652" s="1" t="s">
        <v>6120</v>
      </c>
      <c r="U652" s="1" t="s">
        <v>6129</v>
      </c>
      <c r="V652" s="1" t="s">
        <v>6189</v>
      </c>
      <c r="W652" s="27">
        <v>75</v>
      </c>
      <c r="X652" s="27">
        <v>92.857142857142861</v>
      </c>
      <c r="Y652" s="33">
        <f>AVERAGE(Table13[[#This Row],[Score 1]],Table13[[#This Row],[Score 2]])</f>
        <v>83.928571428571431</v>
      </c>
      <c r="Z652" s="1">
        <v>3</v>
      </c>
      <c r="AA652" s="1">
        <v>5</v>
      </c>
      <c r="AB652" s="22">
        <f>Table13[[#This Row],[Rank 1]]+Table13[[#This Row],[Rank 2]]</f>
        <v>8</v>
      </c>
      <c r="AC652" s="1" t="str">
        <f>IF(AND(Table13[[#This Row],[Average score]]&gt;75,Table13[[#This Row],[Total rank]]&gt;6.5),"Yes","No")</f>
        <v>Yes</v>
      </c>
      <c r="AD652" s="1" t="str">
        <f>IF(AND(Table13[[#This Row],[Average score]]&gt;80,Table13[[#This Row],[Total rank]]&gt;7.5),"Yes","No")</f>
        <v>Yes</v>
      </c>
      <c r="AF652" s="8">
        <v>45505</v>
      </c>
      <c r="AG652" s="1">
        <v>2</v>
      </c>
      <c r="AH652" s="27">
        <v>342500</v>
      </c>
      <c r="AI652" s="27">
        <v>349700</v>
      </c>
      <c r="AJ652" s="30">
        <v>0</v>
      </c>
      <c r="AK652" s="30">
        <f>Table13[[#This Row],[Year 1]]</f>
        <v>342500</v>
      </c>
      <c r="AL652" s="30">
        <f>Table13[[#This Row],[Year 2]]</f>
        <v>349700</v>
      </c>
      <c r="AM652" s="30">
        <f>Table13[[#This Row],[Year 3]]</f>
        <v>0</v>
      </c>
      <c r="AN652" s="1">
        <v>3</v>
      </c>
    </row>
    <row r="653" spans="1:40" hidden="1" x14ac:dyDescent="0.25">
      <c r="A653" s="1" t="s">
        <v>48</v>
      </c>
      <c r="B653" s="2" t="s">
        <v>2618</v>
      </c>
      <c r="C653" s="1" t="s">
        <v>50</v>
      </c>
      <c r="D653" s="1" t="s">
        <v>3683</v>
      </c>
      <c r="E653" s="1" t="s">
        <v>3684</v>
      </c>
      <c r="F653" s="22" t="s">
        <v>3</v>
      </c>
      <c r="G653" s="1" t="s">
        <v>6085</v>
      </c>
      <c r="H653" s="1" t="s">
        <v>5</v>
      </c>
      <c r="I653" s="1" t="s">
        <v>20</v>
      </c>
      <c r="J653" s="1" t="s">
        <v>26</v>
      </c>
      <c r="K653" s="1" t="s">
        <v>9</v>
      </c>
      <c r="L653" s="1" t="s">
        <v>78</v>
      </c>
      <c r="M653" s="11" t="s">
        <v>188</v>
      </c>
      <c r="N653" s="1" t="s">
        <v>6037</v>
      </c>
      <c r="O653" s="1" t="s">
        <v>10</v>
      </c>
      <c r="P653" s="1" t="s">
        <v>306</v>
      </c>
      <c r="Q653" s="18" t="s">
        <v>5747</v>
      </c>
      <c r="R653" s="1" t="s">
        <v>5170</v>
      </c>
      <c r="S653" s="1" t="s">
        <v>6051</v>
      </c>
      <c r="T653" s="1" t="s">
        <v>6047</v>
      </c>
      <c r="U653" s="1" t="s">
        <v>6106</v>
      </c>
      <c r="V653" s="1" t="s">
        <v>6193</v>
      </c>
      <c r="W653" s="27">
        <v>57.142857142857139</v>
      </c>
      <c r="X653" s="27">
        <v>57.142857142857139</v>
      </c>
      <c r="Y653" s="33">
        <f>AVERAGE(Table13[[#This Row],[Score 1]],Table13[[#This Row],[Score 2]])</f>
        <v>57.142857142857139</v>
      </c>
      <c r="Z653" s="1">
        <v>2</v>
      </c>
      <c r="AA653" s="1">
        <v>2</v>
      </c>
      <c r="AB653" s="22">
        <f>Table13[[#This Row],[Rank 1]]+Table13[[#This Row],[Rank 2]]</f>
        <v>4</v>
      </c>
      <c r="AC653" s="1" t="str">
        <f>IF(AND(Table13[[#This Row],[Average score]]&gt;75,Table13[[#This Row],[Total rank]]&gt;6.5),"Yes","No")</f>
        <v>No</v>
      </c>
      <c r="AD653" s="1" t="str">
        <f>IF(AND(Table13[[#This Row],[Average score]]&gt;80,Table13[[#This Row],[Total rank]]&gt;7.5),"Yes","No")</f>
        <v>No</v>
      </c>
      <c r="AF653" s="8">
        <v>45920</v>
      </c>
      <c r="AG653" s="1">
        <v>3</v>
      </c>
      <c r="AH653" s="27">
        <v>144847</v>
      </c>
      <c r="AI653" s="27">
        <v>144847</v>
      </c>
      <c r="AJ653" s="27">
        <v>144847</v>
      </c>
      <c r="AK653" s="27">
        <f>Table13[[#This Row],[Year 1]]</f>
        <v>144847</v>
      </c>
      <c r="AL653" s="27">
        <f>Table13[[#This Row],[Year 2]]</f>
        <v>144847</v>
      </c>
      <c r="AM653" s="27">
        <f>Table13[[#This Row],[Year 3]]</f>
        <v>144847</v>
      </c>
      <c r="AN653" s="1">
        <v>3</v>
      </c>
    </row>
    <row r="654" spans="1:40" hidden="1" x14ac:dyDescent="0.25">
      <c r="A654" s="1" t="s">
        <v>48</v>
      </c>
      <c r="B654" s="1" t="s">
        <v>2619</v>
      </c>
      <c r="C654" s="1" t="s">
        <v>50</v>
      </c>
      <c r="D654" s="1" t="s">
        <v>3685</v>
      </c>
      <c r="E654" s="1" t="s">
        <v>3686</v>
      </c>
      <c r="F654" s="22" t="s">
        <v>3</v>
      </c>
      <c r="G654" s="1" t="s">
        <v>6085</v>
      </c>
      <c r="H654" s="1" t="s">
        <v>6</v>
      </c>
      <c r="I654" s="1" t="s">
        <v>20</v>
      </c>
      <c r="J654" s="1" t="s">
        <v>26</v>
      </c>
      <c r="K654" s="1" t="s">
        <v>9</v>
      </c>
      <c r="L654" s="1" t="s">
        <v>78</v>
      </c>
      <c r="M654" s="11" t="s">
        <v>188</v>
      </c>
      <c r="N654" s="1" t="s">
        <v>6037</v>
      </c>
      <c r="O654" s="1" t="s">
        <v>14</v>
      </c>
      <c r="P654" s="1" t="s">
        <v>5172</v>
      </c>
      <c r="Q654" s="1" t="s">
        <v>6009</v>
      </c>
      <c r="R654" s="1" t="s">
        <v>5173</v>
      </c>
      <c r="S654" s="1" t="s">
        <v>6141</v>
      </c>
      <c r="T654" s="11" t="s">
        <v>6150</v>
      </c>
      <c r="U654" s="1" t="s">
        <v>6158</v>
      </c>
      <c r="V654" s="1" t="s">
        <v>6165</v>
      </c>
      <c r="W654" s="27">
        <v>82.142857142857139</v>
      </c>
      <c r="X654" s="27">
        <v>71.428571428571431</v>
      </c>
      <c r="Y654" s="33">
        <f>AVERAGE(Table13[[#This Row],[Score 1]],Table13[[#This Row],[Score 2]])</f>
        <v>76.785714285714278</v>
      </c>
      <c r="Z654" s="1">
        <v>5</v>
      </c>
      <c r="AA654" s="1">
        <v>4</v>
      </c>
      <c r="AB654" s="22">
        <f>Table13[[#This Row],[Rank 1]]+Table13[[#This Row],[Rank 2]]</f>
        <v>9</v>
      </c>
      <c r="AC654" s="1" t="str">
        <f>IF(AND(Table13[[#This Row],[Average score]]&gt;75,Table13[[#This Row],[Total rank]]&gt;6.5),"Yes","No")</f>
        <v>Yes</v>
      </c>
      <c r="AD654" s="1" t="str">
        <f>IF(AND(Table13[[#This Row],[Average score]]&gt;80,Table13[[#This Row],[Total rank]]&gt;7.5),"Yes","No")</f>
        <v>No</v>
      </c>
      <c r="AF654" s="8">
        <v>46023</v>
      </c>
      <c r="AG654" s="1">
        <v>2</v>
      </c>
      <c r="AH654" s="27">
        <v>107000</v>
      </c>
      <c r="AI654" s="27">
        <v>114000</v>
      </c>
      <c r="AJ654" s="30">
        <v>0</v>
      </c>
      <c r="AK654" s="30">
        <f>Table13[[#This Row],[Year 1]]</f>
        <v>107000</v>
      </c>
      <c r="AL654" s="30">
        <f>Table13[[#This Row],[Year 2]]</f>
        <v>114000</v>
      </c>
      <c r="AM654" s="30">
        <f>Table13[[#This Row],[Year 3]]</f>
        <v>0</v>
      </c>
      <c r="AN654" s="1">
        <v>2</v>
      </c>
    </row>
    <row r="655" spans="1:40" hidden="1" x14ac:dyDescent="0.25">
      <c r="A655" s="1" t="s">
        <v>48</v>
      </c>
      <c r="B655" s="1" t="s">
        <v>2620</v>
      </c>
      <c r="C655" s="1" t="s">
        <v>50</v>
      </c>
      <c r="D655" s="1" t="s">
        <v>3687</v>
      </c>
      <c r="E655" s="1" t="s">
        <v>3688</v>
      </c>
      <c r="F655" s="22" t="s">
        <v>3</v>
      </c>
      <c r="G655" s="1" t="s">
        <v>6085</v>
      </c>
      <c r="H655" s="1" t="s">
        <v>5</v>
      </c>
      <c r="I655" s="1" t="s">
        <v>20</v>
      </c>
      <c r="J655" s="1" t="s">
        <v>26</v>
      </c>
      <c r="K655" s="1" t="s">
        <v>9</v>
      </c>
      <c r="L655" s="1" t="s">
        <v>78</v>
      </c>
      <c r="M655" s="11" t="s">
        <v>188</v>
      </c>
      <c r="N655" s="1" t="s">
        <v>6037</v>
      </c>
      <c r="O655" s="1" t="s">
        <v>13</v>
      </c>
      <c r="P655" s="1" t="s">
        <v>126</v>
      </c>
      <c r="Q655" s="1" t="s">
        <v>6010</v>
      </c>
      <c r="R655" s="1" t="s">
        <v>5174</v>
      </c>
      <c r="S655" s="1" t="s">
        <v>6081</v>
      </c>
      <c r="T655" s="1" t="s">
        <v>6082</v>
      </c>
      <c r="U655" s="1" t="s">
        <v>6097</v>
      </c>
      <c r="V655" s="1" t="s">
        <v>6188</v>
      </c>
      <c r="W655" s="27">
        <v>57.142857142857139</v>
      </c>
      <c r="X655" s="27">
        <v>78.571428571428569</v>
      </c>
      <c r="Y655" s="33">
        <f>AVERAGE(Table13[[#This Row],[Score 1]],Table13[[#This Row],[Score 2]])</f>
        <v>67.857142857142861</v>
      </c>
      <c r="Z655" s="1">
        <v>3</v>
      </c>
      <c r="AA655" s="1">
        <v>3</v>
      </c>
      <c r="AB655" s="22">
        <f>Table13[[#This Row],[Rank 1]]+Table13[[#This Row],[Rank 2]]</f>
        <v>6</v>
      </c>
      <c r="AC655" s="1" t="str">
        <f>IF(AND(Table13[[#This Row],[Average score]]&gt;75,Table13[[#This Row],[Total rank]]&gt;6.5),"Yes","No")</f>
        <v>No</v>
      </c>
      <c r="AD655" s="1" t="str">
        <f>IF(AND(Table13[[#This Row],[Average score]]&gt;80,Table13[[#This Row],[Total rank]]&gt;7.5),"Yes","No")</f>
        <v>No</v>
      </c>
      <c r="AF655" s="8">
        <v>46045</v>
      </c>
      <c r="AG655" s="1">
        <v>3</v>
      </c>
      <c r="AH655" s="27">
        <v>-129000</v>
      </c>
      <c r="AI655" s="27">
        <v>-139000</v>
      </c>
      <c r="AJ655" s="27">
        <v>-129000</v>
      </c>
      <c r="AK655" s="27">
        <f>Table13[[#This Row],[Year 1]]</f>
        <v>-129000</v>
      </c>
      <c r="AL655" s="27">
        <f>Table13[[#This Row],[Year 2]]</f>
        <v>-139000</v>
      </c>
      <c r="AM655" s="27">
        <f>Table13[[#This Row],[Year 3]]</f>
        <v>-129000</v>
      </c>
      <c r="AN655" s="1">
        <v>3</v>
      </c>
    </row>
    <row r="656" spans="1:40" hidden="1" x14ac:dyDescent="0.25">
      <c r="A656" s="1" t="s">
        <v>48</v>
      </c>
      <c r="B656" s="1" t="s">
        <v>2621</v>
      </c>
      <c r="C656" s="1" t="s">
        <v>50</v>
      </c>
      <c r="D656" s="1" t="s">
        <v>3689</v>
      </c>
      <c r="E656" s="1" t="s">
        <v>3690</v>
      </c>
      <c r="F656" s="22" t="s">
        <v>3</v>
      </c>
      <c r="G656" s="1" t="s">
        <v>6085</v>
      </c>
      <c r="H656" s="1" t="s">
        <v>6</v>
      </c>
      <c r="I656" s="1" t="s">
        <v>21</v>
      </c>
      <c r="J656" s="1" t="s">
        <v>25</v>
      </c>
      <c r="K656" s="1" t="s">
        <v>9</v>
      </c>
      <c r="L656" s="1" t="s">
        <v>78</v>
      </c>
      <c r="M656" s="11" t="s">
        <v>188</v>
      </c>
      <c r="N656" s="1" t="s">
        <v>6037</v>
      </c>
      <c r="O656" s="1" t="s">
        <v>13</v>
      </c>
      <c r="P656" s="1" t="s">
        <v>126</v>
      </c>
      <c r="Q656" s="1" t="s">
        <v>6011</v>
      </c>
      <c r="R656" s="1" t="s">
        <v>5177</v>
      </c>
      <c r="S656" s="1" t="s">
        <v>6081</v>
      </c>
      <c r="T656" s="1" t="s">
        <v>6082</v>
      </c>
      <c r="U656" s="1" t="s">
        <v>6097</v>
      </c>
      <c r="V656" s="1" t="s">
        <v>6188</v>
      </c>
      <c r="W656" s="27">
        <v>78.571428571428569</v>
      </c>
      <c r="X656" s="27">
        <v>92.857142857142861</v>
      </c>
      <c r="Y656" s="33">
        <f>AVERAGE(Table13[[#This Row],[Score 1]],Table13[[#This Row],[Score 2]])</f>
        <v>85.714285714285722</v>
      </c>
      <c r="Z656" s="1">
        <v>4</v>
      </c>
      <c r="AA656" s="1">
        <v>5</v>
      </c>
      <c r="AB656" s="22">
        <f>Table13[[#This Row],[Rank 1]]+Table13[[#This Row],[Rank 2]]</f>
        <v>9</v>
      </c>
      <c r="AC656" s="1" t="str">
        <f>IF(AND(Table13[[#This Row],[Average score]]&gt;75,Table13[[#This Row],[Total rank]]&gt;6.5),"Yes","No")</f>
        <v>Yes</v>
      </c>
      <c r="AD656" s="1" t="str">
        <f>IF(AND(Table13[[#This Row],[Average score]]&gt;80,Table13[[#This Row],[Total rank]]&gt;7.5),"Yes","No")</f>
        <v>Yes</v>
      </c>
      <c r="AF656" s="8">
        <v>45663</v>
      </c>
      <c r="AG656" s="1">
        <v>1</v>
      </c>
      <c r="AH656" s="27">
        <v>281000</v>
      </c>
      <c r="AI656" s="30">
        <v>0</v>
      </c>
      <c r="AJ656" s="30">
        <v>0</v>
      </c>
      <c r="AK656" s="30">
        <v>250000</v>
      </c>
      <c r="AL656" s="30">
        <f>Table13[[#This Row],[Year 2]]</f>
        <v>0</v>
      </c>
      <c r="AM656" s="30">
        <f>Table13[[#This Row],[Year 3]]</f>
        <v>0</v>
      </c>
      <c r="AN656" s="1">
        <v>3</v>
      </c>
    </row>
    <row r="657" spans="1:40" hidden="1" x14ac:dyDescent="0.25">
      <c r="A657" s="1" t="s">
        <v>48</v>
      </c>
      <c r="B657" s="1" t="s">
        <v>2623</v>
      </c>
      <c r="C657" s="1" t="s">
        <v>50</v>
      </c>
      <c r="D657" s="1" t="s">
        <v>3693</v>
      </c>
      <c r="E657" s="1" t="s">
        <v>3694</v>
      </c>
      <c r="F657" s="22" t="s">
        <v>3</v>
      </c>
      <c r="G657" s="1" t="s">
        <v>6085</v>
      </c>
      <c r="H657" s="1" t="s">
        <v>5</v>
      </c>
      <c r="I657" s="1" t="s">
        <v>22</v>
      </c>
      <c r="J657" s="1" t="s">
        <v>25</v>
      </c>
      <c r="K657" s="1" t="s">
        <v>9</v>
      </c>
      <c r="L657" s="1" t="s">
        <v>78</v>
      </c>
      <c r="M657" s="11" t="s">
        <v>188</v>
      </c>
      <c r="N657" s="1" t="s">
        <v>6037</v>
      </c>
      <c r="O657" s="1" t="s">
        <v>13</v>
      </c>
      <c r="P657" s="1" t="s">
        <v>126</v>
      </c>
      <c r="Q657" s="1" t="s">
        <v>6012</v>
      </c>
      <c r="R657" s="1" t="s">
        <v>5181</v>
      </c>
      <c r="S657" s="1" t="s">
        <v>6081</v>
      </c>
      <c r="T657" s="1" t="s">
        <v>6082</v>
      </c>
      <c r="U657" s="1" t="s">
        <v>6097</v>
      </c>
      <c r="V657" s="1" t="s">
        <v>6188</v>
      </c>
      <c r="W657" s="27">
        <v>75</v>
      </c>
      <c r="X657" s="27">
        <v>89.285714285714292</v>
      </c>
      <c r="Y657" s="33">
        <f>AVERAGE(Table13[[#This Row],[Score 1]],Table13[[#This Row],[Score 2]])</f>
        <v>82.142857142857139</v>
      </c>
      <c r="Z657" s="1">
        <v>4</v>
      </c>
      <c r="AA657" s="1">
        <v>5</v>
      </c>
      <c r="AB657" s="22">
        <f>Table13[[#This Row],[Rank 1]]+Table13[[#This Row],[Rank 2]]</f>
        <v>9</v>
      </c>
      <c r="AC657" s="1" t="str">
        <f>IF(AND(Table13[[#This Row],[Average score]]&gt;75,Table13[[#This Row],[Total rank]]&gt;6.5),"Yes","No")</f>
        <v>Yes</v>
      </c>
      <c r="AD657" s="1" t="str">
        <f>IF(AND(Table13[[#This Row],[Average score]]&gt;80,Table13[[#This Row],[Total rank]]&gt;7.5),"Yes","No")</f>
        <v>Yes</v>
      </c>
      <c r="AF657" s="8">
        <v>45874</v>
      </c>
      <c r="AG657" s="1">
        <v>3</v>
      </c>
      <c r="AH657" s="27">
        <v>144130</v>
      </c>
      <c r="AI657" s="27">
        <v>67170</v>
      </c>
      <c r="AJ657" s="27">
        <v>69000</v>
      </c>
      <c r="AK657" s="27">
        <f>Table13[[#This Row],[Year 1]]</f>
        <v>144130</v>
      </c>
      <c r="AL657" s="27">
        <f>Table13[[#This Row],[Year 2]]</f>
        <v>67170</v>
      </c>
      <c r="AM657" s="27">
        <f>Table13[[#This Row],[Year 3]]</f>
        <v>69000</v>
      </c>
      <c r="AN657" s="1">
        <v>3</v>
      </c>
    </row>
    <row r="658" spans="1:40" hidden="1" x14ac:dyDescent="0.25">
      <c r="A658" s="1" t="s">
        <v>48</v>
      </c>
      <c r="B658" s="1" t="s">
        <v>2624</v>
      </c>
      <c r="C658" s="1" t="s">
        <v>50</v>
      </c>
      <c r="D658" s="1" t="s">
        <v>3695</v>
      </c>
      <c r="E658" s="1" t="s">
        <v>3696</v>
      </c>
      <c r="F658" s="22" t="s">
        <v>3</v>
      </c>
      <c r="G658" s="1" t="s">
        <v>6085</v>
      </c>
      <c r="H658" s="1" t="s">
        <v>5</v>
      </c>
      <c r="I658" s="1" t="s">
        <v>24</v>
      </c>
      <c r="J658" s="1" t="s">
        <v>26</v>
      </c>
      <c r="K658" s="1" t="s">
        <v>9</v>
      </c>
      <c r="L658" s="1" t="s">
        <v>78</v>
      </c>
      <c r="M658" s="11" t="s">
        <v>188</v>
      </c>
      <c r="N658" s="1" t="s">
        <v>6037</v>
      </c>
      <c r="O658" s="1" t="s">
        <v>16</v>
      </c>
      <c r="P658" s="1" t="s">
        <v>162</v>
      </c>
      <c r="Q658" s="1" t="s">
        <v>6013</v>
      </c>
      <c r="R658" s="1" t="s">
        <v>5185</v>
      </c>
      <c r="S658" s="1" t="s">
        <v>6115</v>
      </c>
      <c r="T658" s="1" t="s">
        <v>6116</v>
      </c>
      <c r="U658" s="1" t="s">
        <v>6130</v>
      </c>
      <c r="V658" s="1" t="s">
        <v>6191</v>
      </c>
      <c r="W658" s="27">
        <v>85.714285714285708</v>
      </c>
      <c r="X658" s="27">
        <v>92.857142857142861</v>
      </c>
      <c r="Y658" s="33">
        <f>AVERAGE(Table13[[#This Row],[Score 1]],Table13[[#This Row],[Score 2]])</f>
        <v>89.285714285714278</v>
      </c>
      <c r="Z658" s="1">
        <v>4</v>
      </c>
      <c r="AA658" s="1">
        <v>4</v>
      </c>
      <c r="AB658" s="22">
        <f>Table13[[#This Row],[Rank 1]]+Table13[[#This Row],[Rank 2]]</f>
        <v>8</v>
      </c>
      <c r="AC658" s="1" t="str">
        <f>IF(AND(Table13[[#This Row],[Average score]]&gt;75,Table13[[#This Row],[Total rank]]&gt;6.5),"Yes","No")</f>
        <v>Yes</v>
      </c>
      <c r="AD658" s="1" t="str">
        <f>IF(AND(Table13[[#This Row],[Average score]]&gt;80,Table13[[#This Row],[Total rank]]&gt;7.5),"Yes","No")</f>
        <v>Yes</v>
      </c>
      <c r="AF658" s="8">
        <v>46027</v>
      </c>
      <c r="AG658" s="1">
        <v>3</v>
      </c>
      <c r="AH658" s="27">
        <v>239070</v>
      </c>
      <c r="AI658" s="27">
        <v>269070</v>
      </c>
      <c r="AJ658" s="27">
        <v>269070</v>
      </c>
      <c r="AK658" s="27">
        <f>Table13[[#This Row],[Year 1]]</f>
        <v>239070</v>
      </c>
      <c r="AL658" s="27">
        <f>Table13[[#This Row],[Year 2]]</f>
        <v>269070</v>
      </c>
      <c r="AM658" s="27">
        <f>Table13[[#This Row],[Year 3]]</f>
        <v>269070</v>
      </c>
      <c r="AN658" s="1">
        <v>2</v>
      </c>
    </row>
    <row r="659" spans="1:40" hidden="1" x14ac:dyDescent="0.25">
      <c r="A659" s="1" t="s">
        <v>48</v>
      </c>
      <c r="B659" s="1" t="s">
        <v>2626</v>
      </c>
      <c r="C659" s="1" t="s">
        <v>50</v>
      </c>
      <c r="D659" s="1" t="s">
        <v>3699</v>
      </c>
      <c r="E659" s="1" t="s">
        <v>3700</v>
      </c>
      <c r="F659" s="22" t="s">
        <v>3</v>
      </c>
      <c r="G659" s="1" t="s">
        <v>6085</v>
      </c>
      <c r="H659" s="1" t="s">
        <v>6</v>
      </c>
      <c r="I659" s="1" t="s">
        <v>20</v>
      </c>
      <c r="J659" s="1" t="s">
        <v>25</v>
      </c>
      <c r="K659" s="1" t="s">
        <v>9</v>
      </c>
      <c r="L659" s="1" t="s">
        <v>78</v>
      </c>
      <c r="M659" s="11" t="s">
        <v>188</v>
      </c>
      <c r="N659" s="1" t="s">
        <v>6037</v>
      </c>
      <c r="O659" s="1" t="s">
        <v>12</v>
      </c>
      <c r="P659" s="1" t="s">
        <v>126</v>
      </c>
      <c r="Q659" s="1" t="s">
        <v>6014</v>
      </c>
      <c r="R659" s="1" t="s">
        <v>5189</v>
      </c>
      <c r="S659" s="1" t="s">
        <v>6153</v>
      </c>
      <c r="T659" s="1" t="s">
        <v>6168</v>
      </c>
      <c r="U659" s="1" t="s">
        <v>6173</v>
      </c>
      <c r="V659" s="1" t="s">
        <v>6157</v>
      </c>
      <c r="W659" s="27">
        <v>82.142857142857139</v>
      </c>
      <c r="X659" s="27">
        <v>67.857142857142861</v>
      </c>
      <c r="Y659" s="33">
        <f>AVERAGE(Table13[[#This Row],[Score 1]],Table13[[#This Row],[Score 2]])</f>
        <v>75</v>
      </c>
      <c r="Z659" s="1">
        <v>4</v>
      </c>
      <c r="AA659" s="1">
        <v>3</v>
      </c>
      <c r="AB659" s="22">
        <f>Table13[[#This Row],[Rank 1]]+Table13[[#This Row],[Rank 2]]</f>
        <v>7</v>
      </c>
      <c r="AC659" s="1" t="str">
        <f>IF(AND(Table13[[#This Row],[Average score]]&gt;75,Table13[[#This Row],[Total rank]]&gt;6.5),"Yes","No")</f>
        <v>No</v>
      </c>
      <c r="AD659" s="1" t="str">
        <f>IF(AND(Table13[[#This Row],[Average score]]&gt;80,Table13[[#This Row],[Total rank]]&gt;7.5),"Yes","No")</f>
        <v>No</v>
      </c>
      <c r="AF659" s="8">
        <v>46041</v>
      </c>
      <c r="AG659" s="1">
        <v>1</v>
      </c>
      <c r="AH659" s="27">
        <v>158320</v>
      </c>
      <c r="AI659" s="30">
        <v>0</v>
      </c>
      <c r="AJ659" s="30">
        <v>0</v>
      </c>
      <c r="AK659" s="30">
        <f>Table13[[#This Row],[Year 1]]</f>
        <v>158320</v>
      </c>
      <c r="AL659" s="30">
        <f>Table13[[#This Row],[Year 2]]</f>
        <v>0</v>
      </c>
      <c r="AM659" s="30">
        <f>Table13[[#This Row],[Year 3]]</f>
        <v>0</v>
      </c>
      <c r="AN659" s="1">
        <v>3</v>
      </c>
    </row>
    <row r="660" spans="1:40" hidden="1" x14ac:dyDescent="0.25">
      <c r="A660" s="1" t="s">
        <v>48</v>
      </c>
      <c r="B660" s="1" t="s">
        <v>2628</v>
      </c>
      <c r="C660" s="1" t="s">
        <v>50</v>
      </c>
      <c r="D660" s="1" t="s">
        <v>3703</v>
      </c>
      <c r="E660" s="1" t="s">
        <v>3704</v>
      </c>
      <c r="F660" s="22" t="s">
        <v>3</v>
      </c>
      <c r="G660" s="1" t="s">
        <v>6085</v>
      </c>
      <c r="H660" s="1" t="s">
        <v>5</v>
      </c>
      <c r="I660" s="1" t="s">
        <v>20</v>
      </c>
      <c r="J660" s="1" t="s">
        <v>26</v>
      </c>
      <c r="K660" s="1" t="s">
        <v>9</v>
      </c>
      <c r="L660" s="1" t="s">
        <v>78</v>
      </c>
      <c r="M660" s="11" t="s">
        <v>188</v>
      </c>
      <c r="N660" s="1" t="s">
        <v>6037</v>
      </c>
      <c r="O660" s="1" t="s">
        <v>10</v>
      </c>
      <c r="P660" s="1" t="s">
        <v>247</v>
      </c>
      <c r="Q660" s="19" t="s">
        <v>5714</v>
      </c>
      <c r="R660" s="1" t="s">
        <v>5192</v>
      </c>
      <c r="S660" s="1" t="s">
        <v>6045</v>
      </c>
      <c r="T660" s="1" t="s">
        <v>6046</v>
      </c>
      <c r="U660" s="1" t="s">
        <v>6098</v>
      </c>
      <c r="V660" s="1" t="s">
        <v>6190</v>
      </c>
      <c r="W660" s="27">
        <v>71.428571428571431</v>
      </c>
      <c r="X660" s="27">
        <v>96.428571428571431</v>
      </c>
      <c r="Y660" s="33">
        <f>AVERAGE(Table13[[#This Row],[Score 1]],Table13[[#This Row],[Score 2]])</f>
        <v>83.928571428571431</v>
      </c>
      <c r="Z660" s="1">
        <v>3</v>
      </c>
      <c r="AA660" s="1">
        <v>5</v>
      </c>
      <c r="AB660" s="22">
        <f>Table13[[#This Row],[Rank 1]]+Table13[[#This Row],[Rank 2]]</f>
        <v>8</v>
      </c>
      <c r="AC660" s="1" t="str">
        <f>IF(AND(Table13[[#This Row],[Average score]]&gt;75,Table13[[#This Row],[Total rank]]&gt;6.5),"Yes","No")</f>
        <v>Yes</v>
      </c>
      <c r="AD660" s="1" t="str">
        <f>IF(AND(Table13[[#This Row],[Average score]]&gt;80,Table13[[#This Row],[Total rank]]&gt;7.5),"Yes","No")</f>
        <v>Yes</v>
      </c>
      <c r="AF660" s="8">
        <v>46023</v>
      </c>
      <c r="AG660" s="1">
        <v>3</v>
      </c>
      <c r="AH660" s="27">
        <v>36431</v>
      </c>
      <c r="AI660" s="27">
        <v>65074.1</v>
      </c>
      <c r="AJ660" s="27">
        <v>69081.509999999995</v>
      </c>
      <c r="AK660" s="27">
        <f>Table13[[#This Row],[Year 1]]</f>
        <v>36431</v>
      </c>
      <c r="AL660" s="27">
        <f>Table13[[#This Row],[Year 2]]</f>
        <v>65074.1</v>
      </c>
      <c r="AM660" s="27">
        <f>Table13[[#This Row],[Year 3]]</f>
        <v>69081.509999999995</v>
      </c>
      <c r="AN660" s="1">
        <v>3</v>
      </c>
    </row>
    <row r="661" spans="1:40" hidden="1" x14ac:dyDescent="0.25">
      <c r="A661" s="1" t="s">
        <v>48</v>
      </c>
      <c r="B661" s="1" t="s">
        <v>2630</v>
      </c>
      <c r="C661" s="1" t="s">
        <v>50</v>
      </c>
      <c r="D661" s="1" t="s">
        <v>3707</v>
      </c>
      <c r="E661" s="1" t="s">
        <v>3708</v>
      </c>
      <c r="F661" s="22" t="s">
        <v>3</v>
      </c>
      <c r="G661" s="1" t="s">
        <v>6085</v>
      </c>
      <c r="H661" s="1" t="s">
        <v>5</v>
      </c>
      <c r="I661" s="1" t="s">
        <v>21</v>
      </c>
      <c r="J661" s="1" t="s">
        <v>25</v>
      </c>
      <c r="K661" s="1" t="s">
        <v>9</v>
      </c>
      <c r="L661" s="1" t="s">
        <v>78</v>
      </c>
      <c r="M661" s="11" t="s">
        <v>188</v>
      </c>
      <c r="N661" s="1" t="s">
        <v>6037</v>
      </c>
      <c r="O661" s="1" t="s">
        <v>13</v>
      </c>
      <c r="P661" s="1" t="s">
        <v>247</v>
      </c>
      <c r="Q661" s="1" t="s">
        <v>6017</v>
      </c>
      <c r="R661" s="1" t="s">
        <v>5198</v>
      </c>
      <c r="S661" s="1" t="s">
        <v>6081</v>
      </c>
      <c r="T661" s="1" t="s">
        <v>6082</v>
      </c>
      <c r="U661" s="1" t="s">
        <v>6097</v>
      </c>
      <c r="V661" s="1" t="s">
        <v>6188</v>
      </c>
      <c r="W661" s="27">
        <v>85.714285714285708</v>
      </c>
      <c r="X661" s="27">
        <v>82.142857142857139</v>
      </c>
      <c r="Y661" s="33">
        <f>AVERAGE(Table13[[#This Row],[Score 1]],Table13[[#This Row],[Score 2]])</f>
        <v>83.928571428571416</v>
      </c>
      <c r="Z661" s="1">
        <v>4</v>
      </c>
      <c r="AA661" s="1">
        <v>4</v>
      </c>
      <c r="AB661" s="22">
        <f>Table13[[#This Row],[Rank 1]]+Table13[[#This Row],[Rank 2]]</f>
        <v>8</v>
      </c>
      <c r="AC661" s="1" t="str">
        <f>IF(AND(Table13[[#This Row],[Average score]]&gt;75,Table13[[#This Row],[Total rank]]&gt;6.5),"Yes","No")</f>
        <v>Yes</v>
      </c>
      <c r="AD661" s="1" t="str">
        <f>IF(AND(Table13[[#This Row],[Average score]]&gt;80,Table13[[#This Row],[Total rank]]&gt;7.5),"Yes","No")</f>
        <v>Yes</v>
      </c>
      <c r="AF661" s="8">
        <v>46027</v>
      </c>
      <c r="AG661" s="1">
        <v>3</v>
      </c>
      <c r="AH661" s="27">
        <v>262000</v>
      </c>
      <c r="AI661" s="27">
        <v>262000</v>
      </c>
      <c r="AJ661" s="27">
        <v>262000</v>
      </c>
      <c r="AK661" s="27">
        <f>Table13[[#This Row],[Year 1]]</f>
        <v>262000</v>
      </c>
      <c r="AL661" s="27">
        <f>Table13[[#This Row],[Year 2]]</f>
        <v>262000</v>
      </c>
      <c r="AM661" s="27">
        <f>Table13[[#This Row],[Year 3]]</f>
        <v>262000</v>
      </c>
      <c r="AN661" s="1">
        <v>3</v>
      </c>
    </row>
    <row r="662" spans="1:40" hidden="1" x14ac:dyDescent="0.25">
      <c r="A662" s="1" t="s">
        <v>48</v>
      </c>
      <c r="B662" s="1" t="s">
        <v>2631</v>
      </c>
      <c r="C662" s="1" t="s">
        <v>50</v>
      </c>
      <c r="D662" s="1" t="s">
        <v>3709</v>
      </c>
      <c r="E662" s="1" t="s">
        <v>3710</v>
      </c>
      <c r="F662" s="22" t="s">
        <v>3</v>
      </c>
      <c r="G662" s="1" t="s">
        <v>6085</v>
      </c>
      <c r="H662" s="1" t="s">
        <v>6</v>
      </c>
      <c r="I662" s="1" t="s">
        <v>20</v>
      </c>
      <c r="J662" s="1" t="s">
        <v>25</v>
      </c>
      <c r="K662" s="1" t="s">
        <v>9</v>
      </c>
      <c r="L662" s="1" t="s">
        <v>78</v>
      </c>
      <c r="M662" s="11" t="s">
        <v>188</v>
      </c>
      <c r="N662" s="1" t="s">
        <v>6037</v>
      </c>
      <c r="O662" s="1" t="s">
        <v>13</v>
      </c>
      <c r="P662" s="1" t="s">
        <v>126</v>
      </c>
      <c r="Q662" s="1" t="s">
        <v>6018</v>
      </c>
      <c r="R662" s="1" t="s">
        <v>5148</v>
      </c>
      <c r="S662" s="1" t="s">
        <v>6081</v>
      </c>
      <c r="T662" s="1" t="s">
        <v>6082</v>
      </c>
      <c r="U662" s="1" t="s">
        <v>6097</v>
      </c>
      <c r="V662" s="1" t="s">
        <v>6188</v>
      </c>
      <c r="W662" s="27">
        <v>92.857142857142861</v>
      </c>
      <c r="X662" s="27">
        <v>92.857142857142861</v>
      </c>
      <c r="Y662" s="33">
        <f>AVERAGE(Table13[[#This Row],[Score 1]],Table13[[#This Row],[Score 2]])</f>
        <v>92.857142857142861</v>
      </c>
      <c r="Z662" s="1">
        <v>4</v>
      </c>
      <c r="AA662" s="1">
        <v>5</v>
      </c>
      <c r="AB662" s="22">
        <f>Table13[[#This Row],[Rank 1]]+Table13[[#This Row],[Rank 2]]</f>
        <v>9</v>
      </c>
      <c r="AC662" s="1" t="str">
        <f>IF(AND(Table13[[#This Row],[Average score]]&gt;75,Table13[[#This Row],[Total rank]]&gt;6.5),"Yes","No")</f>
        <v>Yes</v>
      </c>
      <c r="AD662" s="1" t="str">
        <f>IF(AND(Table13[[#This Row],[Average score]]&gt;80,Table13[[#This Row],[Total rank]]&gt;7.5),"Yes","No")</f>
        <v>Yes</v>
      </c>
      <c r="AF662" s="8">
        <v>46027</v>
      </c>
      <c r="AG662" s="1">
        <v>2</v>
      </c>
      <c r="AH662" s="27">
        <v>161450</v>
      </c>
      <c r="AI662" s="27">
        <v>109500</v>
      </c>
      <c r="AJ662" s="30">
        <v>0</v>
      </c>
      <c r="AK662" s="30">
        <f>Table13[[#This Row],[Year 1]]</f>
        <v>161450</v>
      </c>
      <c r="AL662" s="30">
        <f>Table13[[#This Row],[Year 2]]</f>
        <v>109500</v>
      </c>
      <c r="AM662" s="30">
        <f>Table13[[#This Row],[Year 3]]</f>
        <v>0</v>
      </c>
      <c r="AN662" s="1">
        <v>4</v>
      </c>
    </row>
    <row r="663" spans="1:40" hidden="1" x14ac:dyDescent="0.25">
      <c r="A663" s="1" t="s">
        <v>48</v>
      </c>
      <c r="B663" s="1" t="s">
        <v>2632</v>
      </c>
      <c r="C663" s="1" t="s">
        <v>50</v>
      </c>
      <c r="D663" s="1" t="s">
        <v>3711</v>
      </c>
      <c r="E663" s="1" t="s">
        <v>3712</v>
      </c>
      <c r="F663" s="22" t="s">
        <v>3</v>
      </c>
      <c r="G663" s="1" t="s">
        <v>6085</v>
      </c>
      <c r="H663" s="1" t="s">
        <v>6</v>
      </c>
      <c r="I663" s="1" t="s">
        <v>20</v>
      </c>
      <c r="J663" s="1" t="s">
        <v>26</v>
      </c>
      <c r="K663" s="1" t="s">
        <v>9</v>
      </c>
      <c r="L663" s="1" t="s">
        <v>78</v>
      </c>
      <c r="M663" s="11" t="s">
        <v>188</v>
      </c>
      <c r="N663" s="1" t="s">
        <v>6037</v>
      </c>
      <c r="O663" s="1" t="s">
        <v>14</v>
      </c>
      <c r="P663" s="1" t="s">
        <v>66</v>
      </c>
      <c r="Q663" s="1" t="s">
        <v>6</v>
      </c>
      <c r="R663" s="1" t="s">
        <v>5201</v>
      </c>
      <c r="S663" s="1" t="s">
        <v>6139</v>
      </c>
      <c r="T663" s="1" t="s">
        <v>6140</v>
      </c>
      <c r="U663" s="1" t="s">
        <v>6162</v>
      </c>
      <c r="V663" s="1" t="s">
        <v>6187</v>
      </c>
      <c r="W663" s="27">
        <v>67.857142857142861</v>
      </c>
      <c r="X663" s="27">
        <v>71.428571428571431</v>
      </c>
      <c r="Y663" s="33">
        <f>AVERAGE(Table13[[#This Row],[Score 1]],Table13[[#This Row],[Score 2]])</f>
        <v>69.642857142857139</v>
      </c>
      <c r="Z663" s="1">
        <v>4</v>
      </c>
      <c r="AA663" s="1">
        <v>4</v>
      </c>
      <c r="AB663" s="22">
        <f>Table13[[#This Row],[Rank 1]]+Table13[[#This Row],[Rank 2]]</f>
        <v>8</v>
      </c>
      <c r="AC663" s="1" t="str">
        <f>IF(AND(Table13[[#This Row],[Average score]]&gt;75,Table13[[#This Row],[Total rank]]&gt;6.5),"Yes","No")</f>
        <v>No</v>
      </c>
      <c r="AD663" s="1" t="str">
        <f>IF(AND(Table13[[#This Row],[Average score]]&gt;80,Table13[[#This Row],[Total rank]]&gt;7.5),"Yes","No")</f>
        <v>No</v>
      </c>
      <c r="AF663" s="8">
        <v>46063</v>
      </c>
      <c r="AG663" s="1">
        <v>2</v>
      </c>
      <c r="AH663" s="27">
        <v>63980</v>
      </c>
      <c r="AI663" s="27">
        <v>64130</v>
      </c>
      <c r="AJ663" s="30">
        <v>0</v>
      </c>
      <c r="AK663" s="30">
        <f>Table13[[#This Row],[Year 1]]</f>
        <v>63980</v>
      </c>
      <c r="AL663" s="30">
        <f>Table13[[#This Row],[Year 2]]</f>
        <v>64130</v>
      </c>
      <c r="AM663" s="30">
        <f>Table13[[#This Row],[Year 3]]</f>
        <v>0</v>
      </c>
      <c r="AN663" s="1">
        <v>3</v>
      </c>
    </row>
    <row r="664" spans="1:40" hidden="1" x14ac:dyDescent="0.25">
      <c r="A664" s="1" t="s">
        <v>48</v>
      </c>
      <c r="B664" s="1" t="s">
        <v>2633</v>
      </c>
      <c r="C664" s="1" t="s">
        <v>50</v>
      </c>
      <c r="D664" s="1" t="s">
        <v>3713</v>
      </c>
      <c r="E664" s="1" t="s">
        <v>3714</v>
      </c>
      <c r="F664" s="22" t="s">
        <v>3</v>
      </c>
      <c r="G664" s="1" t="s">
        <v>6085</v>
      </c>
      <c r="H664" s="1" t="s">
        <v>5</v>
      </c>
      <c r="I664" s="1" t="s">
        <v>17</v>
      </c>
      <c r="J664" s="1" t="s">
        <v>26</v>
      </c>
      <c r="K664" s="1" t="s">
        <v>9</v>
      </c>
      <c r="L664" s="1" t="s">
        <v>78</v>
      </c>
      <c r="M664" s="11" t="s">
        <v>188</v>
      </c>
      <c r="N664" s="1" t="s">
        <v>6037</v>
      </c>
      <c r="O664" s="1" t="s">
        <v>13</v>
      </c>
      <c r="P664" s="1" t="s">
        <v>1456</v>
      </c>
      <c r="Q664" s="1" t="s">
        <v>5887</v>
      </c>
      <c r="R664" s="1" t="s">
        <v>5204</v>
      </c>
      <c r="S664" s="1" t="s">
        <v>6078</v>
      </c>
      <c r="T664" s="1" t="s">
        <v>6077</v>
      </c>
      <c r="U664" s="1" t="s">
        <v>6090</v>
      </c>
      <c r="V664" s="1" t="s">
        <v>6174</v>
      </c>
      <c r="W664" s="27">
        <v>75</v>
      </c>
      <c r="X664" s="27">
        <v>82.142857142857139</v>
      </c>
      <c r="Y664" s="33">
        <f>AVERAGE(Table13[[#This Row],[Score 1]],Table13[[#This Row],[Score 2]])</f>
        <v>78.571428571428569</v>
      </c>
      <c r="Z664" s="1">
        <v>3</v>
      </c>
      <c r="AA664" s="1">
        <v>3</v>
      </c>
      <c r="AB664" s="22">
        <f>Table13[[#This Row],[Rank 1]]+Table13[[#This Row],[Rank 2]]</f>
        <v>6</v>
      </c>
      <c r="AC664" s="1" t="str">
        <f>IF(AND(Table13[[#This Row],[Average score]]&gt;75,Table13[[#This Row],[Total rank]]&gt;6.5),"Yes","No")</f>
        <v>No</v>
      </c>
      <c r="AD664" s="1" t="str">
        <f>IF(AND(Table13[[#This Row],[Average score]]&gt;80,Table13[[#This Row],[Total rank]]&gt;7.5),"Yes","No")</f>
        <v>No</v>
      </c>
      <c r="AF664" s="8">
        <v>46034</v>
      </c>
      <c r="AG664" s="1">
        <v>3</v>
      </c>
      <c r="AH664" s="27">
        <v>152000</v>
      </c>
      <c r="AI664" s="27">
        <v>165020</v>
      </c>
      <c r="AJ664" s="27">
        <v>179269.4</v>
      </c>
      <c r="AK664" s="27">
        <f>Table13[[#This Row],[Year 1]]</f>
        <v>152000</v>
      </c>
      <c r="AL664" s="27">
        <f>Table13[[#This Row],[Year 2]]</f>
        <v>165020</v>
      </c>
      <c r="AM664" s="27">
        <f>Table13[[#This Row],[Year 3]]</f>
        <v>179269.4</v>
      </c>
      <c r="AN664" s="1">
        <v>3</v>
      </c>
    </row>
    <row r="665" spans="1:40" hidden="1" x14ac:dyDescent="0.25">
      <c r="A665" s="1" t="s">
        <v>48</v>
      </c>
      <c r="B665" s="1" t="s">
        <v>2634</v>
      </c>
      <c r="C665" s="1" t="s">
        <v>50</v>
      </c>
      <c r="D665" s="1" t="s">
        <v>3715</v>
      </c>
      <c r="E665" s="1" t="s">
        <v>3716</v>
      </c>
      <c r="F665" s="22" t="s">
        <v>3</v>
      </c>
      <c r="G665" s="1" t="s">
        <v>6085</v>
      </c>
      <c r="H665" s="1" t="s">
        <v>6</v>
      </c>
      <c r="I665" s="1" t="s">
        <v>20</v>
      </c>
      <c r="J665" s="1" t="s">
        <v>25</v>
      </c>
      <c r="K665" s="1" t="s">
        <v>9</v>
      </c>
      <c r="L665" s="1" t="s">
        <v>78</v>
      </c>
      <c r="M665" s="11" t="s">
        <v>188</v>
      </c>
      <c r="N665" s="1" t="s">
        <v>6037</v>
      </c>
      <c r="O665" s="1" t="s">
        <v>14</v>
      </c>
      <c r="P665" s="1" t="s">
        <v>1456</v>
      </c>
      <c r="Q665" s="1" t="s">
        <v>5354</v>
      </c>
      <c r="R665" s="1" t="s">
        <v>5207</v>
      </c>
      <c r="S665" s="1" t="s">
        <v>6139</v>
      </c>
      <c r="T665" s="1" t="s">
        <v>6140</v>
      </c>
      <c r="U665" s="1" t="s">
        <v>6162</v>
      </c>
      <c r="V665" s="1" t="s">
        <v>6187</v>
      </c>
      <c r="W665" s="27">
        <v>78.571428571428569</v>
      </c>
      <c r="X665" s="27">
        <v>60.714285714285708</v>
      </c>
      <c r="Y665" s="33">
        <f>AVERAGE(Table13[[#This Row],[Score 1]],Table13[[#This Row],[Score 2]])</f>
        <v>69.642857142857139</v>
      </c>
      <c r="Z665" s="1">
        <v>4</v>
      </c>
      <c r="AA665" s="1">
        <v>3</v>
      </c>
      <c r="AB665" s="22">
        <f>Table13[[#This Row],[Rank 1]]+Table13[[#This Row],[Rank 2]]</f>
        <v>7</v>
      </c>
      <c r="AC665" s="1" t="str">
        <f>IF(AND(Table13[[#This Row],[Average score]]&gt;75,Table13[[#This Row],[Total rank]]&gt;6.5),"Yes","No")</f>
        <v>No</v>
      </c>
      <c r="AD665" s="1" t="str">
        <f>IF(AND(Table13[[#This Row],[Average score]]&gt;80,Table13[[#This Row],[Total rank]]&gt;7.5),"Yes","No")</f>
        <v>No</v>
      </c>
      <c r="AF665" s="8">
        <v>46055</v>
      </c>
      <c r="AG665" s="1">
        <v>2</v>
      </c>
      <c r="AH665" s="27">
        <v>113755</v>
      </c>
      <c r="AI665" s="27">
        <v>113755</v>
      </c>
      <c r="AJ665" s="30">
        <v>0</v>
      </c>
      <c r="AK665" s="30">
        <f>Table13[[#This Row],[Year 1]]</f>
        <v>113755</v>
      </c>
      <c r="AL665" s="30">
        <f>Table13[[#This Row],[Year 2]]</f>
        <v>113755</v>
      </c>
      <c r="AM665" s="30">
        <f>Table13[[#This Row],[Year 3]]</f>
        <v>0</v>
      </c>
      <c r="AN665" s="1">
        <v>3</v>
      </c>
    </row>
    <row r="666" spans="1:40" hidden="1" x14ac:dyDescent="0.25">
      <c r="A666" s="1" t="s">
        <v>48</v>
      </c>
      <c r="B666" s="1" t="s">
        <v>2635</v>
      </c>
      <c r="C666" s="1" t="s">
        <v>50</v>
      </c>
      <c r="D666" s="1" t="s">
        <v>3717</v>
      </c>
      <c r="E666" s="1" t="s">
        <v>3718</v>
      </c>
      <c r="F666" s="22" t="s">
        <v>3</v>
      </c>
      <c r="G666" s="1" t="s">
        <v>6085</v>
      </c>
      <c r="H666" s="1" t="s">
        <v>6</v>
      </c>
      <c r="I666" s="1" t="s">
        <v>24</v>
      </c>
      <c r="J666" s="1" t="s">
        <v>26</v>
      </c>
      <c r="K666" s="1" t="s">
        <v>9</v>
      </c>
      <c r="L666" s="1" t="s">
        <v>78</v>
      </c>
      <c r="M666" s="11" t="s">
        <v>188</v>
      </c>
      <c r="N666" s="1" t="s">
        <v>6037</v>
      </c>
      <c r="O666" s="1" t="s">
        <v>16</v>
      </c>
      <c r="P666" s="1" t="s">
        <v>60</v>
      </c>
      <c r="Q666" s="1" t="s">
        <v>5392</v>
      </c>
      <c r="R666" s="1" t="s">
        <v>1397</v>
      </c>
      <c r="S666" s="1" t="s">
        <v>6109</v>
      </c>
      <c r="T666" s="1" t="s">
        <v>6110</v>
      </c>
      <c r="U666" s="1" t="s">
        <v>6125</v>
      </c>
      <c r="V666" s="1" t="s">
        <v>6202</v>
      </c>
      <c r="W666" s="27">
        <v>85.714285714285708</v>
      </c>
      <c r="X666" s="27">
        <v>85.714285714285708</v>
      </c>
      <c r="Y666" s="33">
        <f>AVERAGE(Table13[[#This Row],[Score 1]],Table13[[#This Row],[Score 2]])</f>
        <v>85.714285714285708</v>
      </c>
      <c r="Z666" s="1">
        <v>4</v>
      </c>
      <c r="AA666" s="1">
        <v>4</v>
      </c>
      <c r="AB666" s="22">
        <f>Table13[[#This Row],[Rank 1]]+Table13[[#This Row],[Rank 2]]</f>
        <v>8</v>
      </c>
      <c r="AC666" s="1" t="str">
        <f>IF(AND(Table13[[#This Row],[Average score]]&gt;75,Table13[[#This Row],[Total rank]]&gt;6.5),"Yes","No")</f>
        <v>Yes</v>
      </c>
      <c r="AD666" s="1" t="str">
        <f>IF(AND(Table13[[#This Row],[Average score]]&gt;80,Table13[[#This Row],[Total rank]]&gt;7.5),"Yes","No")</f>
        <v>Yes</v>
      </c>
      <c r="AF666" s="8">
        <v>46055</v>
      </c>
      <c r="AG666" s="1">
        <v>2</v>
      </c>
      <c r="AH666" s="27">
        <v>140000</v>
      </c>
      <c r="AI666" s="27">
        <v>140000</v>
      </c>
      <c r="AJ666" s="30">
        <v>0</v>
      </c>
      <c r="AK666" s="30">
        <f>Table13[[#This Row],[Year 1]]</f>
        <v>140000</v>
      </c>
      <c r="AL666" s="30">
        <f>Table13[[#This Row],[Year 2]]</f>
        <v>140000</v>
      </c>
      <c r="AM666" s="30">
        <f>Table13[[#This Row],[Year 3]]</f>
        <v>0</v>
      </c>
      <c r="AN666" s="1">
        <v>3</v>
      </c>
    </row>
    <row r="667" spans="1:40" hidden="1" x14ac:dyDescent="0.25">
      <c r="A667" s="2" t="s">
        <v>48</v>
      </c>
      <c r="B667" s="1" t="s">
        <v>3932</v>
      </c>
      <c r="C667" s="1" t="s">
        <v>50</v>
      </c>
      <c r="D667" s="1" t="s">
        <v>3933</v>
      </c>
      <c r="F667" s="22" t="s">
        <v>3</v>
      </c>
      <c r="G667" s="1" t="s">
        <v>6085</v>
      </c>
      <c r="H667" s="1" t="s">
        <v>5</v>
      </c>
      <c r="I667" s="2" t="s">
        <v>20</v>
      </c>
      <c r="J667" s="2" t="s">
        <v>25</v>
      </c>
      <c r="K667" s="2" t="s">
        <v>9</v>
      </c>
      <c r="L667" s="1" t="s">
        <v>5236</v>
      </c>
      <c r="M667" s="11" t="s">
        <v>188</v>
      </c>
      <c r="N667" s="1" t="s">
        <v>6037</v>
      </c>
      <c r="O667" s="1" t="s">
        <v>19</v>
      </c>
      <c r="P667" s="1" t="s">
        <v>60</v>
      </c>
      <c r="Q667" s="18" t="s">
        <v>5914</v>
      </c>
      <c r="R667" s="1" t="s">
        <v>5211</v>
      </c>
      <c r="S667" s="1" t="s">
        <v>6139</v>
      </c>
      <c r="T667" s="1" t="s">
        <v>6140</v>
      </c>
      <c r="U667" s="1" t="s">
        <v>6162</v>
      </c>
      <c r="V667" s="1" t="s">
        <v>6187</v>
      </c>
      <c r="W667" s="27">
        <v>78.571428571428569</v>
      </c>
      <c r="X667" s="27">
        <v>89.285714285714292</v>
      </c>
      <c r="Y667" s="33">
        <f>AVERAGE(Table13[[#This Row],[Score 1]],Table13[[#This Row],[Score 2]])</f>
        <v>83.928571428571431</v>
      </c>
      <c r="Z667" s="1">
        <v>4</v>
      </c>
      <c r="AA667" s="1">
        <v>5</v>
      </c>
      <c r="AB667" s="22">
        <f>Table13[[#This Row],[Rank 1]]+Table13[[#This Row],[Rank 2]]</f>
        <v>9</v>
      </c>
      <c r="AC667" s="1" t="str">
        <f>IF(AND(Table13[[#This Row],[Average score]]&gt;75,Table13[[#This Row],[Total rank]]&gt;6.5),"Yes","No")</f>
        <v>Yes</v>
      </c>
      <c r="AD667" s="1" t="str">
        <f>IF(AND(Table13[[#This Row],[Average score]]&gt;80,Table13[[#This Row],[Total rank]]&gt;7.5),"Yes","No")</f>
        <v>Yes</v>
      </c>
      <c r="AF667" s="8">
        <v>46041</v>
      </c>
      <c r="AG667" s="1">
        <v>3</v>
      </c>
      <c r="AH667" s="27">
        <v>145550</v>
      </c>
      <c r="AI667" s="27">
        <v>174050</v>
      </c>
      <c r="AJ667" s="27">
        <v>212550</v>
      </c>
      <c r="AK667" s="27">
        <f>Table13[[#This Row],[Year 1]]</f>
        <v>145550</v>
      </c>
      <c r="AL667" s="27">
        <f>Table13[[#This Row],[Year 2]]</f>
        <v>174050</v>
      </c>
      <c r="AM667" s="27">
        <f>Table13[[#This Row],[Year 3]]</f>
        <v>212550</v>
      </c>
      <c r="AN667" s="1">
        <v>3</v>
      </c>
    </row>
    <row r="668" spans="1:40" hidden="1" x14ac:dyDescent="0.25">
      <c r="A668" s="2" t="s">
        <v>48</v>
      </c>
      <c r="B668" s="1" t="s">
        <v>3934</v>
      </c>
      <c r="C668" s="1" t="s">
        <v>50</v>
      </c>
      <c r="D668" s="1" t="s">
        <v>3935</v>
      </c>
      <c r="F668" s="22" t="s">
        <v>3</v>
      </c>
      <c r="G668" s="1" t="s">
        <v>6085</v>
      </c>
      <c r="H668" s="1" t="s">
        <v>5</v>
      </c>
      <c r="I668" s="1" t="s">
        <v>20</v>
      </c>
      <c r="J668" s="1" t="s">
        <v>25</v>
      </c>
      <c r="K668" s="1" t="s">
        <v>9</v>
      </c>
      <c r="L668" s="1" t="s">
        <v>5236</v>
      </c>
      <c r="M668" s="11" t="s">
        <v>188</v>
      </c>
      <c r="N668" s="1" t="s">
        <v>6037</v>
      </c>
      <c r="O668" s="1" t="s">
        <v>18</v>
      </c>
      <c r="P668" s="1" t="s">
        <v>107</v>
      </c>
      <c r="Q668" s="1" t="s">
        <v>6021</v>
      </c>
      <c r="R668" s="18" t="s">
        <v>5215</v>
      </c>
      <c r="S668" s="1" t="s">
        <v>6061</v>
      </c>
      <c r="T668" s="1" t="s">
        <v>6062</v>
      </c>
      <c r="U668" s="1" t="s">
        <v>6101</v>
      </c>
      <c r="V668" s="1" t="s">
        <v>6196</v>
      </c>
      <c r="W668" s="27">
        <v>72.222222222222214</v>
      </c>
      <c r="X668" s="27">
        <v>80.555555555555557</v>
      </c>
      <c r="Y668" s="33">
        <f>AVERAGE(Table13[[#This Row],[Score 1]],Table13[[#This Row],[Score 2]])</f>
        <v>76.388888888888886</v>
      </c>
      <c r="Z668" s="1">
        <v>3</v>
      </c>
      <c r="AA668" s="1">
        <v>5</v>
      </c>
      <c r="AB668" s="22">
        <f>Table13[[#This Row],[Rank 1]]+Table13[[#This Row],[Rank 2]]</f>
        <v>8</v>
      </c>
      <c r="AC668" s="1" t="str">
        <f>IF(AND(Table13[[#This Row],[Average score]]&gt;75,Table13[[#This Row],[Total rank]]&gt;6.5),"Yes","No")</f>
        <v>Yes</v>
      </c>
      <c r="AD668" s="1" t="str">
        <f>IF(AND(Table13[[#This Row],[Average score]]&gt;80,Table13[[#This Row],[Total rank]]&gt;7.5),"Yes","No")</f>
        <v>No</v>
      </c>
      <c r="AF668" s="8">
        <v>46062</v>
      </c>
      <c r="AG668" s="1">
        <v>3</v>
      </c>
      <c r="AH668" s="27">
        <v>314518.59999999998</v>
      </c>
      <c r="AI668" s="27">
        <v>287755.28999999998</v>
      </c>
      <c r="AJ668" s="27">
        <v>308117.58</v>
      </c>
      <c r="AK668" s="27">
        <f>Table13[[#This Row],[Year 1]]</f>
        <v>314518.59999999998</v>
      </c>
      <c r="AL668" s="27">
        <f>Table13[[#This Row],[Year 2]]</f>
        <v>287755.28999999998</v>
      </c>
      <c r="AM668" s="27">
        <f>Table13[[#This Row],[Year 3]]</f>
        <v>308117.58</v>
      </c>
      <c r="AN668" s="1">
        <v>3</v>
      </c>
    </row>
    <row r="669" spans="1:40" hidden="1" x14ac:dyDescent="0.25">
      <c r="A669" s="2" t="s">
        <v>48</v>
      </c>
      <c r="B669" s="1" t="s">
        <v>3936</v>
      </c>
      <c r="C669" s="1" t="s">
        <v>50</v>
      </c>
      <c r="D669" s="1" t="s">
        <v>3937</v>
      </c>
      <c r="F669" s="22" t="s">
        <v>3</v>
      </c>
      <c r="G669" s="1" t="s">
        <v>6085</v>
      </c>
      <c r="H669" s="1" t="s">
        <v>1383</v>
      </c>
      <c r="I669" s="1" t="s">
        <v>20</v>
      </c>
      <c r="J669" s="1" t="s">
        <v>26</v>
      </c>
      <c r="K669" s="1" t="s">
        <v>8</v>
      </c>
      <c r="L669" s="1" t="s">
        <v>5236</v>
      </c>
      <c r="M669" s="11" t="s">
        <v>188</v>
      </c>
      <c r="N669" s="1" t="s">
        <v>6037</v>
      </c>
      <c r="O669" s="1" t="s">
        <v>10</v>
      </c>
      <c r="P669" s="1" t="s">
        <v>5219</v>
      </c>
      <c r="Q669" s="19" t="s">
        <v>1383</v>
      </c>
      <c r="R669" s="1" t="s">
        <v>5220</v>
      </c>
      <c r="S669" s="1" t="s">
        <v>6045</v>
      </c>
      <c r="T669" s="1" t="s">
        <v>6046</v>
      </c>
      <c r="U669" s="1" t="s">
        <v>6098</v>
      </c>
      <c r="V669" s="1" t="s">
        <v>6190</v>
      </c>
      <c r="W669" s="27">
        <v>67.5</v>
      </c>
      <c r="X669" s="27">
        <v>80</v>
      </c>
      <c r="Y669" s="33">
        <f>AVERAGE(Table13[[#This Row],[Score 1]],Table13[[#This Row],[Score 2]])</f>
        <v>73.75</v>
      </c>
      <c r="Z669" s="1">
        <v>3</v>
      </c>
      <c r="AA669" s="1">
        <v>5</v>
      </c>
      <c r="AB669" s="22">
        <f>Table13[[#This Row],[Rank 1]]+Table13[[#This Row],[Rank 2]]</f>
        <v>8</v>
      </c>
      <c r="AC669" s="1" t="str">
        <f>IF(AND(Table13[[#This Row],[Average score]]&gt;75,Table13[[#This Row],[Total rank]]&gt;6.5),"Yes","No")</f>
        <v>No</v>
      </c>
      <c r="AD669" s="1" t="str">
        <f>IF(AND(Table13[[#This Row],[Average score]]&gt;80,Table13[[#This Row],[Total rank]]&gt;7.5),"Yes","No")</f>
        <v>No</v>
      </c>
      <c r="AF669" s="8">
        <v>45691</v>
      </c>
      <c r="AG669" s="1">
        <v>1</v>
      </c>
      <c r="AH669" s="27">
        <v>240000</v>
      </c>
      <c r="AI669" s="30">
        <v>0</v>
      </c>
      <c r="AJ669" s="30">
        <v>0</v>
      </c>
      <c r="AK669" s="30">
        <f>Table13[[#This Row],[Year 1]]</f>
        <v>240000</v>
      </c>
      <c r="AL669" s="30">
        <f>Table13[[#This Row],[Year 2]]</f>
        <v>0</v>
      </c>
      <c r="AM669" s="30">
        <f>Table13[[#This Row],[Year 3]]</f>
        <v>0</v>
      </c>
      <c r="AN669" s="1">
        <v>3</v>
      </c>
    </row>
    <row r="670" spans="1:40" hidden="1" x14ac:dyDescent="0.25">
      <c r="A670" s="2" t="s">
        <v>48</v>
      </c>
      <c r="B670" s="1" t="s">
        <v>5221</v>
      </c>
      <c r="C670" s="2" t="s">
        <v>50</v>
      </c>
      <c r="D670" s="1" t="s">
        <v>5222</v>
      </c>
      <c r="F670" s="22" t="s">
        <v>3</v>
      </c>
      <c r="G670" s="1" t="s">
        <v>6085</v>
      </c>
      <c r="H670" s="1" t="s">
        <v>7</v>
      </c>
      <c r="I670" s="1" t="s">
        <v>20</v>
      </c>
      <c r="J670" s="1" t="s">
        <v>26</v>
      </c>
      <c r="K670" s="1" t="s">
        <v>9</v>
      </c>
      <c r="L670" s="1" t="s">
        <v>5236</v>
      </c>
      <c r="M670" s="11" t="s">
        <v>188</v>
      </c>
      <c r="N670" s="1" t="s">
        <v>6037</v>
      </c>
      <c r="O670" s="1" t="s">
        <v>14</v>
      </c>
      <c r="P670" s="1" t="s">
        <v>247</v>
      </c>
      <c r="Q670" s="1" t="s">
        <v>6022</v>
      </c>
      <c r="R670" s="1" t="s">
        <v>5223</v>
      </c>
      <c r="S670" s="1" t="s">
        <v>6139</v>
      </c>
      <c r="T670" s="1" t="s">
        <v>6140</v>
      </c>
      <c r="U670" s="1" t="s">
        <v>6162</v>
      </c>
      <c r="V670" s="1" t="s">
        <v>6187</v>
      </c>
      <c r="W670" s="27">
        <v>88.888888888888886</v>
      </c>
      <c r="X670" s="27">
        <v>83.333333333333343</v>
      </c>
      <c r="Y670" s="33">
        <f>AVERAGE(Table13[[#This Row],[Score 1]],Table13[[#This Row],[Score 2]])</f>
        <v>86.111111111111114</v>
      </c>
      <c r="Z670" s="1">
        <v>4</v>
      </c>
      <c r="AA670" s="1">
        <v>4</v>
      </c>
      <c r="AB670" s="22">
        <f>Table13[[#This Row],[Rank 1]]+Table13[[#This Row],[Rank 2]]</f>
        <v>8</v>
      </c>
      <c r="AC670" s="1" t="str">
        <f>IF(AND(Table13[[#This Row],[Average score]]&gt;75,Table13[[#This Row],[Total rank]]&gt;6.5),"Yes","No")</f>
        <v>Yes</v>
      </c>
      <c r="AD670" s="1" t="str">
        <f>IF(AND(Table13[[#This Row],[Average score]]&gt;80,Table13[[#This Row],[Total rank]]&gt;7.5),"Yes","No")</f>
        <v>Yes</v>
      </c>
      <c r="AF670" s="8">
        <v>45992</v>
      </c>
      <c r="AG670" s="1">
        <v>2</v>
      </c>
      <c r="AH670" s="27">
        <v>500000</v>
      </c>
      <c r="AI670" s="27">
        <v>500000</v>
      </c>
      <c r="AJ670" s="27">
        <v>0</v>
      </c>
      <c r="AK670" s="27">
        <f>Table13[[#This Row],[Year 1]]</f>
        <v>500000</v>
      </c>
      <c r="AL670" s="27">
        <f>Table13[[#This Row],[Year 2]]</f>
        <v>500000</v>
      </c>
      <c r="AM670" s="27">
        <f>Table13[[#This Row],[Year 3]]</f>
        <v>0</v>
      </c>
      <c r="AN670" s="1">
        <v>3</v>
      </c>
    </row>
    <row r="677" spans="17:20" x14ac:dyDescent="0.25">
      <c r="Q677" s="1" t="s">
        <v>6029</v>
      </c>
      <c r="R677" s="1">
        <v>14</v>
      </c>
      <c r="S677" s="1">
        <v>47</v>
      </c>
      <c r="T677" s="1">
        <v>18.8</v>
      </c>
    </row>
    <row r="678" spans="17:20" x14ac:dyDescent="0.25">
      <c r="Q678" s="1" t="s">
        <v>4621</v>
      </c>
      <c r="R678" s="1">
        <v>33</v>
      </c>
    </row>
    <row r="679" spans="17:20" x14ac:dyDescent="0.25">
      <c r="Q679" s="1" t="s">
        <v>6035</v>
      </c>
      <c r="R679" s="1">
        <v>8</v>
      </c>
    </row>
    <row r="680" spans="17:20" x14ac:dyDescent="0.25">
      <c r="Q680" s="1" t="s">
        <v>6030</v>
      </c>
      <c r="R680" s="1">
        <v>11</v>
      </c>
    </row>
  </sheetData>
  <phoneticPr fontId="4" type="noConversion"/>
  <conditionalFormatting sqref="B1:B1048576">
    <cfRule type="duplicateValues" dxfId="69" priority="1"/>
  </conditionalFormatting>
  <hyperlinks>
    <hyperlink ref="E189" r:id="rId1" xr:uid="{F1F24A63-BD38-4AF8-900C-40F8F323129A}"/>
  </hyperlinks>
  <pageMargins left="0.75" right="0.75" top="1" bottom="1" header="0.5" footer="0.5"/>
  <pageSetup orientation="portrait"/>
  <headerFooter alignWithMargins="0"/>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3D89F76D0F974B8CC81B16AFA849BB" ma:contentTypeVersion="19" ma:contentTypeDescription="Create a new document." ma:contentTypeScope="" ma:versionID="e2807ec700f60df06478e7504507c71a">
  <xsd:schema xmlns:xsd="http://www.w3.org/2001/XMLSchema" xmlns:xs="http://www.w3.org/2001/XMLSchema" xmlns:p="http://schemas.microsoft.com/office/2006/metadata/properties" xmlns:ns2="dba44529-40ac-4720-b3ef-d726d9cb4242" xmlns:ns3="e1085743-6745-42fb-aaef-cd37de0fd424" targetNamespace="http://schemas.microsoft.com/office/2006/metadata/properties" ma:root="true" ma:fieldsID="6910a180a063576aea377e329b47d4be" ns2:_="" ns3:_="">
    <xsd:import namespace="dba44529-40ac-4720-b3ef-d726d9cb4242"/>
    <xsd:import namespace="e1085743-6745-42fb-aaef-cd37de0fd42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a44529-40ac-4720-b3ef-d726d9cb4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33f1508-bcbb-42e7-8b50-dbf88ddd47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085743-6745-42fb-aaef-cd37de0fd42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6ae906-377c-4f87-8cfd-cc5127f37326}" ma:internalName="TaxCatchAll" ma:showField="CatchAllData" ma:web="e1085743-6745-42fb-aaef-cd37de0fd4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1085743-6745-42fb-aaef-cd37de0fd424" xsi:nil="true"/>
    <lcf76f155ced4ddcb4097134ff3c332f xmlns="dba44529-40ac-4720-b3ef-d726d9cb42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95400E2-3A8B-4019-9895-8FE274E3299B}">
  <ds:schemaRefs>
    <ds:schemaRef ds:uri="http://schemas.microsoft.com/sharepoint/v3/contenttype/forms"/>
  </ds:schemaRefs>
</ds:datastoreItem>
</file>

<file path=customXml/itemProps2.xml><?xml version="1.0" encoding="utf-8"?>
<ds:datastoreItem xmlns:ds="http://schemas.openxmlformats.org/officeDocument/2006/customXml" ds:itemID="{DDB2BF35-8B02-478F-85F0-DB5996D198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a44529-40ac-4720-b3ef-d726d9cb4242"/>
    <ds:schemaRef ds:uri="e1085743-6745-42fb-aaef-cd37de0fd4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4EEBD9-CAB2-4FA1-9869-A859DBE25B15}">
  <ds:schemaRefs>
    <ds:schemaRef ds:uri="http://schemas.microsoft.com/office/2006/metadata/properties"/>
    <ds:schemaRef ds:uri="http://schemas.microsoft.com/office/infopath/2007/PartnerControls"/>
    <ds:schemaRef ds:uri="e1085743-6745-42fb-aaef-cd37de0fd424"/>
    <ds:schemaRef ds:uri="dba44529-40ac-4720-b3ef-d726d9cb42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Stats </vt:lpstr>
      <vt:lpstr>August 2025 call</vt:lpstr>
      <vt:lpstr>Shortlist</vt:lpstr>
      <vt:lpstr>Review</vt:lpstr>
    </vt:vector>
  </TitlesOfParts>
  <Manager/>
  <Company>SmartSimple Software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SmartSimple</dc:creator>
  <cp:keywords/>
  <dc:description/>
  <cp:lastModifiedBy>Bailey Corder</cp:lastModifiedBy>
  <cp:revision/>
  <dcterms:created xsi:type="dcterms:W3CDTF">2012-06-01T18:33:01Z</dcterms:created>
  <dcterms:modified xsi:type="dcterms:W3CDTF">2025-11-27T14:09:30Z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0x010100F53D89F76D0F974B8CC81B16AFA849BB</vt:lpwstr>
  </property>
  <property fmtid="{D5CDD505-2E9C-101B-9397-08002B2CF9AE}" pid="3" name="MediaServiceImageTags">
    <vt:lpwstr/>
  </property>
</Properties>
</file>